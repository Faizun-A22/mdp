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1018">
      <text>
        <t xml:space="preserve">USER:
ud dur</t>
      </text>
    </comment>
    <comment authorId="0" ref="I104">
      <text>
        <t xml:space="preserve">USER:
mekarsari</t>
      </text>
    </comment>
    <comment authorId="0" ref="L104">
      <text>
        <t xml:space="preserve">USER:
ud yusuf (mm)</t>
      </text>
    </comment>
    <comment authorId="0" ref="M104">
      <text>
        <t xml:space="preserve">USER:
ud mekarsari</t>
      </text>
    </comment>
    <comment authorId="0" ref="AG275">
      <text>
        <t xml:space="preserve">USER:
dari ud dur</t>
      </text>
    </comment>
    <comment authorId="0" ref="M349">
      <text>
        <t xml:space="preserve">USER:
ud mekar sari</t>
      </text>
    </comment>
    <comment authorId="0" ref="Y104">
      <text>
        <t xml:space="preserve">USER:
50 dari ws
100 ud bagus</t>
      </text>
    </comment>
    <comment authorId="0" ref="AP119">
      <text>
        <t xml:space="preserve">USER:
REJECT BALOK DAN PAPAN PECAH</t>
      </text>
    </comment>
    <comment authorId="0" ref="AB104">
      <text>
        <t xml:space="preserve">USER:
50 pcs ud hasil karya</t>
      </text>
    </comment>
    <comment authorId="0" ref="AC104">
      <text>
        <t xml:space="preserve">USER:
125 dari ud bagus</t>
      </text>
    </comment>
    <comment authorId="0" ref="L275">
      <text>
        <t xml:space="preserve">USER:
UD DUR</t>
      </text>
    </comment>
    <comment authorId="0" ref="V349">
      <text>
        <t xml:space="preserve">USER:
ud mekar sari</t>
      </text>
    </comment>
    <comment authorId="0" ref="W349">
      <text>
        <t xml:space="preserve">USER:
65 pcs dari ud orchid
30 pcs dari ws</t>
      </text>
    </comment>
    <comment authorId="0" ref="AI104">
      <text>
        <t xml:space="preserve">USER:
ud bagus</t>
      </text>
    </comment>
  </commentList>
</comments>
</file>

<file path=xl/sharedStrings.xml><?xml version="1.0" encoding="utf-8"?>
<sst xmlns="http://schemas.openxmlformats.org/spreadsheetml/2006/main" count="2361" uniqueCount="444">
  <si>
    <t>LAPORAN  STOK  PALLET</t>
  </si>
  <si>
    <t>MD PALLETINDO CABANG SIDOARJO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</si>
  <si>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</si>
  <si>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PERIODE : JUNI 2026</t>
  </si>
  <si>
    <t>STOK PALLET</t>
  </si>
  <si>
    <t xml:space="preserve">NO </t>
  </si>
  <si>
    <t>NAMA</t>
  </si>
  <si>
    <t>UKURAN</t>
  </si>
  <si>
    <t>PRODUKSI</t>
  </si>
  <si>
    <t>TGL</t>
  </si>
  <si>
    <t xml:space="preserve">TANGGAL  KELUAR / MASUK PALLET </t>
  </si>
  <si>
    <t>JUMLAH</t>
  </si>
  <si>
    <t>CUSTOMER</t>
  </si>
  <si>
    <t>PALLET</t>
  </si>
  <si>
    <t>MINGGU</t>
  </si>
  <si>
    <t>SENIN</t>
  </si>
  <si>
    <t>SELASA</t>
  </si>
  <si>
    <t>RABU</t>
  </si>
  <si>
    <t>KAMIS</t>
  </si>
  <si>
    <t>JUMAT</t>
  </si>
  <si>
    <t>SABTU</t>
  </si>
  <si>
    <t>ADIPRIMA PALLET</t>
  </si>
  <si>
    <t>108*108</t>
  </si>
  <si>
    <t>A</t>
  </si>
  <si>
    <t>WS</t>
  </si>
  <si>
    <t>M</t>
  </si>
  <si>
    <t>K</t>
  </si>
  <si>
    <t>RETUR</t>
  </si>
  <si>
    <t>R. Cust</t>
  </si>
  <si>
    <t>R. WS</t>
  </si>
  <si>
    <t>S</t>
  </si>
  <si>
    <t>ADIPRIMA TUTUP</t>
  </si>
  <si>
    <t>ALDZAMA</t>
  </si>
  <si>
    <t>100*120</t>
  </si>
  <si>
    <t>ALDZAMA 60</t>
  </si>
  <si>
    <t>60*70*17</t>
  </si>
  <si>
    <t>ARTAWENA</t>
  </si>
  <si>
    <t>101*121</t>
  </si>
  <si>
    <t>UD. BKWB</t>
  </si>
  <si>
    <t>UD. MM</t>
  </si>
  <si>
    <t>UD. SURYA KENCANA</t>
  </si>
  <si>
    <t>AOI (ALLIANCE ONE)</t>
  </si>
  <si>
    <t>115*75*14</t>
  </si>
  <si>
    <t>REJECT</t>
  </si>
  <si>
    <t>ALP 110</t>
  </si>
  <si>
    <t>110X110</t>
  </si>
  <si>
    <t>ALP 115</t>
  </si>
  <si>
    <t>120*120</t>
  </si>
  <si>
    <t>ALP 120</t>
  </si>
  <si>
    <t>ALP 130</t>
  </si>
  <si>
    <t>130*130</t>
  </si>
  <si>
    <t>AVIAN 125</t>
  </si>
  <si>
    <t>120 X 125</t>
  </si>
  <si>
    <t>UD. HASIL KARYA</t>
  </si>
  <si>
    <t>MS BU SISKA</t>
  </si>
  <si>
    <t>BENTENG API</t>
  </si>
  <si>
    <t>92*92</t>
  </si>
  <si>
    <t>BUANA MEGAH</t>
  </si>
  <si>
    <t>BLUEVENT</t>
  </si>
  <si>
    <t>100*100*14</t>
  </si>
  <si>
    <t>BPJ 4WAY</t>
  </si>
  <si>
    <t>113x113x15</t>
  </si>
  <si>
    <t>( Balok Dadu - keras )</t>
  </si>
  <si>
    <t>BPJ 113 KERAS</t>
  </si>
  <si>
    <t>113 X 113</t>
  </si>
  <si>
    <t>( Balok panjang - keras )</t>
  </si>
  <si>
    <t>MM</t>
  </si>
  <si>
    <t>MS</t>
  </si>
  <si>
    <t>SURYA KENCANA</t>
  </si>
  <si>
    <t>TIGA BERSAUDARA</t>
  </si>
  <si>
    <t>Reject ke WS</t>
  </si>
  <si>
    <t>REJECT WH</t>
  </si>
  <si>
    <t>BPJ 113 MIX</t>
  </si>
  <si>
    <t>( Balok panjang - MIX )</t>
  </si>
  <si>
    <t>BPJ 100X75</t>
  </si>
  <si>
    <t>100x75x14</t>
  </si>
  <si>
    <t>BPJ 100X65</t>
  </si>
  <si>
    <t>100x65x14</t>
  </si>
  <si>
    <t>BPJ 115</t>
  </si>
  <si>
    <t>115x115x14</t>
  </si>
  <si>
    <t>BPJ 120</t>
  </si>
  <si>
    <t>120x120x13</t>
  </si>
  <si>
    <t>BMI (BUMI MENARA INTERNUSA)</t>
  </si>
  <si>
    <t>120X110X13,5</t>
  </si>
  <si>
    <t>CANADA</t>
  </si>
  <si>
    <t>100x120x15</t>
  </si>
  <si>
    <t>CAP GLOBAL 100</t>
  </si>
  <si>
    <t>CAP GLOBAL 120</t>
  </si>
  <si>
    <t>120*100*13</t>
  </si>
  <si>
    <t>CAP GLOBAL 80</t>
  </si>
  <si>
    <t>80*120</t>
  </si>
  <si>
    <t>COLOROBBIA EKSPOR</t>
  </si>
  <si>
    <t>105x105X14</t>
  </si>
  <si>
    <t>SUBCONT</t>
  </si>
  <si>
    <t>RAKIT WH</t>
  </si>
  <si>
    <t xml:space="preserve">CFM COLOROBBIA MIX </t>
  </si>
  <si>
    <t>105x10514</t>
  </si>
  <si>
    <t xml:space="preserve">CFM COLOROBBIA NEW </t>
  </si>
  <si>
    <t>105x105X10</t>
  </si>
  <si>
    <t>CFM COLOROBBIA LOKAL 113</t>
  </si>
  <si>
    <t>113x113</t>
  </si>
  <si>
    <t>COLOROBBIA LOKAL 105</t>
  </si>
  <si>
    <t>105X105</t>
  </si>
  <si>
    <t>CFM COLOROBBIA LOKAL 125</t>
  </si>
  <si>
    <t>100 x 125</t>
  </si>
  <si>
    <t>CJI 4-WAY (PASURUAN)</t>
  </si>
  <si>
    <t>110*110</t>
  </si>
  <si>
    <t>CJI 100</t>
  </si>
  <si>
    <t>100*100*13</t>
  </si>
  <si>
    <t>CJI 110</t>
  </si>
  <si>
    <t>110*110*14</t>
  </si>
  <si>
    <t>CJI 120 (COAK)</t>
  </si>
  <si>
    <t>CPCI</t>
  </si>
  <si>
    <t>DABIN</t>
  </si>
  <si>
    <t>105*105</t>
  </si>
  <si>
    <t>DIC GRAPHICS 100</t>
  </si>
  <si>
    <t>112X112X15</t>
  </si>
  <si>
    <t>David Brown</t>
  </si>
  <si>
    <t>SUBCOUNT</t>
  </si>
  <si>
    <t>DIC GRAPHICS 112</t>
  </si>
  <si>
    <t>DIC GRAPHICS 120</t>
  </si>
  <si>
    <t>120x120x16</t>
  </si>
  <si>
    <t>ETIRA PALLET
(EKA TIMUR RAYA)</t>
  </si>
  <si>
    <t>120*100</t>
  </si>
  <si>
    <t>ETIRA TUTUP</t>
  </si>
  <si>
    <t>EXCELLENT 110 (KERAS)</t>
  </si>
  <si>
    <t>110x110</t>
  </si>
  <si>
    <t>GEMA ISTA RAYA</t>
  </si>
  <si>
    <t>EXCELLENT 130</t>
  </si>
  <si>
    <t>110x130</t>
  </si>
  <si>
    <t>EXCELLENT 110</t>
  </si>
  <si>
    <t>110X110X14,5</t>
  </si>
  <si>
    <t>ECOMEC PALLET 110</t>
  </si>
  <si>
    <t>110X110X14</t>
  </si>
  <si>
    <t>ECOMEC TUTUP</t>
  </si>
  <si>
    <t>110x110x4</t>
  </si>
  <si>
    <t>FKS</t>
  </si>
  <si>
    <t>170*125*19</t>
  </si>
  <si>
    <t>GARUDAFOOD</t>
  </si>
  <si>
    <t>122X102X16</t>
  </si>
  <si>
    <t>GREENCORE RESOURCE</t>
  </si>
  <si>
    <t>CV. SINAR LESTARI</t>
  </si>
  <si>
    <t>UD. MAKIN MAJU</t>
  </si>
  <si>
    <t>CV. 3 BERSAUDARA</t>
  </si>
  <si>
    <t>UD. BAGUS</t>
  </si>
  <si>
    <t>UD. DUR</t>
  </si>
  <si>
    <t>GREENWAY</t>
  </si>
  <si>
    <t>125*97*14</t>
  </si>
  <si>
    <t>R.Cust ke WS</t>
  </si>
  <si>
    <t>GOLDEN B4</t>
  </si>
  <si>
    <t>110*110x12</t>
  </si>
  <si>
    <t>GOLDEN UNION new</t>
  </si>
  <si>
    <t>GOLDEN UNION T14</t>
  </si>
  <si>
    <t>HENKEL LOKAL</t>
  </si>
  <si>
    <t>116,5x116,5x13,5</t>
  </si>
  <si>
    <t>UD. UDIN</t>
  </si>
  <si>
    <t>KHOIRUL ANAM</t>
  </si>
  <si>
    <t>HENKEL EXPORT</t>
  </si>
  <si>
    <t>110x110x14</t>
  </si>
  <si>
    <t>HENKEL TUTUP</t>
  </si>
  <si>
    <t>110X110X4</t>
  </si>
  <si>
    <t>INDOTIRTA PALLET</t>
  </si>
  <si>
    <t>140*110*14</t>
  </si>
  <si>
    <t>INDONUSA FILAMENT</t>
  </si>
  <si>
    <t>120*140*16</t>
  </si>
  <si>
    <t>INDOTIRTA TUTUP</t>
  </si>
  <si>
    <t>140*110*4</t>
  </si>
  <si>
    <t>INFION</t>
  </si>
  <si>
    <t>97 X 120</t>
  </si>
  <si>
    <t>INDOFOOD</t>
  </si>
  <si>
    <t>130*120</t>
  </si>
  <si>
    <t>INSERASENA 150</t>
  </si>
  <si>
    <t>150X110X14,5</t>
  </si>
  <si>
    <t xml:space="preserve">UD MAYA </t>
  </si>
  <si>
    <t>ISHIZUKA MASPION</t>
  </si>
  <si>
    <t>120X100X13</t>
  </si>
  <si>
    <t>INDONESIA SMELTING</t>
  </si>
  <si>
    <t>100*100</t>
  </si>
  <si>
    <t>JAVA PAPER</t>
  </si>
  <si>
    <t>120*80</t>
  </si>
  <si>
    <t>JAYADITYA</t>
  </si>
  <si>
    <t>JEBE KOKO 80 B</t>
  </si>
  <si>
    <t>120 X 80</t>
  </si>
  <si>
    <t>UD. ARIK</t>
  </si>
  <si>
    <t>JEBE KOKO 100 C</t>
  </si>
  <si>
    <t>100 X 120</t>
  </si>
  <si>
    <t>JEBE KOKO D</t>
  </si>
  <si>
    <t>1,1*1,1*0,1</t>
  </si>
  <si>
    <t>ud bkwb</t>
  </si>
  <si>
    <t>JEBE KOKO A</t>
  </si>
  <si>
    <t>1,2*1,0*0,14</t>
  </si>
  <si>
    <t>KARUNIA CATUR (KCP)</t>
  </si>
  <si>
    <t>100*200*14</t>
  </si>
  <si>
    <t>KARYA TERANG SEDATI (KTS)</t>
  </si>
  <si>
    <t>KEDAWUNG 128</t>
  </si>
  <si>
    <t>128x120x16</t>
  </si>
  <si>
    <t>KEDAWUNG 135</t>
  </si>
  <si>
    <t>135X93</t>
  </si>
  <si>
    <t>KEDAWUNG 142</t>
  </si>
  <si>
    <t>142x85x16</t>
  </si>
  <si>
    <t>KEDIRI INDAH</t>
  </si>
  <si>
    <t>100*90*13</t>
  </si>
  <si>
    <t>KENCAR SUKSES 110</t>
  </si>
  <si>
    <t>KENCAR SUKSES 120</t>
  </si>
  <si>
    <t>110X120</t>
  </si>
  <si>
    <t>KENCAR SUKSES 130</t>
  </si>
  <si>
    <t>110X130</t>
  </si>
  <si>
    <t>KERTARAJASA B3</t>
  </si>
  <si>
    <t>100X110 BLK 3</t>
  </si>
  <si>
    <t>KERTARAJASA B4</t>
  </si>
  <si>
    <t>100X110 BLK 4</t>
  </si>
  <si>
    <t>KERTARAJASA B5</t>
  </si>
  <si>
    <t>100X110 BLK 5</t>
  </si>
  <si>
    <t>KERTA RAJASA expor</t>
  </si>
  <si>
    <t>110x110x13 BLK 3</t>
  </si>
  <si>
    <t>KERTA NEW PALLET</t>
  </si>
  <si>
    <t>115*140</t>
  </si>
  <si>
    <t>KERTA NEW TUTUP</t>
  </si>
  <si>
    <t>KNAUF</t>
  </si>
  <si>
    <t>8X8X120</t>
  </si>
  <si>
    <t>LAYO SENGFONG</t>
  </si>
  <si>
    <t>122*110*12,2</t>
  </si>
  <si>
    <t>LAWANG MAS TUTUP
120</t>
  </si>
  <si>
    <t>LAWANG MAS TUTUP
130</t>
  </si>
  <si>
    <t>100*130</t>
  </si>
  <si>
    <t>LAWANGMAS 125</t>
  </si>
  <si>
    <t>100x125</t>
  </si>
  <si>
    <t>UD cariono</t>
  </si>
  <si>
    <t>LOTUS A</t>
  </si>
  <si>
    <t>110X110X13</t>
  </si>
  <si>
    <t>ORCID</t>
  </si>
  <si>
    <t>UD. ORCID</t>
  </si>
  <si>
    <t>UD selendang jaya (YUGO)</t>
  </si>
  <si>
    <t xml:space="preserve"> </t>
  </si>
  <si>
    <t>LOTUS A (KERAS)</t>
  </si>
  <si>
    <t>LOTUS A (USA)</t>
  </si>
  <si>
    <t>LOTUS B</t>
  </si>
  <si>
    <t>110X130X13</t>
  </si>
  <si>
    <t>LOTUS B (USA)</t>
  </si>
  <si>
    <t>MAYA (SI)</t>
  </si>
  <si>
    <t>UD ALI</t>
  </si>
  <si>
    <t>LOTUS 114</t>
  </si>
  <si>
    <t>114X114X12</t>
  </si>
  <si>
    <t>MAYA (SIS)</t>
  </si>
  <si>
    <t>LOTUS C5</t>
  </si>
  <si>
    <t>110X110X9</t>
  </si>
  <si>
    <t>MAYA(SIS)</t>
  </si>
  <si>
    <t>UD BAGUS</t>
  </si>
  <si>
    <t>LOTUS C5 (USA)</t>
  </si>
  <si>
    <t>LOTUS C9</t>
  </si>
  <si>
    <t>LOTUS C9 (USA)</t>
  </si>
  <si>
    <t>LOTUS D5</t>
  </si>
  <si>
    <t>110X130X9</t>
  </si>
  <si>
    <t>LOTUS D5 (USA)</t>
  </si>
  <si>
    <t>LOTUS D9</t>
  </si>
  <si>
    <t>110X130X14</t>
  </si>
  <si>
    <t>LOTUS D9 (USA)</t>
  </si>
  <si>
    <t>LOTUS F</t>
  </si>
  <si>
    <t>LOTUS SPESIAL</t>
  </si>
  <si>
    <t>100x120</t>
  </si>
  <si>
    <t>LOTUS G</t>
  </si>
  <si>
    <t>125x100x13,5</t>
  </si>
  <si>
    <t>LOTUS H</t>
  </si>
  <si>
    <t>110X80X13,5</t>
  </si>
  <si>
    <t>LOTUS I</t>
  </si>
  <si>
    <t>LOTUS K</t>
  </si>
  <si>
    <t>110*80</t>
  </si>
  <si>
    <t>LOTUS BERLIN</t>
  </si>
  <si>
    <t>120*100*18</t>
  </si>
  <si>
    <t>MMM (MITRA MULIA)</t>
  </si>
  <si>
    <t>90*70</t>
  </si>
  <si>
    <t>MTI</t>
  </si>
  <si>
    <t>100*120*13,5</t>
  </si>
  <si>
    <t>MULTI SPUNINDO 220</t>
  </si>
  <si>
    <t>145X220</t>
  </si>
  <si>
    <t>MULTI SPUNINDO 130</t>
  </si>
  <si>
    <t>130x70x15</t>
  </si>
  <si>
    <t>Mitra Usaha</t>
  </si>
  <si>
    <t>SIP 122</t>
  </si>
  <si>
    <t>100x122</t>
  </si>
  <si>
    <t>SIP 129</t>
  </si>
  <si>
    <t>104x129</t>
  </si>
  <si>
    <t>SINAR SOSRO (PALLET)</t>
  </si>
  <si>
    <t>SINAR SOSRO (PAPAN)</t>
  </si>
  <si>
    <t>2*10*120</t>
  </si>
  <si>
    <t>RAKIT</t>
  </si>
  <si>
    <t>2*10*130</t>
  </si>
  <si>
    <t>SWS</t>
  </si>
  <si>
    <t>112*114</t>
  </si>
  <si>
    <t>SMI</t>
  </si>
  <si>
    <t>SARIMAKMUR</t>
  </si>
  <si>
    <t>100*100*8</t>
  </si>
  <si>
    <t>SUNPOWER</t>
  </si>
  <si>
    <t>113X113</t>
  </si>
  <si>
    <t>SURABAYA PERDANA ROTOPACK</t>
  </si>
  <si>
    <t>90X110</t>
  </si>
  <si>
    <t>SINERGI KERAS</t>
  </si>
  <si>
    <t>125*100</t>
  </si>
  <si>
    <t>SINERGI PLT PLYWD</t>
  </si>
  <si>
    <t>120 x100</t>
  </si>
  <si>
    <t>PANASONIC PALLET 130</t>
  </si>
  <si>
    <t>130X130X14</t>
  </si>
  <si>
    <t>PANASONIC PARTICELBOARD</t>
  </si>
  <si>
    <t>115*90</t>
  </si>
  <si>
    <t>UD JAYA BERSAMA</t>
  </si>
  <si>
    <t>PANCAPUTRA 110</t>
  </si>
  <si>
    <t>PANCAPUTRA 120</t>
  </si>
  <si>
    <t>SUNPAPER</t>
  </si>
  <si>
    <t>135X110</t>
  </si>
  <si>
    <t>PIM</t>
  </si>
  <si>
    <t>96 x 112</t>
  </si>
  <si>
    <t>PMI (PUTRA MANDIRI)</t>
  </si>
  <si>
    <t>110*130</t>
  </si>
  <si>
    <t>( balok Dadu - Keras )</t>
  </si>
  <si>
    <t>PMP 118 KERAS</t>
  </si>
  <si>
    <t>118X75X13</t>
  </si>
  <si>
    <t>PMP KERAS 120</t>
  </si>
  <si>
    <t>120*80*14</t>
  </si>
  <si>
    <t>PMP KERAS</t>
  </si>
  <si>
    <t>118*74</t>
  </si>
  <si>
    <t>PMP ALBASIA</t>
  </si>
  <si>
    <t>SAURESSIG PALLET</t>
  </si>
  <si>
    <t>115*135*11</t>
  </si>
  <si>
    <t>SAURESSIG BOX</t>
  </si>
  <si>
    <t>155*32*32</t>
  </si>
  <si>
    <t>SECONDBEST KERAS</t>
  </si>
  <si>
    <t>105*75</t>
  </si>
  <si>
    <t>SECONDBEST 126</t>
  </si>
  <si>
    <t>126*78</t>
  </si>
  <si>
    <t>SECONDBEST 100</t>
  </si>
  <si>
    <t>100*76</t>
  </si>
  <si>
    <t>SECONDBEST 80</t>
  </si>
  <si>
    <t>80X120X14</t>
  </si>
  <si>
    <t>UD MM</t>
  </si>
  <si>
    <t>ms</t>
  </si>
  <si>
    <t>UD BKWB</t>
  </si>
  <si>
    <t>SECONDBEST 121</t>
  </si>
  <si>
    <t>121,5X101,5X14</t>
  </si>
  <si>
    <t>SECONDBEST 98</t>
  </si>
  <si>
    <t>102*98*14</t>
  </si>
  <si>
    <t>SECONDBEST 76</t>
  </si>
  <si>
    <t>106*76*14</t>
  </si>
  <si>
    <t>SILKARGO</t>
  </si>
  <si>
    <t>130*110*15</t>
  </si>
  <si>
    <t xml:space="preserve">SIONCHEM 117 </t>
  </si>
  <si>
    <t>100x117x14</t>
  </si>
  <si>
    <t xml:space="preserve">SIONCHEM 110 </t>
  </si>
  <si>
    <t>SOKA</t>
  </si>
  <si>
    <t>100*100*10</t>
  </si>
  <si>
    <t>SPR 90</t>
  </si>
  <si>
    <t>110X90X16</t>
  </si>
  <si>
    <t>TIMURAYA</t>
  </si>
  <si>
    <t>TEMPRINA</t>
  </si>
  <si>
    <t>100X120</t>
  </si>
  <si>
    <t>WCI 80</t>
  </si>
  <si>
    <t>80*100*16</t>
  </si>
  <si>
    <t>WCI 100</t>
  </si>
  <si>
    <t>100*100*16</t>
  </si>
  <si>
    <t>YAHATA</t>
  </si>
  <si>
    <t>90*110</t>
  </si>
  <si>
    <t>YAMAHA</t>
  </si>
  <si>
    <t>110*110*12</t>
  </si>
  <si>
    <t>YONGBEE</t>
  </si>
  <si>
    <t>105*105*6</t>
  </si>
  <si>
    <t>YUAN TEAI</t>
  </si>
  <si>
    <t>100x120x12</t>
  </si>
  <si>
    <t>ZAHONERO INDONESIA</t>
  </si>
  <si>
    <t>150X200</t>
  </si>
  <si>
    <t>TERANG jAYA</t>
  </si>
  <si>
    <t>80x120</t>
  </si>
  <si>
    <t>MS ( UD PAULUS )</t>
  </si>
  <si>
    <t>MS ( UD mm)</t>
  </si>
  <si>
    <t>LIST UACJ / INDAL REIWA stopper</t>
  </si>
  <si>
    <t>40X3.5X2.5</t>
  </si>
  <si>
    <t>GARMENT</t>
  </si>
  <si>
    <t>115*80</t>
  </si>
  <si>
    <t>Dinamika</t>
  </si>
  <si>
    <t>100x70</t>
  </si>
  <si>
    <t>MTI (Merit plywood)</t>
  </si>
  <si>
    <t>DMI (pmp)</t>
  </si>
  <si>
    <t>74x118</t>
  </si>
  <si>
    <t>SATORIA</t>
  </si>
  <si>
    <t>SPR120</t>
  </si>
  <si>
    <t>120X120</t>
  </si>
  <si>
    <t>Cita Rasa</t>
  </si>
  <si>
    <t>STOK AWAL</t>
  </si>
  <si>
    <t>TOTAL PENGIRIMAN</t>
  </si>
  <si>
    <t>TOTAL RETUR</t>
  </si>
  <si>
    <t>REALISASI VOLUME</t>
  </si>
  <si>
    <t>TOTAL PALLET MASUK</t>
  </si>
  <si>
    <t>TOTAL PALLET SUBCONT</t>
  </si>
  <si>
    <t>TOTAL STOK</t>
  </si>
  <si>
    <t>Tatal</t>
  </si>
  <si>
    <t>TOMO</t>
  </si>
  <si>
    <t>YUSUF (MM)</t>
  </si>
  <si>
    <t xml:space="preserve">HERI </t>
  </si>
  <si>
    <t>CAHYO</t>
  </si>
  <si>
    <t>KELUAR</t>
  </si>
  <si>
    <t>PLYWOOD</t>
  </si>
  <si>
    <t>PLYWOOD BPJ (SEMI MERANTI)</t>
  </si>
  <si>
    <t>HASIL POTONG WH</t>
  </si>
  <si>
    <t>HASIL POTONG</t>
  </si>
  <si>
    <t>PLYWOOD BPJ SEMI MIRANTI</t>
  </si>
  <si>
    <t>122X244X1,5</t>
  </si>
  <si>
    <t>MASUK</t>
  </si>
  <si>
    <t>UD. TAQWIM</t>
  </si>
  <si>
    <t>POTONG WH</t>
  </si>
  <si>
    <t>SUPPLIER</t>
  </si>
  <si>
    <t>POTONG WS</t>
  </si>
  <si>
    <t>PLYWOOD SPS</t>
  </si>
  <si>
    <t>122*108*1,2</t>
  </si>
  <si>
    <t>UD. PANGESTU</t>
  </si>
  <si>
    <t>PLYWOOD SMI</t>
  </si>
  <si>
    <t>122*244*1,8</t>
  </si>
  <si>
    <t>Potong ws</t>
  </si>
  <si>
    <t>KOMPONEN</t>
  </si>
  <si>
    <t>TYPE</t>
  </si>
  <si>
    <t>JENIS KAYU</t>
  </si>
  <si>
    <t>LAWANGMAS</t>
  </si>
  <si>
    <t>PAPAN</t>
  </si>
  <si>
    <t>2*8*100</t>
  </si>
  <si>
    <t>BALOK</t>
  </si>
  <si>
    <t>2,5*9*116,5</t>
  </si>
  <si>
    <t>ALBASIA</t>
  </si>
  <si>
    <t>CAP GLOBAL</t>
  </si>
  <si>
    <t>PAPAN (SET)</t>
  </si>
  <si>
    <t>BALOK (SET)</t>
  </si>
  <si>
    <t>2*8*116,5</t>
  </si>
  <si>
    <t>6*10*121</t>
  </si>
  <si>
    <t>2,5*10*110</t>
  </si>
  <si>
    <t>KERAS</t>
  </si>
  <si>
    <t>2*9*100</t>
  </si>
  <si>
    <t>2*9*120</t>
  </si>
  <si>
    <t>5*9*122</t>
  </si>
  <si>
    <t>2*8*130</t>
  </si>
  <si>
    <t>5,8*9*116,5</t>
  </si>
  <si>
    <t>5*10*113</t>
  </si>
  <si>
    <t>5*10*110</t>
  </si>
  <si>
    <t>4*4*100</t>
  </si>
  <si>
    <t>2*5*100</t>
  </si>
  <si>
    <t>2*7,5*100</t>
  </si>
  <si>
    <t>LIMBAH</t>
  </si>
  <si>
    <t>1,5*18*122</t>
  </si>
  <si>
    <t>1,5*8*122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</si>
</sst>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Calibri"/>
    </font>
    <font>
      <b/>
      <sz val="9.0"/>
      <color theme="1"/>
      <name val="Arial"/>
    </font>
    <font>
      <sz val="9.0"/>
      <color theme="1"/>
      <name val="Calibri"/>
    </font>
    <font>
      <b/>
      <sz val="9.0"/>
      <color rgb="FFFFFFFF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12.0"/>
      <color theme="1"/>
      <name val="Calibri"/>
    </font>
    <font/>
    <font>
      <sz val="7.0"/>
      <color theme="1"/>
      <name val="Calibri"/>
    </font>
    <font>
      <sz val="9.0"/>
      <color rgb="FFFF0000"/>
      <name val="Calibri"/>
    </font>
    <font>
      <b/>
      <sz val="11.0"/>
      <color theme="1"/>
      <name val="Calibri"/>
    </font>
    <font>
      <sz val="8.0"/>
      <color theme="1"/>
      <name val="Calibri"/>
    </font>
    <font>
      <i/>
      <sz val="9.0"/>
      <color rgb="FFFF0000"/>
      <name val="Calibri"/>
    </font>
    <font>
      <b/>
      <sz val="9.0"/>
      <color rgb="FFFF0000"/>
      <name val="Calibri"/>
    </font>
    <font>
      <sz val="11.0"/>
      <color rgb="FF000000"/>
      <name val="Calibri"/>
    </font>
    <font>
      <b/>
      <sz val="20.0"/>
      <color theme="1"/>
      <name val="Calibri"/>
    </font>
    <font>
      <sz val="20.0"/>
      <color theme="1"/>
      <name val="Calibri"/>
    </font>
    <font>
      <sz val="10.0"/>
      <color theme="1"/>
      <name val="Calibri"/>
    </font>
    <font>
      <b/>
      <sz val="16.0"/>
      <color theme="1"/>
      <name val="Arial Black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23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6" numFmtId="0" xfId="0" applyFont="1"/>
    <xf borderId="0" fillId="0" fontId="8" numFmtId="0" xfId="0" applyFont="1"/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9" numFmtId="0" xfId="0" applyBorder="1" applyFont="1"/>
    <xf borderId="5" fillId="0" fontId="9" numFmtId="0" xfId="0" applyBorder="1" applyFont="1"/>
    <xf borderId="6" fillId="0" fontId="4" numFmtId="0" xfId="0" applyAlignment="1" applyBorder="1" applyFont="1">
      <alignment horizontal="center"/>
    </xf>
    <xf borderId="7" fillId="0" fontId="9" numFmtId="0" xfId="0" applyBorder="1" applyFont="1"/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9" fillId="2" fontId="4" numFmtId="0" xfId="0" applyAlignment="1" applyBorder="1" applyFill="1" applyFont="1">
      <alignment horizontal="center"/>
    </xf>
    <xf borderId="9" fillId="3" fontId="4" numFmtId="0" xfId="0" applyAlignment="1" applyBorder="1" applyFill="1" applyFont="1">
      <alignment horizontal="center"/>
    </xf>
    <xf borderId="9" fillId="4" fontId="4" numFmtId="0" xfId="0" applyAlignment="1" applyBorder="1" applyFill="1" applyFont="1">
      <alignment horizontal="center"/>
    </xf>
    <xf borderId="0" fillId="0" fontId="10" numFmtId="0" xfId="0" applyAlignment="1" applyFont="1">
      <alignment vertical="center"/>
    </xf>
    <xf borderId="1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/>
    </xf>
    <xf borderId="9" fillId="0" fontId="10" numFmtId="164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/>
    </xf>
    <xf borderId="11" fillId="0" fontId="9" numFmtId="0" xfId="0" applyBorder="1" applyFont="1"/>
    <xf borderId="3" fillId="0" fontId="11" numFmtId="0" xfId="0" applyAlignment="1" applyBorder="1" applyFont="1">
      <alignment horizontal="center"/>
    </xf>
    <xf borderId="9" fillId="0" fontId="11" numFmtId="0" xfId="0" applyBorder="1" applyFont="1"/>
    <xf borderId="9" fillId="0" fontId="4" numFmtId="0" xfId="0" applyBorder="1" applyFont="1"/>
    <xf borderId="11" fillId="0" fontId="11" numFmtId="0" xfId="0" applyBorder="1" applyFont="1"/>
    <xf borderId="12" fillId="5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8" fillId="0" fontId="9" numFmtId="0" xfId="0" applyBorder="1" applyFont="1"/>
    <xf borderId="3" fillId="0" fontId="2" numFmtId="0" xfId="0" applyAlignment="1" applyBorder="1" applyFont="1">
      <alignment horizontal="center"/>
    </xf>
    <xf borderId="9" fillId="0" fontId="2" numFmtId="0" xfId="0" applyBorder="1" applyFont="1"/>
    <xf borderId="13" fillId="6" fontId="2" numFmtId="0" xfId="0" applyAlignment="1" applyBorder="1" applyFill="1" applyFont="1">
      <alignment horizontal="center"/>
    </xf>
    <xf borderId="14" fillId="5" fontId="10" numFmtId="0" xfId="0" applyAlignment="1" applyBorder="1" applyFont="1">
      <alignment vertical="center"/>
    </xf>
    <xf borderId="15" fillId="5" fontId="4" numFmtId="0" xfId="0" applyAlignment="1" applyBorder="1" applyFont="1">
      <alignment horizontal="center" vertical="center"/>
    </xf>
    <xf borderId="9" fillId="5" fontId="4" numFmtId="0" xfId="0" applyBorder="1" applyFont="1"/>
    <xf borderId="9" fillId="5" fontId="11" numFmtId="0" xfId="0" applyBorder="1" applyFont="1"/>
    <xf borderId="13" fillId="5" fontId="11" numFmtId="0" xfId="0" applyBorder="1" applyFont="1"/>
    <xf borderId="14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9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6" fillId="0" fontId="9" numFmtId="0" xfId="0" applyBorder="1" applyFont="1"/>
    <xf borderId="9" fillId="0" fontId="11" numFmtId="0" xfId="0" applyAlignment="1" applyBorder="1" applyFont="1">
      <alignment horizontal="center"/>
    </xf>
    <xf borderId="9" fillId="5" fontId="4" numFmtId="0" xfId="0" applyAlignment="1" applyBorder="1" applyFont="1">
      <alignment horizontal="center"/>
    </xf>
    <xf borderId="17" fillId="0" fontId="9" numFmtId="0" xfId="0" applyBorder="1" applyFont="1"/>
    <xf borderId="7" fillId="0" fontId="2" numFmtId="0" xfId="0" applyAlignment="1" applyBorder="1" applyFont="1">
      <alignment horizontal="center"/>
    </xf>
    <xf borderId="6" fillId="0" fontId="4" numFmtId="0" xfId="0" applyAlignment="1" applyBorder="1" applyFont="1">
      <alignment horizontal="center" shrinkToFit="0" vertical="center" wrapText="1"/>
    </xf>
    <xf borderId="18" fillId="7" fontId="4" numFmtId="0" xfId="0" applyAlignment="1" applyBorder="1" applyFill="1" applyFont="1">
      <alignment horizontal="center"/>
    </xf>
    <xf borderId="15" fillId="7" fontId="4" numFmtId="0" xfId="0" applyAlignment="1" applyBorder="1" applyFont="1">
      <alignment horizontal="center" vertical="center"/>
    </xf>
    <xf borderId="9" fillId="5" fontId="2" numFmtId="0" xfId="0" applyBorder="1" applyFont="1"/>
    <xf borderId="19" fillId="7" fontId="4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4" fillId="5" fontId="12" numFmtId="0" xfId="0" applyAlignment="1" applyBorder="1" applyFont="1">
      <alignment vertical="center"/>
    </xf>
    <xf borderId="19" fillId="8" fontId="4" numFmtId="0" xfId="0" applyAlignment="1" applyBorder="1" applyFill="1" applyFont="1">
      <alignment horizontal="center" vertical="center"/>
    </xf>
    <xf borderId="9" fillId="6" fontId="2" numFmtId="0" xfId="0" applyAlignment="1" applyBorder="1" applyFont="1">
      <alignment horizontal="center"/>
    </xf>
    <xf borderId="15" fillId="8" fontId="4" numFmtId="0" xfId="0" applyAlignment="1" applyBorder="1" applyFont="1">
      <alignment horizontal="center" vertical="center"/>
    </xf>
    <xf borderId="13" fillId="6" fontId="11" numFmtId="0" xfId="0" applyBorder="1" applyFont="1"/>
    <xf borderId="13" fillId="5" fontId="4" numFmtId="0" xfId="0" applyAlignment="1" applyBorder="1" applyFont="1">
      <alignment horizontal="center" vertical="center"/>
    </xf>
    <xf borderId="9" fillId="5" fontId="2" numFmtId="0" xfId="0" applyAlignment="1" applyBorder="1" applyFont="1">
      <alignment horizontal="center"/>
    </xf>
    <xf borderId="14" fillId="8" fontId="1" numFmtId="0" xfId="0" applyAlignment="1" applyBorder="1" applyFont="1">
      <alignment vertical="center"/>
    </xf>
    <xf borderId="14" fillId="5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" fillId="7" fontId="4" numFmtId="0" xfId="0" applyAlignment="1" applyBorder="1" applyFont="1">
      <alignment horizontal="center" shrinkToFit="0" vertical="center" wrapText="1"/>
    </xf>
    <xf borderId="10" fillId="0" fontId="9" numFmtId="0" xfId="0" applyBorder="1" applyFont="1"/>
    <xf borderId="16" fillId="0" fontId="1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vertical="center"/>
    </xf>
    <xf borderId="9" fillId="0" fontId="11" numFmtId="1" xfId="0" applyBorder="1" applyFont="1" applyNumberFormat="1"/>
    <xf borderId="9" fillId="5" fontId="11" numFmtId="1" xfId="0" applyBorder="1" applyFont="1" applyNumberFormat="1"/>
    <xf borderId="11" fillId="0" fontId="4" numFmtId="0" xfId="0" applyAlignment="1" applyBorder="1" applyFont="1">
      <alignment horizontal="center"/>
    </xf>
    <xf borderId="9" fillId="0" fontId="14" numFmtId="0" xfId="0" applyBorder="1" applyFont="1"/>
    <xf borderId="9" fillId="0" fontId="4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/>
    </xf>
    <xf borderId="12" fillId="5" fontId="2" numFmtId="0" xfId="0" applyAlignment="1" applyBorder="1" applyFont="1">
      <alignment horizontal="center"/>
    </xf>
    <xf borderId="2" fillId="7" fontId="4" numFmtId="0" xfId="0" applyAlignment="1" applyBorder="1" applyFont="1">
      <alignment horizontal="center" vertical="center"/>
    </xf>
    <xf borderId="13" fillId="5" fontId="2" numFmtId="0" xfId="0" applyAlignment="1" applyBorder="1" applyFont="1">
      <alignment horizontal="center"/>
    </xf>
    <xf borderId="18" fillId="8" fontId="4" numFmtId="0" xfId="0" applyAlignment="1" applyBorder="1" applyFont="1">
      <alignment horizontal="center"/>
    </xf>
    <xf borderId="22" fillId="8" fontId="4" numFmtId="0" xfId="0" applyAlignment="1" applyBorder="1" applyFont="1">
      <alignment horizontal="center" vertical="center"/>
    </xf>
    <xf borderId="0" fillId="0" fontId="16" numFmtId="0" xfId="0" applyFont="1"/>
    <xf borderId="0" fillId="0" fontId="7" numFmtId="0" xfId="0" applyFont="1"/>
    <xf borderId="0" fillId="0" fontId="4" numFmtId="0" xfId="0" applyAlignment="1" applyFont="1">
      <alignment vertical="top"/>
    </xf>
    <xf borderId="9" fillId="0" fontId="7" numFmtId="0" xfId="0" applyBorder="1" applyFont="1"/>
    <xf borderId="0" fillId="0" fontId="1" numFmtId="0" xfId="0" applyFont="1"/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9" fillId="9" fontId="4" numFmtId="0" xfId="0" applyAlignment="1" applyBorder="1" applyFill="1" applyFont="1">
      <alignment horizontal="center"/>
    </xf>
    <xf borderId="10" fillId="0" fontId="4" numFmtId="0" xfId="0" applyAlignment="1" applyBorder="1" applyFont="1">
      <alignment horizontal="center"/>
    </xf>
    <xf borderId="2" fillId="0" fontId="19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4" fillId="6" fontId="2" numFmtId="0" xfId="0" applyAlignment="1" applyBorder="1" applyFont="1">
      <alignment horizontal="center"/>
    </xf>
    <xf borderId="0" fillId="0" fontId="2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71"/>
    <col customWidth="1" min="2" max="2" width="3.29"/>
    <col customWidth="1" min="3" max="3" width="30.86"/>
    <col customWidth="1" min="4" max="4" width="22.29"/>
    <col customWidth="1" min="5" max="5" width="21.86"/>
    <col customWidth="1" min="6" max="6" width="18.86"/>
    <col customWidth="1" min="7" max="7" width="5.14"/>
    <col customWidth="1" min="8" max="8" width="7.43"/>
    <col customWidth="1" min="9" max="9" width="5.0"/>
    <col customWidth="1" min="10" max="11" width="5.86"/>
    <col customWidth="1" min="12" max="12" width="5.43"/>
    <col customWidth="1" min="13" max="13" width="4.86"/>
    <col customWidth="1" min="14" max="14" width="6.14"/>
    <col customWidth="1" min="15" max="15" width="5.43"/>
    <col customWidth="1" min="16" max="16" width="5.29"/>
    <col customWidth="1" min="17" max="17" width="5.86"/>
    <col customWidth="1" min="18" max="19" width="5.0"/>
    <col customWidth="1" min="20" max="20" width="5.29"/>
    <col customWidth="1" min="21" max="21" width="4.86"/>
    <col customWidth="1" min="22" max="22" width="6.0"/>
    <col customWidth="1" min="23" max="23" width="4.86"/>
    <col customWidth="1" min="24" max="24" width="5.86"/>
    <col customWidth="1" min="25" max="25" width="7.71"/>
    <col customWidth="1" min="26" max="26" width="5.86"/>
    <col customWidth="1" min="27" max="27" width="4.86"/>
    <col customWidth="1" min="28" max="28" width="6.14"/>
    <col customWidth="1" min="29" max="29" width="5.43"/>
    <col customWidth="1" min="30" max="30" width="6.14"/>
    <col customWidth="1" min="31" max="31" width="5.86"/>
    <col customWidth="1" min="32" max="32" width="6.14"/>
    <col customWidth="1" min="33" max="33" width="5.29"/>
    <col customWidth="1" min="34" max="34" width="5.71"/>
    <col customWidth="1" min="35" max="40" width="4.71"/>
    <col customWidth="1" min="41" max="41" width="11.57"/>
    <col customWidth="1" min="42" max="42" width="8.14"/>
    <col customWidth="1" min="43" max="43" width="9.14"/>
  </cols>
  <sheetData>
    <row r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1"/>
    </row>
    <row r="2">
      <c r="A2" s="1"/>
      <c r="B2" s="3" t="s">
        <v>1</v>
      </c>
      <c r="C2" s="3"/>
      <c r="D2" s="3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1"/>
    </row>
    <row r="3">
      <c r="A3" s="1"/>
      <c r="B3" s="4"/>
      <c r="C3" s="4"/>
      <c r="D3" s="4"/>
      <c r="E3" s="2"/>
      <c r="F3" s="5"/>
      <c r="G3" s="2"/>
      <c r="H3" s="6"/>
      <c r="I3" s="6"/>
      <c r="J3" s="2"/>
      <c r="K3" s="4"/>
      <c r="L3" s="4"/>
      <c r="M3" s="7"/>
      <c r="N3" s="6"/>
      <c r="O3" s="6"/>
      <c r="P3" s="4"/>
      <c r="Q3" s="4"/>
      <c r="R3" s="4"/>
      <c r="S3" s="4" t="s">
        <v>2</v>
      </c>
      <c r="T3" s="4"/>
      <c r="U3" s="2"/>
      <c r="V3" s="8"/>
      <c r="W3" s="8"/>
      <c r="X3" s="9"/>
      <c r="Y3" s="9"/>
      <c r="Z3" s="9"/>
      <c r="AA3" s="9"/>
      <c r="AB3" s="10"/>
      <c r="AC3" s="8"/>
      <c r="AD3" s="6"/>
      <c r="AE3" s="9"/>
      <c r="AF3" s="9"/>
      <c r="AG3" s="9"/>
      <c r="AH3" s="4"/>
      <c r="AI3" s="9"/>
      <c r="AJ3" s="9"/>
      <c r="AK3" s="9"/>
      <c r="AL3" s="9"/>
      <c r="AM3" s="9"/>
      <c r="AN3" s="9"/>
      <c r="AO3" s="4"/>
      <c r="AP3" s="4"/>
      <c r="AQ3" s="1"/>
    </row>
    <row r="4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1"/>
    </row>
    <row r="5">
      <c r="A5" s="1"/>
      <c r="B5" s="11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1"/>
    </row>
    <row r="6">
      <c r="A6" s="1"/>
      <c r="B6" s="12" t="s">
        <v>5</v>
      </c>
      <c r="C6" s="12" t="s">
        <v>6</v>
      </c>
      <c r="D6" s="13" t="s">
        <v>7</v>
      </c>
      <c r="E6" s="12" t="s">
        <v>8</v>
      </c>
      <c r="F6" s="12" t="s">
        <v>9</v>
      </c>
      <c r="G6" s="14" t="s">
        <v>10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  <c r="AP6" s="17" t="s">
        <v>11</v>
      </c>
      <c r="AQ6" s="1"/>
    </row>
    <row r="7">
      <c r="A7" s="1"/>
      <c r="B7" s="18"/>
      <c r="C7" s="19" t="s">
        <v>12</v>
      </c>
      <c r="D7" s="20" t="s">
        <v>13</v>
      </c>
      <c r="E7" s="18"/>
      <c r="F7" s="18"/>
      <c r="G7" s="21"/>
      <c r="H7" s="22">
        <v>1.0</v>
      </c>
      <c r="I7" s="23">
        <v>2.0</v>
      </c>
      <c r="J7" s="22">
        <v>3.0</v>
      </c>
      <c r="K7" s="23">
        <v>4.0</v>
      </c>
      <c r="L7" s="23">
        <v>5.0</v>
      </c>
      <c r="M7" s="23">
        <v>6.0</v>
      </c>
      <c r="N7" s="23">
        <v>7.0</v>
      </c>
      <c r="O7" s="23">
        <v>8.0</v>
      </c>
      <c r="P7" s="23">
        <v>9.0</v>
      </c>
      <c r="Q7" s="22">
        <v>10.0</v>
      </c>
      <c r="R7" s="23">
        <v>11.0</v>
      </c>
      <c r="S7" s="23">
        <v>12.0</v>
      </c>
      <c r="T7" s="23">
        <v>13.0</v>
      </c>
      <c r="U7" s="22">
        <v>14.0</v>
      </c>
      <c r="V7" s="23">
        <v>15.0</v>
      </c>
      <c r="W7" s="23">
        <v>16.0</v>
      </c>
      <c r="X7" s="23">
        <v>17.0</v>
      </c>
      <c r="Y7" s="23">
        <v>18.0</v>
      </c>
      <c r="Z7" s="23">
        <v>19.0</v>
      </c>
      <c r="AA7" s="23">
        <v>20.0</v>
      </c>
      <c r="AB7" s="23">
        <v>21.0</v>
      </c>
      <c r="AC7" s="23">
        <v>22.0</v>
      </c>
      <c r="AD7" s="23">
        <v>23.0</v>
      </c>
      <c r="AE7" s="22">
        <v>24.0</v>
      </c>
      <c r="AF7" s="23">
        <v>25.0</v>
      </c>
      <c r="AG7" s="24">
        <v>26.0</v>
      </c>
      <c r="AH7" s="22">
        <v>27.0</v>
      </c>
      <c r="AI7" s="23">
        <v>28.0</v>
      </c>
      <c r="AJ7" s="23">
        <v>29.0</v>
      </c>
      <c r="AK7" s="23">
        <v>30.0</v>
      </c>
      <c r="AL7" s="23">
        <v>31.0</v>
      </c>
      <c r="AM7" s="23"/>
      <c r="AN7" s="23"/>
      <c r="AO7" s="21"/>
      <c r="AP7" s="20"/>
      <c r="AQ7" s="1"/>
    </row>
    <row r="8">
      <c r="A8" s="25"/>
      <c r="B8" s="26"/>
      <c r="C8" s="27"/>
      <c r="D8" s="28"/>
      <c r="E8" s="29"/>
      <c r="F8" s="29"/>
      <c r="G8" s="30"/>
      <c r="H8" s="31" t="s">
        <v>14</v>
      </c>
      <c r="I8" s="31" t="s">
        <v>15</v>
      </c>
      <c r="J8" s="31" t="s">
        <v>16</v>
      </c>
      <c r="K8" s="30" t="s">
        <v>17</v>
      </c>
      <c r="L8" s="30" t="s">
        <v>18</v>
      </c>
      <c r="M8" s="30" t="s">
        <v>19</v>
      </c>
      <c r="N8" s="31" t="s">
        <v>20</v>
      </c>
      <c r="O8" s="31" t="s">
        <v>14</v>
      </c>
      <c r="P8" s="31" t="s">
        <v>15</v>
      </c>
      <c r="Q8" s="31" t="s">
        <v>16</v>
      </c>
      <c r="R8" s="30" t="s">
        <v>17</v>
      </c>
      <c r="S8" s="30" t="s">
        <v>18</v>
      </c>
      <c r="T8" s="30" t="s">
        <v>19</v>
      </c>
      <c r="U8" s="31" t="s">
        <v>20</v>
      </c>
      <c r="V8" s="31" t="s">
        <v>14</v>
      </c>
      <c r="W8" s="31" t="s">
        <v>15</v>
      </c>
      <c r="X8" s="31" t="s">
        <v>16</v>
      </c>
      <c r="Y8" s="30" t="s">
        <v>17</v>
      </c>
      <c r="Z8" s="30" t="s">
        <v>18</v>
      </c>
      <c r="AA8" s="30" t="s">
        <v>19</v>
      </c>
      <c r="AB8" s="31" t="s">
        <v>20</v>
      </c>
      <c r="AC8" s="31" t="s">
        <v>14</v>
      </c>
      <c r="AD8" s="31" t="s">
        <v>15</v>
      </c>
      <c r="AE8" s="31" t="s">
        <v>16</v>
      </c>
      <c r="AF8" s="30" t="s">
        <v>17</v>
      </c>
      <c r="AG8" s="30" t="s">
        <v>18</v>
      </c>
      <c r="AH8" s="30" t="s">
        <v>19</v>
      </c>
      <c r="AI8" s="31" t="s">
        <v>20</v>
      </c>
      <c r="AJ8" s="31"/>
      <c r="AK8" s="30"/>
      <c r="AL8" s="31"/>
      <c r="AM8" s="31"/>
      <c r="AN8" s="31"/>
      <c r="AO8" s="31"/>
      <c r="AP8" s="30"/>
      <c r="AQ8" s="25"/>
    </row>
    <row r="9" ht="15.0" customHeight="1">
      <c r="A9" s="25"/>
      <c r="B9" s="32"/>
      <c r="C9" s="32" t="s">
        <v>21</v>
      </c>
      <c r="D9" s="32" t="s">
        <v>22</v>
      </c>
      <c r="E9" s="33"/>
      <c r="F9" s="14" t="s">
        <v>23</v>
      </c>
      <c r="G9" s="21"/>
      <c r="H9" s="34">
        <v>0.0</v>
      </c>
      <c r="I9" s="34">
        <f t="shared" ref="I9:AO9" si="1">H14</f>
        <v>0</v>
      </c>
      <c r="J9" s="34">
        <f t="shared" si="1"/>
        <v>0</v>
      </c>
      <c r="K9" s="34">
        <f t="shared" si="1"/>
        <v>0</v>
      </c>
      <c r="L9" s="34">
        <f t="shared" si="1"/>
        <v>0</v>
      </c>
      <c r="M9" s="34">
        <f t="shared" si="1"/>
        <v>0</v>
      </c>
      <c r="N9" s="34">
        <f t="shared" si="1"/>
        <v>0</v>
      </c>
      <c r="O9" s="34">
        <f t="shared" si="1"/>
        <v>0</v>
      </c>
      <c r="P9" s="34">
        <f t="shared" si="1"/>
        <v>0</v>
      </c>
      <c r="Q9" s="34">
        <f t="shared" si="1"/>
        <v>0</v>
      </c>
      <c r="R9" s="34">
        <f t="shared" si="1"/>
        <v>0</v>
      </c>
      <c r="S9" s="34">
        <f t="shared" si="1"/>
        <v>0</v>
      </c>
      <c r="T9" s="34">
        <f t="shared" si="1"/>
        <v>0</v>
      </c>
      <c r="U9" s="34">
        <f t="shared" si="1"/>
        <v>0</v>
      </c>
      <c r="V9" s="34">
        <f t="shared" si="1"/>
        <v>0</v>
      </c>
      <c r="W9" s="34">
        <f t="shared" si="1"/>
        <v>0</v>
      </c>
      <c r="X9" s="34">
        <f t="shared" si="1"/>
        <v>0</v>
      </c>
      <c r="Y9" s="34">
        <f t="shared" si="1"/>
        <v>0</v>
      </c>
      <c r="Z9" s="34">
        <f t="shared" si="1"/>
        <v>0</v>
      </c>
      <c r="AA9" s="34">
        <f t="shared" si="1"/>
        <v>0</v>
      </c>
      <c r="AB9" s="34">
        <f t="shared" si="1"/>
        <v>0</v>
      </c>
      <c r="AC9" s="34">
        <f t="shared" si="1"/>
        <v>0</v>
      </c>
      <c r="AD9" s="34">
        <f t="shared" si="1"/>
        <v>0</v>
      </c>
      <c r="AE9" s="34">
        <f t="shared" si="1"/>
        <v>0</v>
      </c>
      <c r="AF9" s="34">
        <f t="shared" si="1"/>
        <v>0</v>
      </c>
      <c r="AG9" s="34">
        <f t="shared" si="1"/>
        <v>0</v>
      </c>
      <c r="AH9" s="34">
        <f t="shared" si="1"/>
        <v>0</v>
      </c>
      <c r="AI9" s="34">
        <f t="shared" si="1"/>
        <v>0</v>
      </c>
      <c r="AJ9" s="34">
        <f t="shared" si="1"/>
        <v>0</v>
      </c>
      <c r="AK9" s="34">
        <f t="shared" si="1"/>
        <v>0</v>
      </c>
      <c r="AL9" s="34">
        <f t="shared" si="1"/>
        <v>0</v>
      </c>
      <c r="AM9" s="34">
        <f t="shared" si="1"/>
        <v>0</v>
      </c>
      <c r="AN9" s="34">
        <f t="shared" si="1"/>
        <v>0</v>
      </c>
      <c r="AO9" s="34">
        <f t="shared" si="1"/>
        <v>0</v>
      </c>
      <c r="AP9" s="21"/>
      <c r="AQ9" s="25"/>
    </row>
    <row r="10" ht="15.0" customHeight="1">
      <c r="A10" s="25"/>
      <c r="B10" s="35"/>
      <c r="C10" s="35"/>
      <c r="D10" s="35"/>
      <c r="E10" s="33" t="s">
        <v>24</v>
      </c>
      <c r="F10" s="36" t="s">
        <v>25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  <c r="T10" s="37"/>
      <c r="U10" s="38"/>
      <c r="V10" s="37"/>
      <c r="W10" s="37"/>
      <c r="X10" s="37"/>
      <c r="Y10" s="37"/>
      <c r="Z10" s="37"/>
      <c r="AA10" s="37"/>
      <c r="AB10" s="37"/>
      <c r="AC10" s="37"/>
      <c r="AD10" s="38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9">
        <f t="shared" ref="AP10:AP13" si="2">SUM(H10:AO10)</f>
        <v>0</v>
      </c>
      <c r="AQ10" s="25"/>
    </row>
    <row r="11" ht="15.0" customHeight="1">
      <c r="A11" s="25"/>
      <c r="B11" s="35"/>
      <c r="C11" s="35"/>
      <c r="D11" s="35"/>
      <c r="E11" s="33"/>
      <c r="F11" s="40" t="s">
        <v>26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7"/>
      <c r="AP11" s="39">
        <f t="shared" si="2"/>
        <v>0</v>
      </c>
      <c r="AQ11" s="25"/>
    </row>
    <row r="12" ht="15.0" customHeight="1">
      <c r="A12" s="25"/>
      <c r="B12" s="35"/>
      <c r="C12" s="35"/>
      <c r="D12" s="35"/>
      <c r="E12" s="33" t="s">
        <v>27</v>
      </c>
      <c r="F12" s="41" t="s">
        <v>28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7"/>
      <c r="AP12" s="39">
        <f t="shared" si="2"/>
        <v>0</v>
      </c>
      <c r="AQ12" s="25"/>
    </row>
    <row r="13" ht="15.0" customHeight="1">
      <c r="A13" s="25"/>
      <c r="B13" s="35"/>
      <c r="C13" s="35"/>
      <c r="D13" s="35"/>
      <c r="E13" s="33"/>
      <c r="F13" s="41" t="s">
        <v>29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7"/>
      <c r="AP13" s="39">
        <f t="shared" si="2"/>
        <v>0</v>
      </c>
      <c r="AQ13" s="25"/>
    </row>
    <row r="14" ht="15.0" customHeight="1">
      <c r="A14" s="25"/>
      <c r="B14" s="42"/>
      <c r="C14" s="42"/>
      <c r="D14" s="42"/>
      <c r="E14" s="19"/>
      <c r="F14" s="43" t="s">
        <v>30</v>
      </c>
      <c r="G14" s="44"/>
      <c r="H14" s="34">
        <f t="shared" ref="H14:AN14" si="3">H9+H10-H11+H12-H13</f>
        <v>0</v>
      </c>
      <c r="I14" s="34">
        <f t="shared" si="3"/>
        <v>0</v>
      </c>
      <c r="J14" s="34">
        <f t="shared" si="3"/>
        <v>0</v>
      </c>
      <c r="K14" s="34">
        <f t="shared" si="3"/>
        <v>0</v>
      </c>
      <c r="L14" s="34">
        <f t="shared" si="3"/>
        <v>0</v>
      </c>
      <c r="M14" s="34">
        <f t="shared" si="3"/>
        <v>0</v>
      </c>
      <c r="N14" s="34">
        <f t="shared" si="3"/>
        <v>0</v>
      </c>
      <c r="O14" s="34">
        <f t="shared" si="3"/>
        <v>0</v>
      </c>
      <c r="P14" s="34">
        <f t="shared" si="3"/>
        <v>0</v>
      </c>
      <c r="Q14" s="34">
        <f t="shared" si="3"/>
        <v>0</v>
      </c>
      <c r="R14" s="34">
        <f t="shared" si="3"/>
        <v>0</v>
      </c>
      <c r="S14" s="34">
        <f t="shared" si="3"/>
        <v>0</v>
      </c>
      <c r="T14" s="34">
        <f t="shared" si="3"/>
        <v>0</v>
      </c>
      <c r="U14" s="34">
        <f t="shared" si="3"/>
        <v>0</v>
      </c>
      <c r="V14" s="34">
        <f t="shared" si="3"/>
        <v>0</v>
      </c>
      <c r="W14" s="34">
        <f t="shared" si="3"/>
        <v>0</v>
      </c>
      <c r="X14" s="34">
        <f t="shared" si="3"/>
        <v>0</v>
      </c>
      <c r="Y14" s="34">
        <f t="shared" si="3"/>
        <v>0</v>
      </c>
      <c r="Z14" s="34">
        <f t="shared" si="3"/>
        <v>0</v>
      </c>
      <c r="AA14" s="34">
        <f t="shared" si="3"/>
        <v>0</v>
      </c>
      <c r="AB14" s="34">
        <f t="shared" si="3"/>
        <v>0</v>
      </c>
      <c r="AC14" s="34">
        <f t="shared" si="3"/>
        <v>0</v>
      </c>
      <c r="AD14" s="34">
        <f t="shared" si="3"/>
        <v>0</v>
      </c>
      <c r="AE14" s="34">
        <f t="shared" si="3"/>
        <v>0</v>
      </c>
      <c r="AF14" s="34">
        <f t="shared" si="3"/>
        <v>0</v>
      </c>
      <c r="AG14" s="34">
        <f t="shared" si="3"/>
        <v>0</v>
      </c>
      <c r="AH14" s="34">
        <f t="shared" si="3"/>
        <v>0</v>
      </c>
      <c r="AI14" s="34">
        <f t="shared" si="3"/>
        <v>0</v>
      </c>
      <c r="AJ14" s="34">
        <f t="shared" si="3"/>
        <v>0</v>
      </c>
      <c r="AK14" s="34">
        <f t="shared" si="3"/>
        <v>0</v>
      </c>
      <c r="AL14" s="34">
        <f t="shared" si="3"/>
        <v>0</v>
      </c>
      <c r="AM14" s="34">
        <f t="shared" si="3"/>
        <v>0</v>
      </c>
      <c r="AN14" s="34">
        <f t="shared" si="3"/>
        <v>0</v>
      </c>
      <c r="AO14" s="34"/>
      <c r="AP14" s="45">
        <f>AO9</f>
        <v>0</v>
      </c>
      <c r="AQ14" s="25"/>
    </row>
    <row r="15" ht="15.0" customHeight="1">
      <c r="A15" s="25"/>
      <c r="B15" s="32"/>
      <c r="C15" s="32" t="s">
        <v>31</v>
      </c>
      <c r="D15" s="32" t="s">
        <v>22</v>
      </c>
      <c r="E15" s="33"/>
      <c r="F15" s="14" t="s">
        <v>23</v>
      </c>
      <c r="G15" s="21"/>
      <c r="H15" s="34">
        <v>0.0</v>
      </c>
      <c r="I15" s="34">
        <f t="shared" ref="I15:AO15" si="4">H20</f>
        <v>0</v>
      </c>
      <c r="J15" s="34">
        <f t="shared" si="4"/>
        <v>0</v>
      </c>
      <c r="K15" s="34">
        <f t="shared" si="4"/>
        <v>0</v>
      </c>
      <c r="L15" s="34">
        <f t="shared" si="4"/>
        <v>0</v>
      </c>
      <c r="M15" s="34">
        <f t="shared" si="4"/>
        <v>0</v>
      </c>
      <c r="N15" s="34">
        <f t="shared" si="4"/>
        <v>0</v>
      </c>
      <c r="O15" s="34">
        <f t="shared" si="4"/>
        <v>0</v>
      </c>
      <c r="P15" s="34">
        <f t="shared" si="4"/>
        <v>0</v>
      </c>
      <c r="Q15" s="34">
        <f t="shared" si="4"/>
        <v>0</v>
      </c>
      <c r="R15" s="34">
        <f t="shared" si="4"/>
        <v>0</v>
      </c>
      <c r="S15" s="34">
        <f t="shared" si="4"/>
        <v>0</v>
      </c>
      <c r="T15" s="34">
        <f t="shared" si="4"/>
        <v>0</v>
      </c>
      <c r="U15" s="34">
        <f t="shared" si="4"/>
        <v>0</v>
      </c>
      <c r="V15" s="34">
        <f t="shared" si="4"/>
        <v>0</v>
      </c>
      <c r="W15" s="34">
        <f t="shared" si="4"/>
        <v>0</v>
      </c>
      <c r="X15" s="34">
        <f t="shared" si="4"/>
        <v>0</v>
      </c>
      <c r="Y15" s="34">
        <f t="shared" si="4"/>
        <v>0</v>
      </c>
      <c r="Z15" s="34">
        <f t="shared" si="4"/>
        <v>0</v>
      </c>
      <c r="AA15" s="34">
        <f t="shared" si="4"/>
        <v>0</v>
      </c>
      <c r="AB15" s="34">
        <f t="shared" si="4"/>
        <v>0</v>
      </c>
      <c r="AC15" s="34">
        <f t="shared" si="4"/>
        <v>0</v>
      </c>
      <c r="AD15" s="34">
        <f t="shared" si="4"/>
        <v>0</v>
      </c>
      <c r="AE15" s="34">
        <f t="shared" si="4"/>
        <v>0</v>
      </c>
      <c r="AF15" s="34">
        <f t="shared" si="4"/>
        <v>0</v>
      </c>
      <c r="AG15" s="34">
        <f t="shared" si="4"/>
        <v>0</v>
      </c>
      <c r="AH15" s="34">
        <f t="shared" si="4"/>
        <v>0</v>
      </c>
      <c r="AI15" s="34">
        <f t="shared" si="4"/>
        <v>0</v>
      </c>
      <c r="AJ15" s="34">
        <f t="shared" si="4"/>
        <v>0</v>
      </c>
      <c r="AK15" s="34">
        <f t="shared" si="4"/>
        <v>0</v>
      </c>
      <c r="AL15" s="34">
        <f t="shared" si="4"/>
        <v>0</v>
      </c>
      <c r="AM15" s="34">
        <f t="shared" si="4"/>
        <v>0</v>
      </c>
      <c r="AN15" s="34">
        <f t="shared" si="4"/>
        <v>0</v>
      </c>
      <c r="AO15" s="34">
        <f t="shared" si="4"/>
        <v>0</v>
      </c>
      <c r="AP15" s="21"/>
      <c r="AQ15" s="25"/>
    </row>
    <row r="16" ht="15.0" customHeight="1">
      <c r="A16" s="25"/>
      <c r="B16" s="35"/>
      <c r="C16" s="35"/>
      <c r="D16" s="35"/>
      <c r="E16" s="33" t="s">
        <v>24</v>
      </c>
      <c r="F16" s="36" t="s">
        <v>25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8"/>
      <c r="T16" s="37"/>
      <c r="U16" s="38"/>
      <c r="V16" s="37"/>
      <c r="W16" s="37"/>
      <c r="X16" s="37"/>
      <c r="Y16" s="37"/>
      <c r="Z16" s="37"/>
      <c r="AA16" s="37"/>
      <c r="AB16" s="37"/>
      <c r="AC16" s="37"/>
      <c r="AD16" s="38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9">
        <f t="shared" ref="AP16:AP19" si="5">SUM(H16:AO16)</f>
        <v>0</v>
      </c>
      <c r="AQ16" s="25"/>
    </row>
    <row r="17" ht="15.0" customHeight="1">
      <c r="A17" s="25"/>
      <c r="B17" s="35"/>
      <c r="C17" s="35"/>
      <c r="D17" s="35"/>
      <c r="E17" s="33"/>
      <c r="F17" s="40" t="s">
        <v>26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7"/>
      <c r="AP17" s="39">
        <f t="shared" si="5"/>
        <v>0</v>
      </c>
      <c r="AQ17" s="25"/>
    </row>
    <row r="18" ht="15.0" customHeight="1">
      <c r="A18" s="25"/>
      <c r="B18" s="35"/>
      <c r="C18" s="35"/>
      <c r="D18" s="35"/>
      <c r="E18" s="33" t="s">
        <v>27</v>
      </c>
      <c r="F18" s="41" t="s">
        <v>28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7"/>
      <c r="AP18" s="39">
        <f t="shared" si="5"/>
        <v>0</v>
      </c>
      <c r="AQ18" s="25"/>
    </row>
    <row r="19" ht="15.0" customHeight="1">
      <c r="A19" s="25"/>
      <c r="B19" s="35"/>
      <c r="C19" s="35"/>
      <c r="D19" s="35"/>
      <c r="E19" s="33"/>
      <c r="F19" s="41" t="s">
        <v>29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7"/>
      <c r="AP19" s="39">
        <f t="shared" si="5"/>
        <v>0</v>
      </c>
      <c r="AQ19" s="25"/>
    </row>
    <row r="20" ht="15.0" customHeight="1">
      <c r="A20" s="25"/>
      <c r="B20" s="42"/>
      <c r="C20" s="42"/>
      <c r="D20" s="42"/>
      <c r="E20" s="19"/>
      <c r="F20" s="43" t="s">
        <v>30</v>
      </c>
      <c r="G20" s="44"/>
      <c r="H20" s="34">
        <f t="shared" ref="H20:AN20" si="6">H15+H16-H17+H18-H19</f>
        <v>0</v>
      </c>
      <c r="I20" s="34">
        <f t="shared" si="6"/>
        <v>0</v>
      </c>
      <c r="J20" s="34">
        <f t="shared" si="6"/>
        <v>0</v>
      </c>
      <c r="K20" s="34">
        <f t="shared" si="6"/>
        <v>0</v>
      </c>
      <c r="L20" s="34">
        <f t="shared" si="6"/>
        <v>0</v>
      </c>
      <c r="M20" s="34">
        <f t="shared" si="6"/>
        <v>0</v>
      </c>
      <c r="N20" s="34">
        <f t="shared" si="6"/>
        <v>0</v>
      </c>
      <c r="O20" s="34">
        <f t="shared" si="6"/>
        <v>0</v>
      </c>
      <c r="P20" s="34">
        <f t="shared" si="6"/>
        <v>0</v>
      </c>
      <c r="Q20" s="34">
        <f t="shared" si="6"/>
        <v>0</v>
      </c>
      <c r="R20" s="34">
        <f t="shared" si="6"/>
        <v>0</v>
      </c>
      <c r="S20" s="34">
        <f t="shared" si="6"/>
        <v>0</v>
      </c>
      <c r="T20" s="34">
        <f t="shared" si="6"/>
        <v>0</v>
      </c>
      <c r="U20" s="34">
        <f t="shared" si="6"/>
        <v>0</v>
      </c>
      <c r="V20" s="34">
        <f t="shared" si="6"/>
        <v>0</v>
      </c>
      <c r="W20" s="34">
        <f t="shared" si="6"/>
        <v>0</v>
      </c>
      <c r="X20" s="34">
        <f t="shared" si="6"/>
        <v>0</v>
      </c>
      <c r="Y20" s="34">
        <f t="shared" si="6"/>
        <v>0</v>
      </c>
      <c r="Z20" s="34">
        <f t="shared" si="6"/>
        <v>0</v>
      </c>
      <c r="AA20" s="34">
        <f t="shared" si="6"/>
        <v>0</v>
      </c>
      <c r="AB20" s="34">
        <f t="shared" si="6"/>
        <v>0</v>
      </c>
      <c r="AC20" s="34">
        <f t="shared" si="6"/>
        <v>0</v>
      </c>
      <c r="AD20" s="34">
        <f t="shared" si="6"/>
        <v>0</v>
      </c>
      <c r="AE20" s="34">
        <f t="shared" si="6"/>
        <v>0</v>
      </c>
      <c r="AF20" s="34">
        <f t="shared" si="6"/>
        <v>0</v>
      </c>
      <c r="AG20" s="34">
        <f t="shared" si="6"/>
        <v>0</v>
      </c>
      <c r="AH20" s="34">
        <f t="shared" si="6"/>
        <v>0</v>
      </c>
      <c r="AI20" s="34">
        <f t="shared" si="6"/>
        <v>0</v>
      </c>
      <c r="AJ20" s="34">
        <f t="shared" si="6"/>
        <v>0</v>
      </c>
      <c r="AK20" s="34">
        <f t="shared" si="6"/>
        <v>0</v>
      </c>
      <c r="AL20" s="34">
        <f t="shared" si="6"/>
        <v>0</v>
      </c>
      <c r="AM20" s="34">
        <f t="shared" si="6"/>
        <v>0</v>
      </c>
      <c r="AN20" s="34">
        <f t="shared" si="6"/>
        <v>0</v>
      </c>
      <c r="AO20" s="34"/>
      <c r="AP20" s="45">
        <f>AO15</f>
        <v>0</v>
      </c>
      <c r="AQ20" s="25"/>
    </row>
    <row r="21" ht="15.0" customHeight="1">
      <c r="A21" s="25"/>
      <c r="B21" s="32"/>
      <c r="C21" s="32" t="s">
        <v>32</v>
      </c>
      <c r="D21" s="32" t="s">
        <v>33</v>
      </c>
      <c r="E21" s="33"/>
      <c r="F21" s="14" t="s">
        <v>23</v>
      </c>
      <c r="G21" s="21"/>
      <c r="H21" s="34">
        <v>8.0</v>
      </c>
      <c r="I21" s="34">
        <f t="shared" ref="I21:AO21" si="7">H26</f>
        <v>8</v>
      </c>
      <c r="J21" s="34">
        <f t="shared" si="7"/>
        <v>8</v>
      </c>
      <c r="K21" s="34">
        <f t="shared" si="7"/>
        <v>8</v>
      </c>
      <c r="L21" s="34">
        <f t="shared" si="7"/>
        <v>8</v>
      </c>
      <c r="M21" s="34">
        <f t="shared" si="7"/>
        <v>8</v>
      </c>
      <c r="N21" s="34">
        <f t="shared" si="7"/>
        <v>8</v>
      </c>
      <c r="O21" s="34">
        <f t="shared" si="7"/>
        <v>8</v>
      </c>
      <c r="P21" s="34">
        <f t="shared" si="7"/>
        <v>8</v>
      </c>
      <c r="Q21" s="34">
        <f t="shared" si="7"/>
        <v>8</v>
      </c>
      <c r="R21" s="34">
        <f t="shared" si="7"/>
        <v>9</v>
      </c>
      <c r="S21" s="34">
        <f t="shared" si="7"/>
        <v>9</v>
      </c>
      <c r="T21" s="34">
        <f t="shared" si="7"/>
        <v>9</v>
      </c>
      <c r="U21" s="34">
        <f t="shared" si="7"/>
        <v>9</v>
      </c>
      <c r="V21" s="34">
        <f t="shared" si="7"/>
        <v>9</v>
      </c>
      <c r="W21" s="34">
        <f t="shared" si="7"/>
        <v>30</v>
      </c>
      <c r="X21" s="34">
        <f t="shared" si="7"/>
        <v>30</v>
      </c>
      <c r="Y21" s="34">
        <f t="shared" si="7"/>
        <v>30</v>
      </c>
      <c r="Z21" s="34">
        <f t="shared" si="7"/>
        <v>10</v>
      </c>
      <c r="AA21" s="34">
        <f t="shared" si="7"/>
        <v>10</v>
      </c>
      <c r="AB21" s="34">
        <f t="shared" si="7"/>
        <v>10</v>
      </c>
      <c r="AC21" s="34">
        <f t="shared" si="7"/>
        <v>10</v>
      </c>
      <c r="AD21" s="34">
        <f t="shared" si="7"/>
        <v>10</v>
      </c>
      <c r="AE21" s="34">
        <f t="shared" si="7"/>
        <v>10</v>
      </c>
      <c r="AF21" s="34">
        <f t="shared" si="7"/>
        <v>10</v>
      </c>
      <c r="AG21" s="34">
        <f t="shared" si="7"/>
        <v>10</v>
      </c>
      <c r="AH21" s="34">
        <f t="shared" si="7"/>
        <v>10</v>
      </c>
      <c r="AI21" s="34">
        <f t="shared" si="7"/>
        <v>10</v>
      </c>
      <c r="AJ21" s="34">
        <f t="shared" si="7"/>
        <v>10</v>
      </c>
      <c r="AK21" s="34">
        <f t="shared" si="7"/>
        <v>10</v>
      </c>
      <c r="AL21" s="34">
        <f t="shared" si="7"/>
        <v>10</v>
      </c>
      <c r="AM21" s="34">
        <f t="shared" si="7"/>
        <v>10</v>
      </c>
      <c r="AN21" s="34">
        <f t="shared" si="7"/>
        <v>10</v>
      </c>
      <c r="AO21" s="34">
        <f t="shared" si="7"/>
        <v>10</v>
      </c>
      <c r="AP21" s="21"/>
      <c r="AQ21" s="25"/>
    </row>
    <row r="22" ht="15.0" customHeight="1">
      <c r="A22" s="25"/>
      <c r="B22" s="35"/>
      <c r="C22" s="35"/>
      <c r="D22" s="35"/>
      <c r="E22" s="33" t="s">
        <v>24</v>
      </c>
      <c r="F22" s="36" t="s">
        <v>25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>
        <v>1.0</v>
      </c>
      <c r="R22" s="37"/>
      <c r="S22" s="38"/>
      <c r="T22" s="37"/>
      <c r="U22" s="38"/>
      <c r="V22" s="37">
        <v>21.0</v>
      </c>
      <c r="W22" s="37"/>
      <c r="X22" s="37"/>
      <c r="Y22" s="37">
        <v>10.0</v>
      </c>
      <c r="Z22" s="37"/>
      <c r="AA22" s="37"/>
      <c r="AB22" s="37"/>
      <c r="AC22" s="37"/>
      <c r="AD22" s="38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9">
        <f t="shared" ref="AP22:AP25" si="8">SUM(H22:AO22)</f>
        <v>32</v>
      </c>
      <c r="AQ22" s="25"/>
    </row>
    <row r="23" ht="15.0" customHeight="1">
      <c r="A23" s="46"/>
      <c r="B23" s="35"/>
      <c r="C23" s="35"/>
      <c r="D23" s="35"/>
      <c r="E23" s="47"/>
      <c r="F23" s="40" t="s">
        <v>26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>
        <v>30.0</v>
      </c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9"/>
      <c r="AP23" s="50">
        <f t="shared" si="8"/>
        <v>30</v>
      </c>
      <c r="AQ23" s="46"/>
    </row>
    <row r="24" ht="15.0" customHeight="1">
      <c r="A24" s="25"/>
      <c r="B24" s="35"/>
      <c r="C24" s="35"/>
      <c r="D24" s="35"/>
      <c r="E24" s="33" t="s">
        <v>27</v>
      </c>
      <c r="F24" s="41" t="s">
        <v>28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7"/>
      <c r="AP24" s="39">
        <f t="shared" si="8"/>
        <v>0</v>
      </c>
      <c r="AQ24" s="25"/>
    </row>
    <row r="25" ht="15.0" customHeight="1">
      <c r="A25" s="25"/>
      <c r="B25" s="35"/>
      <c r="C25" s="35"/>
      <c r="D25" s="35"/>
      <c r="E25" s="33"/>
      <c r="F25" s="41" t="s">
        <v>29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7"/>
      <c r="AP25" s="39">
        <f t="shared" si="8"/>
        <v>0</v>
      </c>
      <c r="AQ25" s="25"/>
    </row>
    <row r="26" ht="15.0" customHeight="1">
      <c r="A26" s="25"/>
      <c r="B26" s="42"/>
      <c r="C26" s="42"/>
      <c r="D26" s="42"/>
      <c r="E26" s="19"/>
      <c r="F26" s="43" t="s">
        <v>30</v>
      </c>
      <c r="G26" s="44"/>
      <c r="H26" s="34">
        <f t="shared" ref="H26:AN26" si="9">H21+H22-H23+H24-H25</f>
        <v>8</v>
      </c>
      <c r="I26" s="34">
        <f t="shared" si="9"/>
        <v>8</v>
      </c>
      <c r="J26" s="34">
        <f t="shared" si="9"/>
        <v>8</v>
      </c>
      <c r="K26" s="34">
        <f t="shared" si="9"/>
        <v>8</v>
      </c>
      <c r="L26" s="34">
        <f t="shared" si="9"/>
        <v>8</v>
      </c>
      <c r="M26" s="34">
        <f t="shared" si="9"/>
        <v>8</v>
      </c>
      <c r="N26" s="34">
        <f t="shared" si="9"/>
        <v>8</v>
      </c>
      <c r="O26" s="34">
        <f t="shared" si="9"/>
        <v>8</v>
      </c>
      <c r="P26" s="34">
        <f t="shared" si="9"/>
        <v>8</v>
      </c>
      <c r="Q26" s="34">
        <f t="shared" si="9"/>
        <v>9</v>
      </c>
      <c r="R26" s="34">
        <f t="shared" si="9"/>
        <v>9</v>
      </c>
      <c r="S26" s="34">
        <f t="shared" si="9"/>
        <v>9</v>
      </c>
      <c r="T26" s="34">
        <f t="shared" si="9"/>
        <v>9</v>
      </c>
      <c r="U26" s="34">
        <f t="shared" si="9"/>
        <v>9</v>
      </c>
      <c r="V26" s="34">
        <f t="shared" si="9"/>
        <v>30</v>
      </c>
      <c r="W26" s="34">
        <f t="shared" si="9"/>
        <v>30</v>
      </c>
      <c r="X26" s="34">
        <f t="shared" si="9"/>
        <v>30</v>
      </c>
      <c r="Y26" s="34">
        <f t="shared" si="9"/>
        <v>10</v>
      </c>
      <c r="Z26" s="34">
        <f t="shared" si="9"/>
        <v>10</v>
      </c>
      <c r="AA26" s="34">
        <f t="shared" si="9"/>
        <v>10</v>
      </c>
      <c r="AB26" s="34">
        <f t="shared" si="9"/>
        <v>10</v>
      </c>
      <c r="AC26" s="34">
        <f t="shared" si="9"/>
        <v>10</v>
      </c>
      <c r="AD26" s="34">
        <f t="shared" si="9"/>
        <v>10</v>
      </c>
      <c r="AE26" s="34">
        <f t="shared" si="9"/>
        <v>10</v>
      </c>
      <c r="AF26" s="34">
        <f t="shared" si="9"/>
        <v>10</v>
      </c>
      <c r="AG26" s="34">
        <f t="shared" si="9"/>
        <v>10</v>
      </c>
      <c r="AH26" s="34">
        <f t="shared" si="9"/>
        <v>10</v>
      </c>
      <c r="AI26" s="34">
        <f t="shared" si="9"/>
        <v>10</v>
      </c>
      <c r="AJ26" s="34">
        <f t="shared" si="9"/>
        <v>10</v>
      </c>
      <c r="AK26" s="34">
        <f t="shared" si="9"/>
        <v>10</v>
      </c>
      <c r="AL26" s="34">
        <f t="shared" si="9"/>
        <v>10</v>
      </c>
      <c r="AM26" s="34">
        <f t="shared" si="9"/>
        <v>10</v>
      </c>
      <c r="AN26" s="34">
        <f t="shared" si="9"/>
        <v>10</v>
      </c>
      <c r="AO26" s="34"/>
      <c r="AP26" s="45">
        <f>AO21</f>
        <v>10</v>
      </c>
      <c r="AQ26" s="25"/>
    </row>
    <row r="27" ht="15.0" customHeight="1">
      <c r="A27" s="25"/>
      <c r="B27" s="32"/>
      <c r="C27" s="32" t="s">
        <v>34</v>
      </c>
      <c r="D27" s="32" t="s">
        <v>35</v>
      </c>
      <c r="E27" s="33"/>
      <c r="F27" s="14" t="s">
        <v>23</v>
      </c>
      <c r="G27" s="21"/>
      <c r="H27" s="34">
        <v>0.0</v>
      </c>
      <c r="I27" s="34">
        <f t="shared" ref="I27:AO27" si="10">H32</f>
        <v>0</v>
      </c>
      <c r="J27" s="34">
        <f t="shared" si="10"/>
        <v>0</v>
      </c>
      <c r="K27" s="34">
        <f t="shared" si="10"/>
        <v>0</v>
      </c>
      <c r="L27" s="34">
        <f t="shared" si="10"/>
        <v>0</v>
      </c>
      <c r="M27" s="34">
        <f t="shared" si="10"/>
        <v>0</v>
      </c>
      <c r="N27" s="34">
        <f t="shared" si="10"/>
        <v>0</v>
      </c>
      <c r="O27" s="34">
        <f t="shared" si="10"/>
        <v>0</v>
      </c>
      <c r="P27" s="34">
        <f t="shared" si="10"/>
        <v>0</v>
      </c>
      <c r="Q27" s="34">
        <f t="shared" si="10"/>
        <v>0</v>
      </c>
      <c r="R27" s="34">
        <f t="shared" si="10"/>
        <v>0</v>
      </c>
      <c r="S27" s="34">
        <f t="shared" si="10"/>
        <v>0</v>
      </c>
      <c r="T27" s="34">
        <f t="shared" si="10"/>
        <v>0</v>
      </c>
      <c r="U27" s="34">
        <f t="shared" si="10"/>
        <v>0</v>
      </c>
      <c r="V27" s="34">
        <f t="shared" si="10"/>
        <v>0</v>
      </c>
      <c r="W27" s="34">
        <f t="shared" si="10"/>
        <v>0</v>
      </c>
      <c r="X27" s="34">
        <f t="shared" si="10"/>
        <v>0</v>
      </c>
      <c r="Y27" s="34">
        <f t="shared" si="10"/>
        <v>0</v>
      </c>
      <c r="Z27" s="34">
        <f t="shared" si="10"/>
        <v>0</v>
      </c>
      <c r="AA27" s="34">
        <f t="shared" si="10"/>
        <v>0</v>
      </c>
      <c r="AB27" s="34">
        <f t="shared" si="10"/>
        <v>0</v>
      </c>
      <c r="AC27" s="34">
        <f t="shared" si="10"/>
        <v>0</v>
      </c>
      <c r="AD27" s="34">
        <f t="shared" si="10"/>
        <v>0</v>
      </c>
      <c r="AE27" s="34">
        <f t="shared" si="10"/>
        <v>0</v>
      </c>
      <c r="AF27" s="34">
        <f t="shared" si="10"/>
        <v>0</v>
      </c>
      <c r="AG27" s="34">
        <f t="shared" si="10"/>
        <v>0</v>
      </c>
      <c r="AH27" s="34">
        <f t="shared" si="10"/>
        <v>0</v>
      </c>
      <c r="AI27" s="34">
        <f t="shared" si="10"/>
        <v>0</v>
      </c>
      <c r="AJ27" s="34">
        <f t="shared" si="10"/>
        <v>0</v>
      </c>
      <c r="AK27" s="34">
        <f t="shared" si="10"/>
        <v>0</v>
      </c>
      <c r="AL27" s="34">
        <f t="shared" si="10"/>
        <v>0</v>
      </c>
      <c r="AM27" s="34">
        <f t="shared" si="10"/>
        <v>0</v>
      </c>
      <c r="AN27" s="34">
        <f t="shared" si="10"/>
        <v>0</v>
      </c>
      <c r="AO27" s="34">
        <f t="shared" si="10"/>
        <v>0</v>
      </c>
      <c r="AP27" s="21"/>
      <c r="AQ27" s="25"/>
    </row>
    <row r="28" ht="15.0" customHeight="1">
      <c r="A28" s="25"/>
      <c r="B28" s="35"/>
      <c r="C28" s="35"/>
      <c r="D28" s="35"/>
      <c r="E28" s="33" t="s">
        <v>24</v>
      </c>
      <c r="F28" s="36" t="s">
        <v>25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8"/>
      <c r="T28" s="37"/>
      <c r="U28" s="38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9">
        <f t="shared" ref="AP28:AP31" si="11">SUM(H28:AO28)</f>
        <v>0</v>
      </c>
      <c r="AQ28" s="25"/>
    </row>
    <row r="29" ht="15.0" customHeight="1">
      <c r="A29" s="25"/>
      <c r="B29" s="35"/>
      <c r="C29" s="35"/>
      <c r="D29" s="35"/>
      <c r="E29" s="33"/>
      <c r="F29" s="40" t="s">
        <v>26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7"/>
      <c r="AP29" s="39">
        <f t="shared" si="11"/>
        <v>0</v>
      </c>
      <c r="AQ29" s="25"/>
    </row>
    <row r="30" ht="15.0" customHeight="1">
      <c r="A30" s="25"/>
      <c r="B30" s="35"/>
      <c r="C30" s="35"/>
      <c r="D30" s="35"/>
      <c r="E30" s="33" t="s">
        <v>27</v>
      </c>
      <c r="F30" s="41" t="s">
        <v>28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7"/>
      <c r="AP30" s="39">
        <f t="shared" si="11"/>
        <v>0</v>
      </c>
      <c r="AQ30" s="25"/>
    </row>
    <row r="31" ht="15.0" customHeight="1">
      <c r="A31" s="25"/>
      <c r="B31" s="35"/>
      <c r="C31" s="35"/>
      <c r="D31" s="35"/>
      <c r="E31" s="33"/>
      <c r="F31" s="41" t="s">
        <v>29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7"/>
      <c r="AP31" s="39">
        <f t="shared" si="11"/>
        <v>0</v>
      </c>
      <c r="AQ31" s="25"/>
    </row>
    <row r="32" ht="15.0" customHeight="1">
      <c r="A32" s="25"/>
      <c r="B32" s="42"/>
      <c r="C32" s="42"/>
      <c r="D32" s="42"/>
      <c r="E32" s="19"/>
      <c r="F32" s="43" t="s">
        <v>30</v>
      </c>
      <c r="G32" s="44"/>
      <c r="H32" s="34">
        <f t="shared" ref="H32:AN32" si="12">H27+H28-H29+H30-H31</f>
        <v>0</v>
      </c>
      <c r="I32" s="34">
        <f t="shared" si="12"/>
        <v>0</v>
      </c>
      <c r="J32" s="34">
        <f t="shared" si="12"/>
        <v>0</v>
      </c>
      <c r="K32" s="34">
        <f t="shared" si="12"/>
        <v>0</v>
      </c>
      <c r="L32" s="34">
        <f t="shared" si="12"/>
        <v>0</v>
      </c>
      <c r="M32" s="34">
        <f t="shared" si="12"/>
        <v>0</v>
      </c>
      <c r="N32" s="34">
        <f t="shared" si="12"/>
        <v>0</v>
      </c>
      <c r="O32" s="34">
        <f t="shared" si="12"/>
        <v>0</v>
      </c>
      <c r="P32" s="34">
        <f t="shared" si="12"/>
        <v>0</v>
      </c>
      <c r="Q32" s="34">
        <f t="shared" si="12"/>
        <v>0</v>
      </c>
      <c r="R32" s="34">
        <f t="shared" si="12"/>
        <v>0</v>
      </c>
      <c r="S32" s="34">
        <f t="shared" si="12"/>
        <v>0</v>
      </c>
      <c r="T32" s="34">
        <f t="shared" si="12"/>
        <v>0</v>
      </c>
      <c r="U32" s="34">
        <f t="shared" si="12"/>
        <v>0</v>
      </c>
      <c r="V32" s="34">
        <f t="shared" si="12"/>
        <v>0</v>
      </c>
      <c r="W32" s="34">
        <f t="shared" si="12"/>
        <v>0</v>
      </c>
      <c r="X32" s="34">
        <f t="shared" si="12"/>
        <v>0</v>
      </c>
      <c r="Y32" s="34">
        <f t="shared" si="12"/>
        <v>0</v>
      </c>
      <c r="Z32" s="34">
        <f t="shared" si="12"/>
        <v>0</v>
      </c>
      <c r="AA32" s="34">
        <f t="shared" si="12"/>
        <v>0</v>
      </c>
      <c r="AB32" s="34">
        <f t="shared" si="12"/>
        <v>0</v>
      </c>
      <c r="AC32" s="34">
        <f t="shared" si="12"/>
        <v>0</v>
      </c>
      <c r="AD32" s="34">
        <f t="shared" si="12"/>
        <v>0</v>
      </c>
      <c r="AE32" s="34">
        <f t="shared" si="12"/>
        <v>0</v>
      </c>
      <c r="AF32" s="34">
        <f t="shared" si="12"/>
        <v>0</v>
      </c>
      <c r="AG32" s="34">
        <f t="shared" si="12"/>
        <v>0</v>
      </c>
      <c r="AH32" s="34">
        <f t="shared" si="12"/>
        <v>0</v>
      </c>
      <c r="AI32" s="34">
        <f t="shared" si="12"/>
        <v>0</v>
      </c>
      <c r="AJ32" s="34">
        <f t="shared" si="12"/>
        <v>0</v>
      </c>
      <c r="AK32" s="34">
        <f t="shared" si="12"/>
        <v>0</v>
      </c>
      <c r="AL32" s="34">
        <f t="shared" si="12"/>
        <v>0</v>
      </c>
      <c r="AM32" s="34">
        <f t="shared" si="12"/>
        <v>0</v>
      </c>
      <c r="AN32" s="34">
        <f t="shared" si="12"/>
        <v>0</v>
      </c>
      <c r="AO32" s="34"/>
      <c r="AP32" s="45">
        <f>AO27</f>
        <v>0</v>
      </c>
      <c r="AQ32" s="25"/>
    </row>
    <row r="33" ht="13.5" customHeight="1">
      <c r="A33" s="25"/>
      <c r="B33" s="32"/>
      <c r="C33" s="32" t="s">
        <v>36</v>
      </c>
      <c r="D33" s="32" t="s">
        <v>37</v>
      </c>
      <c r="E33" s="33"/>
      <c r="F33" s="14" t="s">
        <v>23</v>
      </c>
      <c r="G33" s="21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>
        <f>AN41</f>
        <v>0</v>
      </c>
      <c r="AP33" s="21"/>
      <c r="AQ33" s="25"/>
    </row>
    <row r="34" ht="16.5" customHeight="1">
      <c r="A34" s="25"/>
      <c r="B34" s="35"/>
      <c r="C34" s="35"/>
      <c r="D34" s="35"/>
      <c r="E34" s="33" t="s">
        <v>24</v>
      </c>
      <c r="F34" s="36" t="s">
        <v>25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8"/>
      <c r="T34" s="37"/>
      <c r="U34" s="38"/>
      <c r="V34" s="37"/>
      <c r="W34" s="37"/>
      <c r="X34" s="37"/>
      <c r="Y34" s="37"/>
      <c r="Z34" s="37"/>
      <c r="AA34" s="37"/>
      <c r="AB34" s="37"/>
      <c r="AC34" s="37"/>
      <c r="AD34" s="38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9">
        <f>SUM(H34:AO34)</f>
        <v>0</v>
      </c>
      <c r="AQ34" s="25"/>
    </row>
    <row r="35" ht="16.5" customHeight="1">
      <c r="A35" s="25"/>
      <c r="B35" s="35"/>
      <c r="C35" s="35"/>
      <c r="D35" s="35"/>
      <c r="E35" s="33" t="s">
        <v>38</v>
      </c>
      <c r="F35" s="36" t="s">
        <v>25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8"/>
      <c r="T35" s="37"/>
      <c r="U35" s="38"/>
      <c r="V35" s="37"/>
      <c r="W35" s="37"/>
      <c r="X35" s="37"/>
      <c r="Y35" s="37"/>
      <c r="Z35" s="37"/>
      <c r="AA35" s="37"/>
      <c r="AB35" s="37"/>
      <c r="AC35" s="37"/>
      <c r="AD35" s="38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9"/>
      <c r="AQ35" s="25"/>
    </row>
    <row r="36" ht="16.5" customHeight="1">
      <c r="A36" s="25"/>
      <c r="B36" s="35"/>
      <c r="C36" s="35"/>
      <c r="D36" s="35"/>
      <c r="E36" s="33" t="s">
        <v>39</v>
      </c>
      <c r="F36" s="36" t="s">
        <v>25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8"/>
      <c r="T36" s="37"/>
      <c r="U36" s="38"/>
      <c r="V36" s="37"/>
      <c r="W36" s="37"/>
      <c r="X36" s="37"/>
      <c r="Y36" s="37"/>
      <c r="Z36" s="37"/>
      <c r="AA36" s="37"/>
      <c r="AB36" s="37"/>
      <c r="AC36" s="37"/>
      <c r="AD36" s="38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9"/>
      <c r="AQ36" s="25"/>
    </row>
    <row r="37" ht="16.5" customHeight="1">
      <c r="A37" s="25"/>
      <c r="B37" s="35"/>
      <c r="C37" s="35"/>
      <c r="D37" s="35"/>
      <c r="E37" s="33" t="s">
        <v>40</v>
      </c>
      <c r="F37" s="36" t="s">
        <v>25</v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8"/>
      <c r="T37" s="37"/>
      <c r="U37" s="38"/>
      <c r="V37" s="37"/>
      <c r="W37" s="37"/>
      <c r="X37" s="37"/>
      <c r="Y37" s="37"/>
      <c r="Z37" s="37"/>
      <c r="AA37" s="37"/>
      <c r="AB37" s="37"/>
      <c r="AC37" s="37"/>
      <c r="AD37" s="38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9"/>
      <c r="AQ37" s="25"/>
    </row>
    <row r="38" ht="15.0" customHeight="1">
      <c r="A38" s="46"/>
      <c r="B38" s="35"/>
      <c r="C38" s="35"/>
      <c r="D38" s="35"/>
      <c r="E38" s="47"/>
      <c r="F38" s="40" t="s">
        <v>26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9"/>
      <c r="AP38" s="50">
        <f t="shared" ref="AP38:AP40" si="13">SUM(H38:AO38)</f>
        <v>0</v>
      </c>
      <c r="AQ38" s="46"/>
    </row>
    <row r="39" ht="15.0" customHeight="1">
      <c r="A39" s="25"/>
      <c r="B39" s="35"/>
      <c r="C39" s="35"/>
      <c r="D39" s="35"/>
      <c r="E39" s="33" t="s">
        <v>27</v>
      </c>
      <c r="F39" s="41" t="s">
        <v>28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7"/>
      <c r="AP39" s="39">
        <f t="shared" si="13"/>
        <v>0</v>
      </c>
      <c r="AQ39" s="25"/>
    </row>
    <row r="40" ht="15.75" customHeight="1">
      <c r="A40" s="25"/>
      <c r="B40" s="35"/>
      <c r="C40" s="35"/>
      <c r="D40" s="35"/>
      <c r="E40" s="33"/>
      <c r="F40" s="41" t="s">
        <v>29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7"/>
      <c r="AP40" s="39">
        <f t="shared" si="13"/>
        <v>0</v>
      </c>
      <c r="AQ40" s="25"/>
    </row>
    <row r="41" ht="15.75" customHeight="1">
      <c r="A41" s="25"/>
      <c r="B41" s="42"/>
      <c r="C41" s="42"/>
      <c r="D41" s="42"/>
      <c r="E41" s="19"/>
      <c r="F41" s="43" t="s">
        <v>30</v>
      </c>
      <c r="G41" s="44"/>
      <c r="H41" s="34">
        <f t="shared" ref="H41:AN41" si="14">H33+H34+H35+H36+H37-H38+H39-H40</f>
        <v>0</v>
      </c>
      <c r="I41" s="34">
        <f t="shared" si="14"/>
        <v>0</v>
      </c>
      <c r="J41" s="34">
        <f t="shared" si="14"/>
        <v>0</v>
      </c>
      <c r="K41" s="34">
        <f t="shared" si="14"/>
        <v>0</v>
      </c>
      <c r="L41" s="34">
        <f t="shared" si="14"/>
        <v>0</v>
      </c>
      <c r="M41" s="34">
        <f t="shared" si="14"/>
        <v>0</v>
      </c>
      <c r="N41" s="34">
        <f t="shared" si="14"/>
        <v>0</v>
      </c>
      <c r="O41" s="34">
        <f t="shared" si="14"/>
        <v>0</v>
      </c>
      <c r="P41" s="34">
        <f t="shared" si="14"/>
        <v>0</v>
      </c>
      <c r="Q41" s="34">
        <f t="shared" si="14"/>
        <v>0</v>
      </c>
      <c r="R41" s="34">
        <f t="shared" si="14"/>
        <v>0</v>
      </c>
      <c r="S41" s="34">
        <f t="shared" si="14"/>
        <v>0</v>
      </c>
      <c r="T41" s="34">
        <f t="shared" si="14"/>
        <v>0</v>
      </c>
      <c r="U41" s="34">
        <f t="shared" si="14"/>
        <v>0</v>
      </c>
      <c r="V41" s="34">
        <f t="shared" si="14"/>
        <v>0</v>
      </c>
      <c r="W41" s="34">
        <f t="shared" si="14"/>
        <v>0</v>
      </c>
      <c r="X41" s="34">
        <f t="shared" si="14"/>
        <v>0</v>
      </c>
      <c r="Y41" s="34">
        <f t="shared" si="14"/>
        <v>0</v>
      </c>
      <c r="Z41" s="34">
        <f t="shared" si="14"/>
        <v>0</v>
      </c>
      <c r="AA41" s="34">
        <f t="shared" si="14"/>
        <v>0</v>
      </c>
      <c r="AB41" s="34">
        <f t="shared" si="14"/>
        <v>0</v>
      </c>
      <c r="AC41" s="34">
        <f t="shared" si="14"/>
        <v>0</v>
      </c>
      <c r="AD41" s="34">
        <f t="shared" si="14"/>
        <v>0</v>
      </c>
      <c r="AE41" s="34">
        <f t="shared" si="14"/>
        <v>0</v>
      </c>
      <c r="AF41" s="34">
        <f t="shared" si="14"/>
        <v>0</v>
      </c>
      <c r="AG41" s="34">
        <f t="shared" si="14"/>
        <v>0</v>
      </c>
      <c r="AH41" s="34">
        <f t="shared" si="14"/>
        <v>0</v>
      </c>
      <c r="AI41" s="34">
        <f t="shared" si="14"/>
        <v>0</v>
      </c>
      <c r="AJ41" s="34">
        <f t="shared" si="14"/>
        <v>0</v>
      </c>
      <c r="AK41" s="34">
        <f t="shared" si="14"/>
        <v>0</v>
      </c>
      <c r="AL41" s="34">
        <f t="shared" si="14"/>
        <v>0</v>
      </c>
      <c r="AM41" s="34">
        <f t="shared" si="14"/>
        <v>0</v>
      </c>
      <c r="AN41" s="34">
        <f t="shared" si="14"/>
        <v>0</v>
      </c>
      <c r="AO41" s="34"/>
      <c r="AP41" s="45">
        <f>AO33</f>
        <v>0</v>
      </c>
      <c r="AQ41" s="25"/>
    </row>
    <row r="42" ht="13.5" customHeight="1">
      <c r="A42" s="25"/>
      <c r="B42" s="32"/>
      <c r="C42" s="32" t="s">
        <v>41</v>
      </c>
      <c r="D42" s="32" t="s">
        <v>42</v>
      </c>
      <c r="E42" s="33"/>
      <c r="F42" s="14" t="s">
        <v>23</v>
      </c>
      <c r="G42" s="21"/>
      <c r="H42" s="34">
        <v>0.0</v>
      </c>
      <c r="I42" s="34">
        <f t="shared" ref="I42:AO42" si="15">H47</f>
        <v>0</v>
      </c>
      <c r="J42" s="34">
        <f t="shared" si="15"/>
        <v>0</v>
      </c>
      <c r="K42" s="34">
        <f t="shared" si="15"/>
        <v>0</v>
      </c>
      <c r="L42" s="34">
        <f t="shared" si="15"/>
        <v>0</v>
      </c>
      <c r="M42" s="34">
        <f t="shared" si="15"/>
        <v>0</v>
      </c>
      <c r="N42" s="34">
        <f t="shared" si="15"/>
        <v>0</v>
      </c>
      <c r="O42" s="34">
        <f t="shared" si="15"/>
        <v>0</v>
      </c>
      <c r="P42" s="34">
        <f t="shared" si="15"/>
        <v>0</v>
      </c>
      <c r="Q42" s="34">
        <f t="shared" si="15"/>
        <v>0</v>
      </c>
      <c r="R42" s="34">
        <f t="shared" si="15"/>
        <v>0</v>
      </c>
      <c r="S42" s="34">
        <f t="shared" si="15"/>
        <v>0</v>
      </c>
      <c r="T42" s="34">
        <f t="shared" si="15"/>
        <v>0</v>
      </c>
      <c r="U42" s="34">
        <f t="shared" si="15"/>
        <v>0</v>
      </c>
      <c r="V42" s="34">
        <f t="shared" si="15"/>
        <v>0</v>
      </c>
      <c r="W42" s="34">
        <f t="shared" si="15"/>
        <v>0</v>
      </c>
      <c r="X42" s="34">
        <f t="shared" si="15"/>
        <v>0</v>
      </c>
      <c r="Y42" s="34">
        <f t="shared" si="15"/>
        <v>0</v>
      </c>
      <c r="Z42" s="34">
        <f t="shared" si="15"/>
        <v>0</v>
      </c>
      <c r="AA42" s="34">
        <f t="shared" si="15"/>
        <v>0</v>
      </c>
      <c r="AB42" s="34">
        <f t="shared" si="15"/>
        <v>0</v>
      </c>
      <c r="AC42" s="34">
        <f t="shared" si="15"/>
        <v>0</v>
      </c>
      <c r="AD42" s="34">
        <f t="shared" si="15"/>
        <v>0</v>
      </c>
      <c r="AE42" s="34">
        <f t="shared" si="15"/>
        <v>0</v>
      </c>
      <c r="AF42" s="34">
        <f t="shared" si="15"/>
        <v>0</v>
      </c>
      <c r="AG42" s="34">
        <f t="shared" si="15"/>
        <v>0</v>
      </c>
      <c r="AH42" s="34">
        <f t="shared" si="15"/>
        <v>0</v>
      </c>
      <c r="AI42" s="34">
        <f t="shared" si="15"/>
        <v>0</v>
      </c>
      <c r="AJ42" s="34">
        <f t="shared" si="15"/>
        <v>0</v>
      </c>
      <c r="AK42" s="34">
        <f t="shared" si="15"/>
        <v>0</v>
      </c>
      <c r="AL42" s="34">
        <f t="shared" si="15"/>
        <v>0</v>
      </c>
      <c r="AM42" s="34">
        <f t="shared" si="15"/>
        <v>0</v>
      </c>
      <c r="AN42" s="34">
        <f t="shared" si="15"/>
        <v>0</v>
      </c>
      <c r="AO42" s="34">
        <f t="shared" si="15"/>
        <v>0</v>
      </c>
      <c r="AP42" s="21"/>
      <c r="AQ42" s="25"/>
    </row>
    <row r="43" ht="16.5" customHeight="1">
      <c r="A43" s="25"/>
      <c r="B43" s="35"/>
      <c r="C43" s="35"/>
      <c r="D43" s="35"/>
      <c r="E43" s="33" t="s">
        <v>24</v>
      </c>
      <c r="F43" s="36" t="s">
        <v>25</v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8"/>
      <c r="T43" s="37"/>
      <c r="U43" s="38"/>
      <c r="V43" s="37"/>
      <c r="W43" s="37"/>
      <c r="X43" s="37"/>
      <c r="Y43" s="37"/>
      <c r="Z43" s="37"/>
      <c r="AA43" s="37"/>
      <c r="AB43" s="37"/>
      <c r="AC43" s="37"/>
      <c r="AD43" s="38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9">
        <f t="shared" ref="AP43:AP46" si="16">SUM(H43:AO43)</f>
        <v>0</v>
      </c>
      <c r="AQ43" s="25"/>
    </row>
    <row r="44" ht="15.0" customHeight="1">
      <c r="A44" s="25"/>
      <c r="B44" s="35"/>
      <c r="C44" s="35"/>
      <c r="D44" s="35"/>
      <c r="E44" s="33"/>
      <c r="F44" s="40" t="s">
        <v>26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7"/>
      <c r="AP44" s="39">
        <f t="shared" si="16"/>
        <v>0</v>
      </c>
      <c r="AQ44" s="25"/>
    </row>
    <row r="45" ht="15.0" customHeight="1">
      <c r="A45" s="25"/>
      <c r="B45" s="35"/>
      <c r="C45" s="35"/>
      <c r="D45" s="35"/>
      <c r="E45" s="33" t="s">
        <v>27</v>
      </c>
      <c r="F45" s="41" t="s">
        <v>28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7"/>
      <c r="AP45" s="39">
        <f t="shared" si="16"/>
        <v>0</v>
      </c>
      <c r="AQ45" s="25"/>
    </row>
    <row r="46" ht="15.75" customHeight="1">
      <c r="A46" s="25"/>
      <c r="B46" s="35"/>
      <c r="C46" s="35"/>
      <c r="D46" s="35"/>
      <c r="E46" s="33"/>
      <c r="F46" s="41" t="s">
        <v>43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7"/>
      <c r="AP46" s="39">
        <f t="shared" si="16"/>
        <v>0</v>
      </c>
      <c r="AQ46" s="25"/>
    </row>
    <row r="47" ht="15.75" customHeight="1">
      <c r="A47" s="25"/>
      <c r="B47" s="42"/>
      <c r="C47" s="42"/>
      <c r="D47" s="42"/>
      <c r="E47" s="19"/>
      <c r="F47" s="43" t="s">
        <v>30</v>
      </c>
      <c r="G47" s="44"/>
      <c r="H47" s="34">
        <f t="shared" ref="H47:AN47" si="17">H42+H43-H44+H45-H46</f>
        <v>0</v>
      </c>
      <c r="I47" s="34">
        <f t="shared" si="17"/>
        <v>0</v>
      </c>
      <c r="J47" s="34">
        <f t="shared" si="17"/>
        <v>0</v>
      </c>
      <c r="K47" s="34">
        <f t="shared" si="17"/>
        <v>0</v>
      </c>
      <c r="L47" s="34">
        <f t="shared" si="17"/>
        <v>0</v>
      </c>
      <c r="M47" s="34">
        <f t="shared" si="17"/>
        <v>0</v>
      </c>
      <c r="N47" s="34">
        <f t="shared" si="17"/>
        <v>0</v>
      </c>
      <c r="O47" s="34">
        <f t="shared" si="17"/>
        <v>0</v>
      </c>
      <c r="P47" s="34">
        <f t="shared" si="17"/>
        <v>0</v>
      </c>
      <c r="Q47" s="34">
        <f t="shared" si="17"/>
        <v>0</v>
      </c>
      <c r="R47" s="34">
        <f t="shared" si="17"/>
        <v>0</v>
      </c>
      <c r="S47" s="34">
        <f t="shared" si="17"/>
        <v>0</v>
      </c>
      <c r="T47" s="34">
        <f t="shared" si="17"/>
        <v>0</v>
      </c>
      <c r="U47" s="34">
        <f t="shared" si="17"/>
        <v>0</v>
      </c>
      <c r="V47" s="34">
        <f t="shared" si="17"/>
        <v>0</v>
      </c>
      <c r="W47" s="34">
        <f t="shared" si="17"/>
        <v>0</v>
      </c>
      <c r="X47" s="34">
        <f t="shared" si="17"/>
        <v>0</v>
      </c>
      <c r="Y47" s="34">
        <f t="shared" si="17"/>
        <v>0</v>
      </c>
      <c r="Z47" s="34">
        <f t="shared" si="17"/>
        <v>0</v>
      </c>
      <c r="AA47" s="34">
        <f t="shared" si="17"/>
        <v>0</v>
      </c>
      <c r="AB47" s="34">
        <f t="shared" si="17"/>
        <v>0</v>
      </c>
      <c r="AC47" s="34">
        <f t="shared" si="17"/>
        <v>0</v>
      </c>
      <c r="AD47" s="34">
        <f t="shared" si="17"/>
        <v>0</v>
      </c>
      <c r="AE47" s="34">
        <f t="shared" si="17"/>
        <v>0</v>
      </c>
      <c r="AF47" s="34">
        <f t="shared" si="17"/>
        <v>0</v>
      </c>
      <c r="AG47" s="34">
        <f t="shared" si="17"/>
        <v>0</v>
      </c>
      <c r="AH47" s="34">
        <f t="shared" si="17"/>
        <v>0</v>
      </c>
      <c r="AI47" s="34">
        <f t="shared" si="17"/>
        <v>0</v>
      </c>
      <c r="AJ47" s="34">
        <f t="shared" si="17"/>
        <v>0</v>
      </c>
      <c r="AK47" s="34">
        <f t="shared" si="17"/>
        <v>0</v>
      </c>
      <c r="AL47" s="34">
        <f t="shared" si="17"/>
        <v>0</v>
      </c>
      <c r="AM47" s="34">
        <f t="shared" si="17"/>
        <v>0</v>
      </c>
      <c r="AN47" s="34">
        <f t="shared" si="17"/>
        <v>0</v>
      </c>
      <c r="AO47" s="34"/>
      <c r="AP47" s="45">
        <f>AO42</f>
        <v>0</v>
      </c>
      <c r="AQ47" s="25"/>
    </row>
    <row r="48" ht="15.75" customHeight="1">
      <c r="A48" s="1"/>
      <c r="B48" s="32"/>
      <c r="C48" s="32" t="s">
        <v>44</v>
      </c>
      <c r="D48" s="32" t="s">
        <v>45</v>
      </c>
      <c r="E48" s="33"/>
      <c r="F48" s="14" t="s">
        <v>23</v>
      </c>
      <c r="G48" s="21"/>
      <c r="H48" s="34">
        <v>3.0</v>
      </c>
      <c r="I48" s="34">
        <f t="shared" ref="I48:AO48" si="18">H53</f>
        <v>3</v>
      </c>
      <c r="J48" s="34">
        <f t="shared" si="18"/>
        <v>3</v>
      </c>
      <c r="K48" s="34">
        <f t="shared" si="18"/>
        <v>3</v>
      </c>
      <c r="L48" s="34">
        <f t="shared" si="18"/>
        <v>3</v>
      </c>
      <c r="M48" s="34">
        <f t="shared" si="18"/>
        <v>3</v>
      </c>
      <c r="N48" s="34">
        <f t="shared" si="18"/>
        <v>3</v>
      </c>
      <c r="O48" s="34">
        <f t="shared" si="18"/>
        <v>3</v>
      </c>
      <c r="P48" s="34">
        <f t="shared" si="18"/>
        <v>3</v>
      </c>
      <c r="Q48" s="34">
        <f t="shared" si="18"/>
        <v>3</v>
      </c>
      <c r="R48" s="34">
        <f t="shared" si="18"/>
        <v>3</v>
      </c>
      <c r="S48" s="34">
        <f t="shared" si="18"/>
        <v>3</v>
      </c>
      <c r="T48" s="34">
        <f t="shared" si="18"/>
        <v>3</v>
      </c>
      <c r="U48" s="34">
        <f t="shared" si="18"/>
        <v>3</v>
      </c>
      <c r="V48" s="34">
        <f t="shared" si="18"/>
        <v>3</v>
      </c>
      <c r="W48" s="34">
        <f t="shared" si="18"/>
        <v>3</v>
      </c>
      <c r="X48" s="34">
        <f t="shared" si="18"/>
        <v>3</v>
      </c>
      <c r="Y48" s="34">
        <f t="shared" si="18"/>
        <v>3</v>
      </c>
      <c r="Z48" s="34">
        <f t="shared" si="18"/>
        <v>3</v>
      </c>
      <c r="AA48" s="34">
        <f t="shared" si="18"/>
        <v>3</v>
      </c>
      <c r="AB48" s="34">
        <f t="shared" si="18"/>
        <v>3</v>
      </c>
      <c r="AC48" s="34">
        <f t="shared" si="18"/>
        <v>3</v>
      </c>
      <c r="AD48" s="34">
        <f t="shared" si="18"/>
        <v>3</v>
      </c>
      <c r="AE48" s="34">
        <f t="shared" si="18"/>
        <v>3</v>
      </c>
      <c r="AF48" s="34">
        <f t="shared" si="18"/>
        <v>3</v>
      </c>
      <c r="AG48" s="34">
        <f t="shared" si="18"/>
        <v>3</v>
      </c>
      <c r="AH48" s="34">
        <f t="shared" si="18"/>
        <v>3</v>
      </c>
      <c r="AI48" s="34">
        <f t="shared" si="18"/>
        <v>3</v>
      </c>
      <c r="AJ48" s="34">
        <f t="shared" si="18"/>
        <v>3</v>
      </c>
      <c r="AK48" s="34">
        <f t="shared" si="18"/>
        <v>3</v>
      </c>
      <c r="AL48" s="34">
        <f t="shared" si="18"/>
        <v>3</v>
      </c>
      <c r="AM48" s="34">
        <f t="shared" si="18"/>
        <v>3</v>
      </c>
      <c r="AN48" s="34">
        <f t="shared" si="18"/>
        <v>3</v>
      </c>
      <c r="AO48" s="34">
        <f t="shared" si="18"/>
        <v>3</v>
      </c>
      <c r="AP48" s="21"/>
      <c r="AQ48" s="1"/>
    </row>
    <row r="49" ht="15.75" customHeight="1">
      <c r="A49" s="1"/>
      <c r="B49" s="35"/>
      <c r="C49" s="35"/>
      <c r="D49" s="35"/>
      <c r="E49" s="33" t="s">
        <v>24</v>
      </c>
      <c r="F49" s="36" t="s">
        <v>25</v>
      </c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8"/>
      <c r="T49" s="37"/>
      <c r="U49" s="38"/>
      <c r="V49" s="37"/>
      <c r="W49" s="37"/>
      <c r="X49" s="37"/>
      <c r="Y49" s="37"/>
      <c r="Z49" s="37"/>
      <c r="AA49" s="37"/>
      <c r="AB49" s="37"/>
      <c r="AC49" s="37"/>
      <c r="AD49" s="38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9">
        <f t="shared" ref="AP49:AP52" si="19">SUM(H49:AO49)</f>
        <v>0</v>
      </c>
      <c r="AQ49" s="1"/>
    </row>
    <row r="50" ht="15.75" customHeight="1">
      <c r="A50" s="51"/>
      <c r="B50" s="35"/>
      <c r="C50" s="35"/>
      <c r="D50" s="35"/>
      <c r="E50" s="47"/>
      <c r="F50" s="40" t="s">
        <v>26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9"/>
      <c r="AP50" s="50">
        <f t="shared" si="19"/>
        <v>0</v>
      </c>
      <c r="AQ50" s="51"/>
    </row>
    <row r="51" ht="15.75" customHeight="1">
      <c r="A51" s="1"/>
      <c r="B51" s="35"/>
      <c r="C51" s="35"/>
      <c r="D51" s="35"/>
      <c r="E51" s="33" t="s">
        <v>27</v>
      </c>
      <c r="F51" s="41" t="s">
        <v>28</v>
      </c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7"/>
      <c r="AP51" s="39">
        <f t="shared" si="19"/>
        <v>0</v>
      </c>
      <c r="AQ51" s="1"/>
    </row>
    <row r="52" ht="15.75" customHeight="1">
      <c r="A52" s="1"/>
      <c r="B52" s="35"/>
      <c r="C52" s="35"/>
      <c r="D52" s="35"/>
      <c r="E52" s="33"/>
      <c r="F52" s="41" t="s">
        <v>29</v>
      </c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7"/>
      <c r="AP52" s="39">
        <f t="shared" si="19"/>
        <v>0</v>
      </c>
      <c r="AQ52" s="1"/>
    </row>
    <row r="53" ht="15.75" customHeight="1">
      <c r="A53" s="1"/>
      <c r="B53" s="42"/>
      <c r="C53" s="42"/>
      <c r="D53" s="42"/>
      <c r="E53" s="19"/>
      <c r="F53" s="43" t="s">
        <v>30</v>
      </c>
      <c r="G53" s="44"/>
      <c r="H53" s="34">
        <f t="shared" ref="H53:AN53" si="20">H48+H49-H50+H51-H52</f>
        <v>3</v>
      </c>
      <c r="I53" s="34">
        <f t="shared" si="20"/>
        <v>3</v>
      </c>
      <c r="J53" s="34">
        <f t="shared" si="20"/>
        <v>3</v>
      </c>
      <c r="K53" s="34">
        <f t="shared" si="20"/>
        <v>3</v>
      </c>
      <c r="L53" s="34">
        <f t="shared" si="20"/>
        <v>3</v>
      </c>
      <c r="M53" s="34">
        <f t="shared" si="20"/>
        <v>3</v>
      </c>
      <c r="N53" s="34">
        <f t="shared" si="20"/>
        <v>3</v>
      </c>
      <c r="O53" s="34">
        <f t="shared" si="20"/>
        <v>3</v>
      </c>
      <c r="P53" s="34">
        <f t="shared" si="20"/>
        <v>3</v>
      </c>
      <c r="Q53" s="34">
        <f t="shared" si="20"/>
        <v>3</v>
      </c>
      <c r="R53" s="34">
        <f t="shared" si="20"/>
        <v>3</v>
      </c>
      <c r="S53" s="34">
        <f t="shared" si="20"/>
        <v>3</v>
      </c>
      <c r="T53" s="34">
        <f t="shared" si="20"/>
        <v>3</v>
      </c>
      <c r="U53" s="34">
        <f t="shared" si="20"/>
        <v>3</v>
      </c>
      <c r="V53" s="34">
        <f t="shared" si="20"/>
        <v>3</v>
      </c>
      <c r="W53" s="34">
        <f t="shared" si="20"/>
        <v>3</v>
      </c>
      <c r="X53" s="34">
        <f t="shared" si="20"/>
        <v>3</v>
      </c>
      <c r="Y53" s="34">
        <f t="shared" si="20"/>
        <v>3</v>
      </c>
      <c r="Z53" s="34">
        <f t="shared" si="20"/>
        <v>3</v>
      </c>
      <c r="AA53" s="34">
        <f t="shared" si="20"/>
        <v>3</v>
      </c>
      <c r="AB53" s="34">
        <f t="shared" si="20"/>
        <v>3</v>
      </c>
      <c r="AC53" s="34">
        <f t="shared" si="20"/>
        <v>3</v>
      </c>
      <c r="AD53" s="34">
        <f t="shared" si="20"/>
        <v>3</v>
      </c>
      <c r="AE53" s="34">
        <f t="shared" si="20"/>
        <v>3</v>
      </c>
      <c r="AF53" s="34">
        <f t="shared" si="20"/>
        <v>3</v>
      </c>
      <c r="AG53" s="34">
        <f t="shared" si="20"/>
        <v>3</v>
      </c>
      <c r="AH53" s="34">
        <f t="shared" si="20"/>
        <v>3</v>
      </c>
      <c r="AI53" s="34">
        <f t="shared" si="20"/>
        <v>3</v>
      </c>
      <c r="AJ53" s="34">
        <f t="shared" si="20"/>
        <v>3</v>
      </c>
      <c r="AK53" s="34">
        <f t="shared" si="20"/>
        <v>3</v>
      </c>
      <c r="AL53" s="34">
        <f t="shared" si="20"/>
        <v>3</v>
      </c>
      <c r="AM53" s="34">
        <f t="shared" si="20"/>
        <v>3</v>
      </c>
      <c r="AN53" s="34">
        <f t="shared" si="20"/>
        <v>3</v>
      </c>
      <c r="AO53" s="34"/>
      <c r="AP53" s="45">
        <f>AO48</f>
        <v>3</v>
      </c>
      <c r="AQ53" s="1"/>
    </row>
    <row r="54" ht="15.75" customHeight="1">
      <c r="A54" s="1"/>
      <c r="B54" s="32"/>
      <c r="C54" s="32" t="s">
        <v>46</v>
      </c>
      <c r="D54" s="32" t="s">
        <v>47</v>
      </c>
      <c r="E54" s="33"/>
      <c r="F54" s="14" t="s">
        <v>23</v>
      </c>
      <c r="G54" s="21"/>
      <c r="H54" s="34">
        <v>0.0</v>
      </c>
      <c r="I54" s="34">
        <f t="shared" ref="I54:AO54" si="21">H59</f>
        <v>0</v>
      </c>
      <c r="J54" s="34">
        <f t="shared" si="21"/>
        <v>0</v>
      </c>
      <c r="K54" s="34">
        <f t="shared" si="21"/>
        <v>0</v>
      </c>
      <c r="L54" s="34">
        <f t="shared" si="21"/>
        <v>0</v>
      </c>
      <c r="M54" s="34">
        <f t="shared" si="21"/>
        <v>0</v>
      </c>
      <c r="N54" s="34">
        <f t="shared" si="21"/>
        <v>0</v>
      </c>
      <c r="O54" s="34">
        <f t="shared" si="21"/>
        <v>0</v>
      </c>
      <c r="P54" s="34">
        <f t="shared" si="21"/>
        <v>0</v>
      </c>
      <c r="Q54" s="34">
        <f t="shared" si="21"/>
        <v>0</v>
      </c>
      <c r="R54" s="34">
        <f t="shared" si="21"/>
        <v>0</v>
      </c>
      <c r="S54" s="34">
        <f t="shared" si="21"/>
        <v>0</v>
      </c>
      <c r="T54" s="34">
        <f t="shared" si="21"/>
        <v>0</v>
      </c>
      <c r="U54" s="34">
        <f t="shared" si="21"/>
        <v>0</v>
      </c>
      <c r="V54" s="34">
        <f t="shared" si="21"/>
        <v>0</v>
      </c>
      <c r="W54" s="34">
        <f t="shared" si="21"/>
        <v>0</v>
      </c>
      <c r="X54" s="34">
        <f t="shared" si="21"/>
        <v>0</v>
      </c>
      <c r="Y54" s="34">
        <f t="shared" si="21"/>
        <v>0</v>
      </c>
      <c r="Z54" s="34">
        <f t="shared" si="21"/>
        <v>0</v>
      </c>
      <c r="AA54" s="34">
        <f t="shared" si="21"/>
        <v>0</v>
      </c>
      <c r="AB54" s="34">
        <f t="shared" si="21"/>
        <v>0</v>
      </c>
      <c r="AC54" s="34">
        <f t="shared" si="21"/>
        <v>0</v>
      </c>
      <c r="AD54" s="34">
        <f t="shared" si="21"/>
        <v>0</v>
      </c>
      <c r="AE54" s="34">
        <f t="shared" si="21"/>
        <v>0</v>
      </c>
      <c r="AF54" s="34">
        <f t="shared" si="21"/>
        <v>0</v>
      </c>
      <c r="AG54" s="34">
        <f t="shared" si="21"/>
        <v>0</v>
      </c>
      <c r="AH54" s="34">
        <f t="shared" si="21"/>
        <v>0</v>
      </c>
      <c r="AI54" s="34">
        <f t="shared" si="21"/>
        <v>0</v>
      </c>
      <c r="AJ54" s="34">
        <f t="shared" si="21"/>
        <v>0</v>
      </c>
      <c r="AK54" s="34">
        <f t="shared" si="21"/>
        <v>0</v>
      </c>
      <c r="AL54" s="34">
        <f t="shared" si="21"/>
        <v>0</v>
      </c>
      <c r="AM54" s="34">
        <f t="shared" si="21"/>
        <v>0</v>
      </c>
      <c r="AN54" s="34">
        <f t="shared" si="21"/>
        <v>0</v>
      </c>
      <c r="AO54" s="34">
        <f t="shared" si="21"/>
        <v>0</v>
      </c>
      <c r="AP54" s="21"/>
      <c r="AQ54" s="1"/>
    </row>
    <row r="55" ht="15.75" customHeight="1">
      <c r="A55" s="1"/>
      <c r="B55" s="35"/>
      <c r="C55" s="35"/>
      <c r="D55" s="35"/>
      <c r="E55" s="33" t="s">
        <v>24</v>
      </c>
      <c r="F55" s="36" t="s">
        <v>25</v>
      </c>
      <c r="G55" s="37"/>
      <c r="H55" s="37"/>
      <c r="I55" s="37"/>
      <c r="J55" s="37"/>
      <c r="K55" s="37">
        <v>50.0</v>
      </c>
      <c r="L55" s="37"/>
      <c r="M55" s="37"/>
      <c r="N55" s="37"/>
      <c r="O55" s="37"/>
      <c r="P55" s="37"/>
      <c r="Q55" s="37"/>
      <c r="R55" s="37"/>
      <c r="S55" s="38"/>
      <c r="T55" s="37"/>
      <c r="U55" s="38"/>
      <c r="V55" s="37"/>
      <c r="W55" s="37"/>
      <c r="X55" s="37"/>
      <c r="Y55" s="37"/>
      <c r="Z55" s="37"/>
      <c r="AA55" s="37"/>
      <c r="AB55" s="37"/>
      <c r="AC55" s="37"/>
      <c r="AD55" s="38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9">
        <f t="shared" ref="AP55:AP58" si="22">SUM(H55:AO55)</f>
        <v>50</v>
      </c>
      <c r="AQ55" s="1"/>
    </row>
    <row r="56" ht="15.75" customHeight="1">
      <c r="A56" s="1"/>
      <c r="B56" s="35"/>
      <c r="C56" s="35"/>
      <c r="D56" s="35"/>
      <c r="E56" s="33"/>
      <c r="F56" s="40" t="s">
        <v>26</v>
      </c>
      <c r="G56" s="38"/>
      <c r="H56" s="38"/>
      <c r="I56" s="38"/>
      <c r="J56" s="38"/>
      <c r="K56" s="38">
        <v>50.0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7"/>
      <c r="AP56" s="39">
        <f t="shared" si="22"/>
        <v>50</v>
      </c>
      <c r="AQ56" s="1"/>
    </row>
    <row r="57" ht="15.75" customHeight="1">
      <c r="A57" s="1"/>
      <c r="B57" s="35"/>
      <c r="C57" s="35"/>
      <c r="D57" s="35"/>
      <c r="E57" s="33" t="s">
        <v>27</v>
      </c>
      <c r="F57" s="41" t="s">
        <v>28</v>
      </c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7"/>
      <c r="AP57" s="39">
        <f t="shared" si="22"/>
        <v>0</v>
      </c>
      <c r="AQ57" s="1"/>
    </row>
    <row r="58" ht="15.75" customHeight="1">
      <c r="A58" s="1"/>
      <c r="B58" s="35"/>
      <c r="C58" s="35"/>
      <c r="D58" s="35"/>
      <c r="E58" s="33"/>
      <c r="F58" s="41" t="s">
        <v>29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7"/>
      <c r="AP58" s="39">
        <f t="shared" si="22"/>
        <v>0</v>
      </c>
      <c r="AQ58" s="1"/>
    </row>
    <row r="59" ht="15.75" customHeight="1">
      <c r="A59" s="1"/>
      <c r="B59" s="42"/>
      <c r="C59" s="42"/>
      <c r="D59" s="42"/>
      <c r="E59" s="19"/>
      <c r="F59" s="43" t="s">
        <v>30</v>
      </c>
      <c r="G59" s="44"/>
      <c r="H59" s="34">
        <f t="shared" ref="H59:AN59" si="23">H54+H55-H56+H57-H58</f>
        <v>0</v>
      </c>
      <c r="I59" s="34">
        <f t="shared" si="23"/>
        <v>0</v>
      </c>
      <c r="J59" s="34">
        <f t="shared" si="23"/>
        <v>0</v>
      </c>
      <c r="K59" s="34">
        <f t="shared" si="23"/>
        <v>0</v>
      </c>
      <c r="L59" s="34">
        <f t="shared" si="23"/>
        <v>0</v>
      </c>
      <c r="M59" s="34">
        <f t="shared" si="23"/>
        <v>0</v>
      </c>
      <c r="N59" s="34">
        <f t="shared" si="23"/>
        <v>0</v>
      </c>
      <c r="O59" s="34">
        <f t="shared" si="23"/>
        <v>0</v>
      </c>
      <c r="P59" s="34">
        <f t="shared" si="23"/>
        <v>0</v>
      </c>
      <c r="Q59" s="34">
        <f t="shared" si="23"/>
        <v>0</v>
      </c>
      <c r="R59" s="34">
        <f t="shared" si="23"/>
        <v>0</v>
      </c>
      <c r="S59" s="34">
        <f t="shared" si="23"/>
        <v>0</v>
      </c>
      <c r="T59" s="34">
        <f t="shared" si="23"/>
        <v>0</v>
      </c>
      <c r="U59" s="34">
        <f t="shared" si="23"/>
        <v>0</v>
      </c>
      <c r="V59" s="34">
        <f t="shared" si="23"/>
        <v>0</v>
      </c>
      <c r="W59" s="34">
        <f t="shared" si="23"/>
        <v>0</v>
      </c>
      <c r="X59" s="34">
        <f t="shared" si="23"/>
        <v>0</v>
      </c>
      <c r="Y59" s="34">
        <f t="shared" si="23"/>
        <v>0</v>
      </c>
      <c r="Z59" s="34">
        <f t="shared" si="23"/>
        <v>0</v>
      </c>
      <c r="AA59" s="34">
        <f t="shared" si="23"/>
        <v>0</v>
      </c>
      <c r="AB59" s="34">
        <f t="shared" si="23"/>
        <v>0</v>
      </c>
      <c r="AC59" s="34">
        <f t="shared" si="23"/>
        <v>0</v>
      </c>
      <c r="AD59" s="34">
        <f t="shared" si="23"/>
        <v>0</v>
      </c>
      <c r="AE59" s="34">
        <f t="shared" si="23"/>
        <v>0</v>
      </c>
      <c r="AF59" s="34">
        <f t="shared" si="23"/>
        <v>0</v>
      </c>
      <c r="AG59" s="34">
        <f t="shared" si="23"/>
        <v>0</v>
      </c>
      <c r="AH59" s="34">
        <f t="shared" si="23"/>
        <v>0</v>
      </c>
      <c r="AI59" s="34">
        <f t="shared" si="23"/>
        <v>0</v>
      </c>
      <c r="AJ59" s="34">
        <f t="shared" si="23"/>
        <v>0</v>
      </c>
      <c r="AK59" s="34">
        <f t="shared" si="23"/>
        <v>0</v>
      </c>
      <c r="AL59" s="34">
        <f t="shared" si="23"/>
        <v>0</v>
      </c>
      <c r="AM59" s="34">
        <f t="shared" si="23"/>
        <v>0</v>
      </c>
      <c r="AN59" s="34">
        <f t="shared" si="23"/>
        <v>0</v>
      </c>
      <c r="AO59" s="34"/>
      <c r="AP59" s="45">
        <f>AO54</f>
        <v>0</v>
      </c>
      <c r="AQ59" s="1"/>
    </row>
    <row r="60" ht="15.75" customHeight="1">
      <c r="A60" s="1"/>
      <c r="B60" s="32"/>
      <c r="C60" s="32" t="s">
        <v>48</v>
      </c>
      <c r="D60" s="32" t="s">
        <v>47</v>
      </c>
      <c r="E60" s="33"/>
      <c r="F60" s="14" t="s">
        <v>23</v>
      </c>
      <c r="G60" s="21"/>
      <c r="H60" s="34">
        <v>0.0</v>
      </c>
      <c r="I60" s="34">
        <f t="shared" ref="I60:AO60" si="24">H65</f>
        <v>0</v>
      </c>
      <c r="J60" s="34">
        <f t="shared" si="24"/>
        <v>0</v>
      </c>
      <c r="K60" s="34">
        <f t="shared" si="24"/>
        <v>0</v>
      </c>
      <c r="L60" s="34">
        <f t="shared" si="24"/>
        <v>0</v>
      </c>
      <c r="M60" s="34">
        <f t="shared" si="24"/>
        <v>0</v>
      </c>
      <c r="N60" s="34">
        <f t="shared" si="24"/>
        <v>0</v>
      </c>
      <c r="O60" s="34">
        <f t="shared" si="24"/>
        <v>0</v>
      </c>
      <c r="P60" s="34">
        <f t="shared" si="24"/>
        <v>0</v>
      </c>
      <c r="Q60" s="34">
        <f t="shared" si="24"/>
        <v>0</v>
      </c>
      <c r="R60" s="34">
        <f t="shared" si="24"/>
        <v>0</v>
      </c>
      <c r="S60" s="34">
        <f t="shared" si="24"/>
        <v>0</v>
      </c>
      <c r="T60" s="34">
        <f t="shared" si="24"/>
        <v>0</v>
      </c>
      <c r="U60" s="34">
        <f t="shared" si="24"/>
        <v>0</v>
      </c>
      <c r="V60" s="34">
        <f t="shared" si="24"/>
        <v>0</v>
      </c>
      <c r="W60" s="34">
        <f t="shared" si="24"/>
        <v>0</v>
      </c>
      <c r="X60" s="34">
        <f t="shared" si="24"/>
        <v>0</v>
      </c>
      <c r="Y60" s="34">
        <f t="shared" si="24"/>
        <v>0</v>
      </c>
      <c r="Z60" s="34">
        <f t="shared" si="24"/>
        <v>0</v>
      </c>
      <c r="AA60" s="34">
        <f t="shared" si="24"/>
        <v>0</v>
      </c>
      <c r="AB60" s="34">
        <f t="shared" si="24"/>
        <v>0</v>
      </c>
      <c r="AC60" s="34">
        <f t="shared" si="24"/>
        <v>0</v>
      </c>
      <c r="AD60" s="34">
        <f t="shared" si="24"/>
        <v>0</v>
      </c>
      <c r="AE60" s="34">
        <f t="shared" si="24"/>
        <v>0</v>
      </c>
      <c r="AF60" s="34">
        <f t="shared" si="24"/>
        <v>0</v>
      </c>
      <c r="AG60" s="34">
        <f t="shared" si="24"/>
        <v>0</v>
      </c>
      <c r="AH60" s="34">
        <f t="shared" si="24"/>
        <v>0</v>
      </c>
      <c r="AI60" s="34">
        <f t="shared" si="24"/>
        <v>0</v>
      </c>
      <c r="AJ60" s="34">
        <f t="shared" si="24"/>
        <v>0</v>
      </c>
      <c r="AK60" s="34">
        <f t="shared" si="24"/>
        <v>0</v>
      </c>
      <c r="AL60" s="34">
        <f t="shared" si="24"/>
        <v>0</v>
      </c>
      <c r="AM60" s="34">
        <f t="shared" si="24"/>
        <v>0</v>
      </c>
      <c r="AN60" s="34">
        <f t="shared" si="24"/>
        <v>0</v>
      </c>
      <c r="AO60" s="34">
        <f t="shared" si="24"/>
        <v>0</v>
      </c>
      <c r="AP60" s="21"/>
      <c r="AQ60" s="1"/>
    </row>
    <row r="61" ht="15.75" customHeight="1">
      <c r="A61" s="1"/>
      <c r="B61" s="35"/>
      <c r="C61" s="35"/>
      <c r="D61" s="35"/>
      <c r="E61" s="33" t="s">
        <v>24</v>
      </c>
      <c r="F61" s="36" t="s">
        <v>25</v>
      </c>
      <c r="G61" s="37"/>
      <c r="H61" s="37"/>
      <c r="I61" s="37"/>
      <c r="J61" s="37"/>
      <c r="K61" s="37">
        <v>37.0</v>
      </c>
      <c r="L61" s="37"/>
      <c r="M61" s="37"/>
      <c r="N61" s="37"/>
      <c r="O61" s="37"/>
      <c r="P61" s="37">
        <v>30.0</v>
      </c>
      <c r="Q61" s="37">
        <v>50.0</v>
      </c>
      <c r="R61" s="37">
        <v>50.0</v>
      </c>
      <c r="S61" s="38"/>
      <c r="T61" s="37"/>
      <c r="U61" s="38"/>
      <c r="V61" s="37"/>
      <c r="W61" s="37"/>
      <c r="X61" s="37"/>
      <c r="Y61" s="37"/>
      <c r="Z61" s="37"/>
      <c r="AA61" s="37"/>
      <c r="AB61" s="37"/>
      <c r="AC61" s="37"/>
      <c r="AD61" s="38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9">
        <f t="shared" ref="AP61:AP64" si="25">SUM(H61:AO61)</f>
        <v>167</v>
      </c>
      <c r="AQ61" s="1"/>
    </row>
    <row r="62" ht="15.75" customHeight="1">
      <c r="A62" s="1"/>
      <c r="B62" s="35"/>
      <c r="C62" s="35"/>
      <c r="D62" s="35"/>
      <c r="E62" s="33"/>
      <c r="F62" s="40" t="s">
        <v>26</v>
      </c>
      <c r="G62" s="38"/>
      <c r="H62" s="38"/>
      <c r="I62" s="38"/>
      <c r="J62" s="38"/>
      <c r="K62" s="38">
        <v>37.0</v>
      </c>
      <c r="L62" s="38"/>
      <c r="M62" s="38"/>
      <c r="N62" s="38"/>
      <c r="O62" s="38"/>
      <c r="P62" s="38">
        <v>30.0</v>
      </c>
      <c r="Q62" s="38">
        <v>50.0</v>
      </c>
      <c r="R62" s="38">
        <v>50.0</v>
      </c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7"/>
      <c r="AP62" s="39">
        <f t="shared" si="25"/>
        <v>167</v>
      </c>
      <c r="AQ62" s="1"/>
    </row>
    <row r="63" ht="15.75" customHeight="1">
      <c r="A63" s="1"/>
      <c r="B63" s="35"/>
      <c r="C63" s="35"/>
      <c r="D63" s="35"/>
      <c r="E63" s="33" t="s">
        <v>27</v>
      </c>
      <c r="F63" s="41" t="s">
        <v>28</v>
      </c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7"/>
      <c r="AP63" s="39">
        <f t="shared" si="25"/>
        <v>0</v>
      </c>
      <c r="AQ63" s="1"/>
    </row>
    <row r="64" ht="15.75" customHeight="1">
      <c r="A64" s="1"/>
      <c r="B64" s="35"/>
      <c r="C64" s="35"/>
      <c r="D64" s="35"/>
      <c r="E64" s="33"/>
      <c r="F64" s="41" t="s">
        <v>29</v>
      </c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7"/>
      <c r="AP64" s="39">
        <f t="shared" si="25"/>
        <v>0</v>
      </c>
      <c r="AQ64" s="1"/>
    </row>
    <row r="65" ht="15.75" customHeight="1">
      <c r="A65" s="1"/>
      <c r="B65" s="42"/>
      <c r="C65" s="42"/>
      <c r="D65" s="42"/>
      <c r="E65" s="19"/>
      <c r="F65" s="43" t="s">
        <v>30</v>
      </c>
      <c r="G65" s="44"/>
      <c r="H65" s="34">
        <f t="shared" ref="H65:AN65" si="26">H60+H61-H62+H63-H64</f>
        <v>0</v>
      </c>
      <c r="I65" s="34">
        <f t="shared" si="26"/>
        <v>0</v>
      </c>
      <c r="J65" s="34">
        <f t="shared" si="26"/>
        <v>0</v>
      </c>
      <c r="K65" s="34">
        <f t="shared" si="26"/>
        <v>0</v>
      </c>
      <c r="L65" s="34">
        <f t="shared" si="26"/>
        <v>0</v>
      </c>
      <c r="M65" s="34">
        <f t="shared" si="26"/>
        <v>0</v>
      </c>
      <c r="N65" s="34">
        <f t="shared" si="26"/>
        <v>0</v>
      </c>
      <c r="O65" s="34">
        <f t="shared" si="26"/>
        <v>0</v>
      </c>
      <c r="P65" s="34">
        <f t="shared" si="26"/>
        <v>0</v>
      </c>
      <c r="Q65" s="34">
        <f t="shared" si="26"/>
        <v>0</v>
      </c>
      <c r="R65" s="34">
        <f t="shared" si="26"/>
        <v>0</v>
      </c>
      <c r="S65" s="34">
        <f t="shared" si="26"/>
        <v>0</v>
      </c>
      <c r="T65" s="34">
        <f t="shared" si="26"/>
        <v>0</v>
      </c>
      <c r="U65" s="34">
        <f t="shared" si="26"/>
        <v>0</v>
      </c>
      <c r="V65" s="34">
        <f t="shared" si="26"/>
        <v>0</v>
      </c>
      <c r="W65" s="34">
        <f t="shared" si="26"/>
        <v>0</v>
      </c>
      <c r="X65" s="34">
        <f t="shared" si="26"/>
        <v>0</v>
      </c>
      <c r="Y65" s="34">
        <f t="shared" si="26"/>
        <v>0</v>
      </c>
      <c r="Z65" s="34">
        <f t="shared" si="26"/>
        <v>0</v>
      </c>
      <c r="AA65" s="34">
        <f t="shared" si="26"/>
        <v>0</v>
      </c>
      <c r="AB65" s="34">
        <f t="shared" si="26"/>
        <v>0</v>
      </c>
      <c r="AC65" s="34">
        <f t="shared" si="26"/>
        <v>0</v>
      </c>
      <c r="AD65" s="34">
        <f t="shared" si="26"/>
        <v>0</v>
      </c>
      <c r="AE65" s="34">
        <f t="shared" si="26"/>
        <v>0</v>
      </c>
      <c r="AF65" s="34">
        <f t="shared" si="26"/>
        <v>0</v>
      </c>
      <c r="AG65" s="34">
        <f t="shared" si="26"/>
        <v>0</v>
      </c>
      <c r="AH65" s="34">
        <f t="shared" si="26"/>
        <v>0</v>
      </c>
      <c r="AI65" s="34">
        <f t="shared" si="26"/>
        <v>0</v>
      </c>
      <c r="AJ65" s="34">
        <f t="shared" si="26"/>
        <v>0</v>
      </c>
      <c r="AK65" s="34">
        <f t="shared" si="26"/>
        <v>0</v>
      </c>
      <c r="AL65" s="34">
        <f t="shared" si="26"/>
        <v>0</v>
      </c>
      <c r="AM65" s="34">
        <f t="shared" si="26"/>
        <v>0</v>
      </c>
      <c r="AN65" s="34">
        <f t="shared" si="26"/>
        <v>0</v>
      </c>
      <c r="AO65" s="34"/>
      <c r="AP65" s="45">
        <f>AO60</f>
        <v>0</v>
      </c>
      <c r="AQ65" s="1"/>
    </row>
    <row r="66" ht="15.75" customHeight="1">
      <c r="A66" s="1"/>
      <c r="B66" s="32"/>
      <c r="C66" s="32" t="s">
        <v>49</v>
      </c>
      <c r="D66" s="32" t="s">
        <v>50</v>
      </c>
      <c r="E66" s="33"/>
      <c r="F66" s="14" t="s">
        <v>23</v>
      </c>
      <c r="G66" s="21"/>
      <c r="H66" s="34" t="str">
        <f t="shared" ref="H66:AO66" si="27">G71</f>
        <v/>
      </c>
      <c r="I66" s="34">
        <f t="shared" si="27"/>
        <v>0</v>
      </c>
      <c r="J66" s="34">
        <f t="shared" si="27"/>
        <v>0</v>
      </c>
      <c r="K66" s="34">
        <f t="shared" si="27"/>
        <v>0</v>
      </c>
      <c r="L66" s="34">
        <f t="shared" si="27"/>
        <v>0</v>
      </c>
      <c r="M66" s="34">
        <f t="shared" si="27"/>
        <v>0</v>
      </c>
      <c r="N66" s="34">
        <f t="shared" si="27"/>
        <v>0</v>
      </c>
      <c r="O66" s="34">
        <f t="shared" si="27"/>
        <v>0</v>
      </c>
      <c r="P66" s="34">
        <f t="shared" si="27"/>
        <v>0</v>
      </c>
      <c r="Q66" s="34">
        <f t="shared" si="27"/>
        <v>0</v>
      </c>
      <c r="R66" s="34">
        <f t="shared" si="27"/>
        <v>0</v>
      </c>
      <c r="S66" s="34">
        <f t="shared" si="27"/>
        <v>0</v>
      </c>
      <c r="T66" s="34">
        <f t="shared" si="27"/>
        <v>0</v>
      </c>
      <c r="U66" s="34">
        <f t="shared" si="27"/>
        <v>0</v>
      </c>
      <c r="V66" s="34">
        <f t="shared" si="27"/>
        <v>0</v>
      </c>
      <c r="W66" s="34">
        <f t="shared" si="27"/>
        <v>0</v>
      </c>
      <c r="X66" s="34">
        <f t="shared" si="27"/>
        <v>0</v>
      </c>
      <c r="Y66" s="34">
        <f t="shared" si="27"/>
        <v>0</v>
      </c>
      <c r="Z66" s="34">
        <f t="shared" si="27"/>
        <v>0</v>
      </c>
      <c r="AA66" s="34">
        <f t="shared" si="27"/>
        <v>0</v>
      </c>
      <c r="AB66" s="34">
        <f t="shared" si="27"/>
        <v>0</v>
      </c>
      <c r="AC66" s="34">
        <f t="shared" si="27"/>
        <v>0</v>
      </c>
      <c r="AD66" s="34">
        <f t="shared" si="27"/>
        <v>0</v>
      </c>
      <c r="AE66" s="34">
        <f t="shared" si="27"/>
        <v>0</v>
      </c>
      <c r="AF66" s="34">
        <f t="shared" si="27"/>
        <v>0</v>
      </c>
      <c r="AG66" s="34">
        <f t="shared" si="27"/>
        <v>0</v>
      </c>
      <c r="AH66" s="34">
        <f t="shared" si="27"/>
        <v>0</v>
      </c>
      <c r="AI66" s="34">
        <f t="shared" si="27"/>
        <v>0</v>
      </c>
      <c r="AJ66" s="34">
        <f t="shared" si="27"/>
        <v>0</v>
      </c>
      <c r="AK66" s="34">
        <f t="shared" si="27"/>
        <v>0</v>
      </c>
      <c r="AL66" s="34">
        <f t="shared" si="27"/>
        <v>0</v>
      </c>
      <c r="AM66" s="34">
        <f t="shared" si="27"/>
        <v>0</v>
      </c>
      <c r="AN66" s="34">
        <f t="shared" si="27"/>
        <v>0</v>
      </c>
      <c r="AO66" s="34">
        <f t="shared" si="27"/>
        <v>0</v>
      </c>
      <c r="AP66" s="21"/>
      <c r="AQ66" s="1"/>
    </row>
    <row r="67" ht="15.75" customHeight="1">
      <c r="A67" s="1"/>
      <c r="B67" s="35"/>
      <c r="C67" s="35"/>
      <c r="D67" s="35"/>
      <c r="E67" s="33" t="s">
        <v>24</v>
      </c>
      <c r="F67" s="36" t="s">
        <v>25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8"/>
      <c r="T67" s="37"/>
      <c r="U67" s="38"/>
      <c r="V67" s="37"/>
      <c r="W67" s="37"/>
      <c r="X67" s="37"/>
      <c r="Y67" s="37"/>
      <c r="Z67" s="37"/>
      <c r="AA67" s="37"/>
      <c r="AB67" s="37"/>
      <c r="AC67" s="37"/>
      <c r="AD67" s="38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9">
        <f t="shared" ref="AP67:AP70" si="28">SUM(H67:AO67)</f>
        <v>0</v>
      </c>
      <c r="AQ67" s="1"/>
    </row>
    <row r="68" ht="15.75" customHeight="1">
      <c r="A68" s="1"/>
      <c r="B68" s="35"/>
      <c r="C68" s="35"/>
      <c r="D68" s="35"/>
      <c r="E68" s="33"/>
      <c r="F68" s="40" t="s">
        <v>26</v>
      </c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7"/>
      <c r="AP68" s="39">
        <f t="shared" si="28"/>
        <v>0</v>
      </c>
      <c r="AQ68" s="1"/>
    </row>
    <row r="69" ht="15.75" customHeight="1">
      <c r="A69" s="1"/>
      <c r="B69" s="35"/>
      <c r="C69" s="35"/>
      <c r="D69" s="35"/>
      <c r="E69" s="33" t="s">
        <v>27</v>
      </c>
      <c r="F69" s="41" t="s">
        <v>28</v>
      </c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7"/>
      <c r="AP69" s="39">
        <f t="shared" si="28"/>
        <v>0</v>
      </c>
      <c r="AQ69" s="1"/>
    </row>
    <row r="70" ht="15.75" customHeight="1">
      <c r="A70" s="1"/>
      <c r="B70" s="35"/>
      <c r="C70" s="35"/>
      <c r="D70" s="35"/>
      <c r="E70" s="33"/>
      <c r="F70" s="41" t="s">
        <v>29</v>
      </c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7"/>
      <c r="AP70" s="39">
        <f t="shared" si="28"/>
        <v>0</v>
      </c>
      <c r="AQ70" s="1"/>
    </row>
    <row r="71" ht="15.75" customHeight="1">
      <c r="A71" s="1"/>
      <c r="B71" s="42"/>
      <c r="C71" s="42"/>
      <c r="D71" s="42"/>
      <c r="E71" s="33"/>
      <c r="F71" s="43" t="s">
        <v>30</v>
      </c>
      <c r="G71" s="44"/>
      <c r="H71" s="34">
        <f t="shared" ref="H71:AN71" si="29">H66+H67-H68+H69-H70</f>
        <v>0</v>
      </c>
      <c r="I71" s="34">
        <f t="shared" si="29"/>
        <v>0</v>
      </c>
      <c r="J71" s="34">
        <f t="shared" si="29"/>
        <v>0</v>
      </c>
      <c r="K71" s="34">
        <f t="shared" si="29"/>
        <v>0</v>
      </c>
      <c r="L71" s="34">
        <f t="shared" si="29"/>
        <v>0</v>
      </c>
      <c r="M71" s="34">
        <f t="shared" si="29"/>
        <v>0</v>
      </c>
      <c r="N71" s="34">
        <f t="shared" si="29"/>
        <v>0</v>
      </c>
      <c r="O71" s="34">
        <f t="shared" si="29"/>
        <v>0</v>
      </c>
      <c r="P71" s="34">
        <f t="shared" si="29"/>
        <v>0</v>
      </c>
      <c r="Q71" s="34">
        <f t="shared" si="29"/>
        <v>0</v>
      </c>
      <c r="R71" s="34">
        <f t="shared" si="29"/>
        <v>0</v>
      </c>
      <c r="S71" s="34">
        <f t="shared" si="29"/>
        <v>0</v>
      </c>
      <c r="T71" s="34">
        <f t="shared" si="29"/>
        <v>0</v>
      </c>
      <c r="U71" s="34">
        <f t="shared" si="29"/>
        <v>0</v>
      </c>
      <c r="V71" s="34">
        <f t="shared" si="29"/>
        <v>0</v>
      </c>
      <c r="W71" s="34">
        <f t="shared" si="29"/>
        <v>0</v>
      </c>
      <c r="X71" s="34">
        <f t="shared" si="29"/>
        <v>0</v>
      </c>
      <c r="Y71" s="34">
        <f t="shared" si="29"/>
        <v>0</v>
      </c>
      <c r="Z71" s="34">
        <f t="shared" si="29"/>
        <v>0</v>
      </c>
      <c r="AA71" s="34">
        <f t="shared" si="29"/>
        <v>0</v>
      </c>
      <c r="AB71" s="34">
        <f t="shared" si="29"/>
        <v>0</v>
      </c>
      <c r="AC71" s="34">
        <f t="shared" si="29"/>
        <v>0</v>
      </c>
      <c r="AD71" s="34">
        <f t="shared" si="29"/>
        <v>0</v>
      </c>
      <c r="AE71" s="34">
        <f t="shared" si="29"/>
        <v>0</v>
      </c>
      <c r="AF71" s="34">
        <f t="shared" si="29"/>
        <v>0</v>
      </c>
      <c r="AG71" s="34">
        <f t="shared" si="29"/>
        <v>0</v>
      </c>
      <c r="AH71" s="34">
        <f t="shared" si="29"/>
        <v>0</v>
      </c>
      <c r="AI71" s="34">
        <f t="shared" si="29"/>
        <v>0</v>
      </c>
      <c r="AJ71" s="34">
        <f t="shared" si="29"/>
        <v>0</v>
      </c>
      <c r="AK71" s="34">
        <f t="shared" si="29"/>
        <v>0</v>
      </c>
      <c r="AL71" s="34">
        <f t="shared" si="29"/>
        <v>0</v>
      </c>
      <c r="AM71" s="34">
        <f t="shared" si="29"/>
        <v>0</v>
      </c>
      <c r="AN71" s="34">
        <f t="shared" si="29"/>
        <v>0</v>
      </c>
      <c r="AO71" s="34"/>
      <c r="AP71" s="45">
        <f>AO66</f>
        <v>0</v>
      </c>
      <c r="AQ71" s="1"/>
    </row>
    <row r="72" ht="15.75" customHeight="1">
      <c r="A72" s="1"/>
      <c r="B72" s="32"/>
      <c r="C72" s="32" t="s">
        <v>51</v>
      </c>
      <c r="D72" s="32" t="s">
        <v>52</v>
      </c>
      <c r="E72" s="13"/>
      <c r="F72" s="14" t="s">
        <v>23</v>
      </c>
      <c r="G72" s="44"/>
      <c r="H72" s="34">
        <v>0.0</v>
      </c>
      <c r="I72" s="34">
        <f t="shared" ref="I72:AO72" si="30">H78</f>
        <v>0</v>
      </c>
      <c r="J72" s="34">
        <f t="shared" si="30"/>
        <v>0</v>
      </c>
      <c r="K72" s="34">
        <f t="shared" si="30"/>
        <v>0</v>
      </c>
      <c r="L72" s="34">
        <f t="shared" si="30"/>
        <v>0</v>
      </c>
      <c r="M72" s="34">
        <f t="shared" si="30"/>
        <v>0</v>
      </c>
      <c r="N72" s="34">
        <f t="shared" si="30"/>
        <v>0</v>
      </c>
      <c r="O72" s="34">
        <f t="shared" si="30"/>
        <v>0</v>
      </c>
      <c r="P72" s="34">
        <f t="shared" si="30"/>
        <v>0</v>
      </c>
      <c r="Q72" s="34">
        <f t="shared" si="30"/>
        <v>0</v>
      </c>
      <c r="R72" s="34">
        <f t="shared" si="30"/>
        <v>0</v>
      </c>
      <c r="S72" s="34">
        <f t="shared" si="30"/>
        <v>0</v>
      </c>
      <c r="T72" s="34">
        <f t="shared" si="30"/>
        <v>0</v>
      </c>
      <c r="U72" s="34">
        <f t="shared" si="30"/>
        <v>0</v>
      </c>
      <c r="V72" s="34">
        <f t="shared" si="30"/>
        <v>0</v>
      </c>
      <c r="W72" s="34">
        <f t="shared" si="30"/>
        <v>0</v>
      </c>
      <c r="X72" s="34">
        <f t="shared" si="30"/>
        <v>0</v>
      </c>
      <c r="Y72" s="34">
        <f t="shared" si="30"/>
        <v>0</v>
      </c>
      <c r="Z72" s="34">
        <f t="shared" si="30"/>
        <v>0</v>
      </c>
      <c r="AA72" s="34">
        <f t="shared" si="30"/>
        <v>0</v>
      </c>
      <c r="AB72" s="34">
        <f t="shared" si="30"/>
        <v>0</v>
      </c>
      <c r="AC72" s="34">
        <f t="shared" si="30"/>
        <v>0</v>
      </c>
      <c r="AD72" s="34">
        <f t="shared" si="30"/>
        <v>0</v>
      </c>
      <c r="AE72" s="34">
        <f t="shared" si="30"/>
        <v>0</v>
      </c>
      <c r="AF72" s="34">
        <f t="shared" si="30"/>
        <v>0</v>
      </c>
      <c r="AG72" s="34">
        <f t="shared" si="30"/>
        <v>0</v>
      </c>
      <c r="AH72" s="34">
        <f t="shared" si="30"/>
        <v>0</v>
      </c>
      <c r="AI72" s="34">
        <f t="shared" si="30"/>
        <v>0</v>
      </c>
      <c r="AJ72" s="34">
        <f t="shared" si="30"/>
        <v>0</v>
      </c>
      <c r="AK72" s="34">
        <f t="shared" si="30"/>
        <v>0</v>
      </c>
      <c r="AL72" s="34">
        <f t="shared" si="30"/>
        <v>0</v>
      </c>
      <c r="AM72" s="34">
        <f t="shared" si="30"/>
        <v>0</v>
      </c>
      <c r="AN72" s="34">
        <f t="shared" si="30"/>
        <v>0</v>
      </c>
      <c r="AO72" s="34">
        <f t="shared" si="30"/>
        <v>0</v>
      </c>
      <c r="AP72" s="21"/>
      <c r="AQ72" s="1"/>
    </row>
    <row r="73" ht="15.75" customHeight="1">
      <c r="A73" s="1"/>
      <c r="B73" s="35"/>
      <c r="C73" s="35"/>
      <c r="D73" s="35"/>
      <c r="E73" s="33" t="s">
        <v>24</v>
      </c>
      <c r="F73" s="36" t="s">
        <v>25</v>
      </c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9">
        <f t="shared" ref="AP73:AP77" si="31">SUM(H73:AO73)</f>
        <v>0</v>
      </c>
      <c r="AQ73" s="1"/>
    </row>
    <row r="74" ht="15.75" customHeight="1">
      <c r="A74" s="1"/>
      <c r="B74" s="35"/>
      <c r="C74" s="35"/>
      <c r="D74" s="35"/>
      <c r="E74" s="33" t="s">
        <v>53</v>
      </c>
      <c r="F74" s="36" t="s">
        <v>54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9">
        <f t="shared" si="31"/>
        <v>0</v>
      </c>
      <c r="AQ74" s="1"/>
    </row>
    <row r="75" ht="15.75" customHeight="1">
      <c r="A75" s="1"/>
      <c r="B75" s="35"/>
      <c r="C75" s="35"/>
      <c r="D75" s="35"/>
      <c r="E75" s="33"/>
      <c r="F75" s="40" t="s">
        <v>26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9">
        <f t="shared" si="31"/>
        <v>0</v>
      </c>
      <c r="AQ75" s="1"/>
    </row>
    <row r="76" ht="15.75" customHeight="1">
      <c r="A76" s="1"/>
      <c r="B76" s="35"/>
      <c r="C76" s="35"/>
      <c r="D76" s="35"/>
      <c r="E76" s="33" t="s">
        <v>27</v>
      </c>
      <c r="F76" s="41" t="s">
        <v>28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9">
        <f t="shared" si="31"/>
        <v>0</v>
      </c>
      <c r="AQ76" s="1"/>
    </row>
    <row r="77" ht="15.75" customHeight="1">
      <c r="A77" s="1"/>
      <c r="B77" s="35"/>
      <c r="C77" s="35"/>
      <c r="D77" s="35"/>
      <c r="E77" s="33"/>
      <c r="F77" s="41" t="s">
        <v>29</v>
      </c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9">
        <f t="shared" si="31"/>
        <v>0</v>
      </c>
      <c r="AQ77" s="1"/>
    </row>
    <row r="78" ht="15.75" customHeight="1">
      <c r="A78" s="1"/>
      <c r="B78" s="42"/>
      <c r="C78" s="42"/>
      <c r="D78" s="42"/>
      <c r="E78" s="52"/>
      <c r="F78" s="43" t="s">
        <v>30</v>
      </c>
      <c r="G78" s="44"/>
      <c r="H78" s="34">
        <f t="shared" ref="H78:AN78" si="32">H72+H73+H74-H75+H76-H77</f>
        <v>0</v>
      </c>
      <c r="I78" s="34">
        <f t="shared" si="32"/>
        <v>0</v>
      </c>
      <c r="J78" s="34">
        <f t="shared" si="32"/>
        <v>0</v>
      </c>
      <c r="K78" s="34">
        <f t="shared" si="32"/>
        <v>0</v>
      </c>
      <c r="L78" s="34">
        <f t="shared" si="32"/>
        <v>0</v>
      </c>
      <c r="M78" s="34">
        <f t="shared" si="32"/>
        <v>0</v>
      </c>
      <c r="N78" s="34">
        <f t="shared" si="32"/>
        <v>0</v>
      </c>
      <c r="O78" s="34">
        <f t="shared" si="32"/>
        <v>0</v>
      </c>
      <c r="P78" s="34">
        <f t="shared" si="32"/>
        <v>0</v>
      </c>
      <c r="Q78" s="34">
        <f t="shared" si="32"/>
        <v>0</v>
      </c>
      <c r="R78" s="34">
        <f t="shared" si="32"/>
        <v>0</v>
      </c>
      <c r="S78" s="34">
        <f t="shared" si="32"/>
        <v>0</v>
      </c>
      <c r="T78" s="34">
        <f t="shared" si="32"/>
        <v>0</v>
      </c>
      <c r="U78" s="34">
        <f t="shared" si="32"/>
        <v>0</v>
      </c>
      <c r="V78" s="34">
        <f t="shared" si="32"/>
        <v>0</v>
      </c>
      <c r="W78" s="34">
        <f t="shared" si="32"/>
        <v>0</v>
      </c>
      <c r="X78" s="34">
        <f t="shared" si="32"/>
        <v>0</v>
      </c>
      <c r="Y78" s="34">
        <f t="shared" si="32"/>
        <v>0</v>
      </c>
      <c r="Z78" s="34">
        <f t="shared" si="32"/>
        <v>0</v>
      </c>
      <c r="AA78" s="34">
        <f t="shared" si="32"/>
        <v>0</v>
      </c>
      <c r="AB78" s="34">
        <f t="shared" si="32"/>
        <v>0</v>
      </c>
      <c r="AC78" s="34">
        <f t="shared" si="32"/>
        <v>0</v>
      </c>
      <c r="AD78" s="34">
        <f t="shared" si="32"/>
        <v>0</v>
      </c>
      <c r="AE78" s="34">
        <f t="shared" si="32"/>
        <v>0</v>
      </c>
      <c r="AF78" s="34">
        <f t="shared" si="32"/>
        <v>0</v>
      </c>
      <c r="AG78" s="34">
        <f t="shared" si="32"/>
        <v>0</v>
      </c>
      <c r="AH78" s="34">
        <f t="shared" si="32"/>
        <v>0</v>
      </c>
      <c r="AI78" s="34">
        <f t="shared" si="32"/>
        <v>0</v>
      </c>
      <c r="AJ78" s="34">
        <f t="shared" si="32"/>
        <v>0</v>
      </c>
      <c r="AK78" s="34">
        <f t="shared" si="32"/>
        <v>0</v>
      </c>
      <c r="AL78" s="34">
        <f t="shared" si="32"/>
        <v>0</v>
      </c>
      <c r="AM78" s="34">
        <f t="shared" si="32"/>
        <v>0</v>
      </c>
      <c r="AN78" s="34">
        <f t="shared" si="32"/>
        <v>0</v>
      </c>
      <c r="AO78" s="34"/>
      <c r="AP78" s="45">
        <f>AO72</f>
        <v>0</v>
      </c>
      <c r="AQ78" s="1"/>
    </row>
    <row r="79" ht="15.75" customHeight="1">
      <c r="A79" s="1"/>
      <c r="B79" s="32"/>
      <c r="C79" s="32" t="s">
        <v>55</v>
      </c>
      <c r="D79" s="32" t="s">
        <v>56</v>
      </c>
      <c r="E79" s="13"/>
      <c r="F79" s="14" t="s">
        <v>23</v>
      </c>
      <c r="G79" s="44"/>
      <c r="H79" s="34" t="str">
        <f>G84</f>
        <v/>
      </c>
      <c r="I79" s="34">
        <v>0.0</v>
      </c>
      <c r="J79" s="34">
        <f t="shared" ref="J79:AO79" si="33">I84</f>
        <v>0</v>
      </c>
      <c r="K79" s="34">
        <f t="shared" si="33"/>
        <v>0</v>
      </c>
      <c r="L79" s="34">
        <f t="shared" si="33"/>
        <v>0</v>
      </c>
      <c r="M79" s="34">
        <f t="shared" si="33"/>
        <v>0</v>
      </c>
      <c r="N79" s="34">
        <f t="shared" si="33"/>
        <v>0</v>
      </c>
      <c r="O79" s="34">
        <f t="shared" si="33"/>
        <v>0</v>
      </c>
      <c r="P79" s="34">
        <f t="shared" si="33"/>
        <v>0</v>
      </c>
      <c r="Q79" s="34">
        <f t="shared" si="33"/>
        <v>0</v>
      </c>
      <c r="R79" s="34">
        <f t="shared" si="33"/>
        <v>0</v>
      </c>
      <c r="S79" s="34">
        <f t="shared" si="33"/>
        <v>0</v>
      </c>
      <c r="T79" s="34">
        <f t="shared" si="33"/>
        <v>0</v>
      </c>
      <c r="U79" s="34">
        <f t="shared" si="33"/>
        <v>0</v>
      </c>
      <c r="V79" s="34">
        <f t="shared" si="33"/>
        <v>0</v>
      </c>
      <c r="W79" s="34">
        <f t="shared" si="33"/>
        <v>0</v>
      </c>
      <c r="X79" s="34">
        <f t="shared" si="33"/>
        <v>0</v>
      </c>
      <c r="Y79" s="34">
        <f t="shared" si="33"/>
        <v>0</v>
      </c>
      <c r="Z79" s="34">
        <f t="shared" si="33"/>
        <v>0</v>
      </c>
      <c r="AA79" s="34">
        <f t="shared" si="33"/>
        <v>0</v>
      </c>
      <c r="AB79" s="34">
        <f t="shared" si="33"/>
        <v>0</v>
      </c>
      <c r="AC79" s="34">
        <f t="shared" si="33"/>
        <v>0</v>
      </c>
      <c r="AD79" s="34">
        <f t="shared" si="33"/>
        <v>0</v>
      </c>
      <c r="AE79" s="34">
        <f t="shared" si="33"/>
        <v>0</v>
      </c>
      <c r="AF79" s="34">
        <f t="shared" si="33"/>
        <v>0</v>
      </c>
      <c r="AG79" s="34">
        <f t="shared" si="33"/>
        <v>0</v>
      </c>
      <c r="AH79" s="34">
        <f t="shared" si="33"/>
        <v>0</v>
      </c>
      <c r="AI79" s="34">
        <f t="shared" si="33"/>
        <v>0</v>
      </c>
      <c r="AJ79" s="34">
        <f t="shared" si="33"/>
        <v>0</v>
      </c>
      <c r="AK79" s="34">
        <f t="shared" si="33"/>
        <v>0</v>
      </c>
      <c r="AL79" s="34">
        <f t="shared" si="33"/>
        <v>0</v>
      </c>
      <c r="AM79" s="34">
        <f t="shared" si="33"/>
        <v>0</v>
      </c>
      <c r="AN79" s="34">
        <f t="shared" si="33"/>
        <v>0</v>
      </c>
      <c r="AO79" s="34">
        <f t="shared" si="33"/>
        <v>0</v>
      </c>
      <c r="AP79" s="21"/>
      <c r="AQ79" s="1"/>
    </row>
    <row r="80" ht="15.75" customHeight="1">
      <c r="A80" s="1"/>
      <c r="B80" s="35"/>
      <c r="C80" s="35"/>
      <c r="D80" s="35"/>
      <c r="E80" s="33" t="s">
        <v>24</v>
      </c>
      <c r="F80" s="36" t="s">
        <v>25</v>
      </c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8"/>
      <c r="T80" s="37"/>
      <c r="U80" s="38"/>
      <c r="V80" s="37"/>
      <c r="W80" s="37"/>
      <c r="X80" s="37"/>
      <c r="Y80" s="37"/>
      <c r="Z80" s="37"/>
      <c r="AA80" s="37"/>
      <c r="AB80" s="37"/>
      <c r="AC80" s="37"/>
      <c r="AD80" s="38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9">
        <f t="shared" ref="AP80:AP83" si="34">SUM(H80:AO80)</f>
        <v>0</v>
      </c>
      <c r="AQ80" s="1"/>
    </row>
    <row r="81" ht="15.75" customHeight="1">
      <c r="A81" s="1"/>
      <c r="B81" s="35"/>
      <c r="C81" s="35"/>
      <c r="D81" s="35"/>
      <c r="E81" s="33"/>
      <c r="F81" s="40" t="s">
        <v>26</v>
      </c>
      <c r="G81" s="37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9">
        <f t="shared" si="34"/>
        <v>0</v>
      </c>
      <c r="AQ81" s="1"/>
    </row>
    <row r="82" ht="15.75" customHeight="1">
      <c r="A82" s="1"/>
      <c r="B82" s="35"/>
      <c r="C82" s="35"/>
      <c r="D82" s="35"/>
      <c r="E82" s="33" t="s">
        <v>27</v>
      </c>
      <c r="F82" s="41" t="s">
        <v>28</v>
      </c>
      <c r="G82" s="37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7"/>
      <c r="AP82" s="39">
        <f t="shared" si="34"/>
        <v>0</v>
      </c>
      <c r="AQ82" s="1"/>
    </row>
    <row r="83" ht="15.75" customHeight="1">
      <c r="A83" s="1"/>
      <c r="B83" s="35"/>
      <c r="C83" s="35"/>
      <c r="D83" s="35"/>
      <c r="E83" s="33"/>
      <c r="F83" s="41" t="s">
        <v>29</v>
      </c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8"/>
      <c r="T83" s="37"/>
      <c r="U83" s="38"/>
      <c r="V83" s="37"/>
      <c r="W83" s="37"/>
      <c r="X83" s="37"/>
      <c r="Y83" s="37"/>
      <c r="Z83" s="37"/>
      <c r="AA83" s="37"/>
      <c r="AB83" s="37"/>
      <c r="AC83" s="37"/>
      <c r="AD83" s="38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9">
        <f t="shared" si="34"/>
        <v>0</v>
      </c>
      <c r="AQ83" s="1"/>
    </row>
    <row r="84" ht="15.75" customHeight="1">
      <c r="A84" s="1"/>
      <c r="B84" s="42"/>
      <c r="C84" s="42"/>
      <c r="D84" s="42"/>
      <c r="E84" s="52"/>
      <c r="F84" s="43" t="s">
        <v>30</v>
      </c>
      <c r="G84" s="44"/>
      <c r="H84" s="34">
        <f t="shared" ref="H84:AN84" si="35">H79+H80-H81+H82-H83</f>
        <v>0</v>
      </c>
      <c r="I84" s="34">
        <f t="shared" si="35"/>
        <v>0</v>
      </c>
      <c r="J84" s="34">
        <f t="shared" si="35"/>
        <v>0</v>
      </c>
      <c r="K84" s="34">
        <f t="shared" si="35"/>
        <v>0</v>
      </c>
      <c r="L84" s="34">
        <f t="shared" si="35"/>
        <v>0</v>
      </c>
      <c r="M84" s="34">
        <f t="shared" si="35"/>
        <v>0</v>
      </c>
      <c r="N84" s="34">
        <f t="shared" si="35"/>
        <v>0</v>
      </c>
      <c r="O84" s="34">
        <f t="shared" si="35"/>
        <v>0</v>
      </c>
      <c r="P84" s="34">
        <f t="shared" si="35"/>
        <v>0</v>
      </c>
      <c r="Q84" s="34">
        <f t="shared" si="35"/>
        <v>0</v>
      </c>
      <c r="R84" s="34">
        <f t="shared" si="35"/>
        <v>0</v>
      </c>
      <c r="S84" s="34">
        <f t="shared" si="35"/>
        <v>0</v>
      </c>
      <c r="T84" s="34">
        <f t="shared" si="35"/>
        <v>0</v>
      </c>
      <c r="U84" s="34">
        <f t="shared" si="35"/>
        <v>0</v>
      </c>
      <c r="V84" s="34">
        <f t="shared" si="35"/>
        <v>0</v>
      </c>
      <c r="W84" s="34">
        <f t="shared" si="35"/>
        <v>0</v>
      </c>
      <c r="X84" s="34">
        <f t="shared" si="35"/>
        <v>0</v>
      </c>
      <c r="Y84" s="34">
        <f t="shared" si="35"/>
        <v>0</v>
      </c>
      <c r="Z84" s="34">
        <f t="shared" si="35"/>
        <v>0</v>
      </c>
      <c r="AA84" s="34">
        <f t="shared" si="35"/>
        <v>0</v>
      </c>
      <c r="AB84" s="34">
        <f t="shared" si="35"/>
        <v>0</v>
      </c>
      <c r="AC84" s="34">
        <f t="shared" si="35"/>
        <v>0</v>
      </c>
      <c r="AD84" s="34">
        <f t="shared" si="35"/>
        <v>0</v>
      </c>
      <c r="AE84" s="34">
        <f t="shared" si="35"/>
        <v>0</v>
      </c>
      <c r="AF84" s="34">
        <f t="shared" si="35"/>
        <v>0</v>
      </c>
      <c r="AG84" s="34">
        <f t="shared" si="35"/>
        <v>0</v>
      </c>
      <c r="AH84" s="34">
        <f t="shared" si="35"/>
        <v>0</v>
      </c>
      <c r="AI84" s="34">
        <f t="shared" si="35"/>
        <v>0</v>
      </c>
      <c r="AJ84" s="34">
        <f t="shared" si="35"/>
        <v>0</v>
      </c>
      <c r="AK84" s="34">
        <f t="shared" si="35"/>
        <v>0</v>
      </c>
      <c r="AL84" s="34">
        <f t="shared" si="35"/>
        <v>0</v>
      </c>
      <c r="AM84" s="34">
        <f t="shared" si="35"/>
        <v>0</v>
      </c>
      <c r="AN84" s="34">
        <f t="shared" si="35"/>
        <v>0</v>
      </c>
      <c r="AO84" s="34"/>
      <c r="AP84" s="45">
        <f>AO79</f>
        <v>0</v>
      </c>
      <c r="AQ84" s="1"/>
    </row>
    <row r="85" ht="15.75" customHeight="1">
      <c r="A85" s="1"/>
      <c r="B85" s="32"/>
      <c r="C85" s="32" t="s">
        <v>57</v>
      </c>
      <c r="D85" s="32"/>
      <c r="E85" s="13"/>
      <c r="F85" s="14" t="s">
        <v>23</v>
      </c>
      <c r="G85" s="44"/>
      <c r="H85" s="34" t="str">
        <f>G90</f>
        <v/>
      </c>
      <c r="I85" s="34">
        <v>0.0</v>
      </c>
      <c r="J85" s="34">
        <f t="shared" ref="J85:AO85" si="36">I90</f>
        <v>0</v>
      </c>
      <c r="K85" s="34">
        <f t="shared" si="36"/>
        <v>0</v>
      </c>
      <c r="L85" s="34">
        <f t="shared" si="36"/>
        <v>0</v>
      </c>
      <c r="M85" s="34">
        <f t="shared" si="36"/>
        <v>0</v>
      </c>
      <c r="N85" s="34">
        <f t="shared" si="36"/>
        <v>0</v>
      </c>
      <c r="O85" s="34">
        <f t="shared" si="36"/>
        <v>0</v>
      </c>
      <c r="P85" s="34">
        <f t="shared" si="36"/>
        <v>0</v>
      </c>
      <c r="Q85" s="34">
        <f t="shared" si="36"/>
        <v>0</v>
      </c>
      <c r="R85" s="34">
        <f t="shared" si="36"/>
        <v>0</v>
      </c>
      <c r="S85" s="34">
        <f t="shared" si="36"/>
        <v>0</v>
      </c>
      <c r="T85" s="34">
        <f t="shared" si="36"/>
        <v>0</v>
      </c>
      <c r="U85" s="34">
        <f t="shared" si="36"/>
        <v>0</v>
      </c>
      <c r="V85" s="34">
        <f t="shared" si="36"/>
        <v>0</v>
      </c>
      <c r="W85" s="34">
        <f t="shared" si="36"/>
        <v>0</v>
      </c>
      <c r="X85" s="34">
        <f t="shared" si="36"/>
        <v>0</v>
      </c>
      <c r="Y85" s="34">
        <f t="shared" si="36"/>
        <v>0</v>
      </c>
      <c r="Z85" s="34">
        <f t="shared" si="36"/>
        <v>0</v>
      </c>
      <c r="AA85" s="34">
        <f t="shared" si="36"/>
        <v>0</v>
      </c>
      <c r="AB85" s="34">
        <f t="shared" si="36"/>
        <v>0</v>
      </c>
      <c r="AC85" s="34">
        <f t="shared" si="36"/>
        <v>0</v>
      </c>
      <c r="AD85" s="34">
        <f t="shared" si="36"/>
        <v>0</v>
      </c>
      <c r="AE85" s="34">
        <f t="shared" si="36"/>
        <v>0</v>
      </c>
      <c r="AF85" s="34">
        <f t="shared" si="36"/>
        <v>0</v>
      </c>
      <c r="AG85" s="34">
        <f t="shared" si="36"/>
        <v>0</v>
      </c>
      <c r="AH85" s="34">
        <f t="shared" si="36"/>
        <v>0</v>
      </c>
      <c r="AI85" s="34">
        <f t="shared" si="36"/>
        <v>0</v>
      </c>
      <c r="AJ85" s="34">
        <f t="shared" si="36"/>
        <v>0</v>
      </c>
      <c r="AK85" s="34">
        <f t="shared" si="36"/>
        <v>0</v>
      </c>
      <c r="AL85" s="34">
        <f t="shared" si="36"/>
        <v>0</v>
      </c>
      <c r="AM85" s="34">
        <f t="shared" si="36"/>
        <v>0</v>
      </c>
      <c r="AN85" s="34">
        <f t="shared" si="36"/>
        <v>0</v>
      </c>
      <c r="AO85" s="34">
        <f t="shared" si="36"/>
        <v>0</v>
      </c>
      <c r="AP85" s="21"/>
      <c r="AQ85" s="1"/>
    </row>
    <row r="86" ht="15.75" customHeight="1">
      <c r="A86" s="1"/>
      <c r="B86" s="35"/>
      <c r="C86" s="35"/>
      <c r="D86" s="35"/>
      <c r="E86" s="33" t="s">
        <v>24</v>
      </c>
      <c r="F86" s="36" t="s">
        <v>25</v>
      </c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8"/>
      <c r="T86" s="37"/>
      <c r="U86" s="38"/>
      <c r="V86" s="37"/>
      <c r="W86" s="37"/>
      <c r="X86" s="37"/>
      <c r="Y86" s="37"/>
      <c r="Z86" s="37"/>
      <c r="AA86" s="37"/>
      <c r="AB86" s="37"/>
      <c r="AC86" s="37"/>
      <c r="AD86" s="38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9">
        <f t="shared" ref="AP86:AP89" si="37">SUM(H86:AO86)</f>
        <v>0</v>
      </c>
      <c r="AQ86" s="1"/>
    </row>
    <row r="87" ht="15.75" customHeight="1">
      <c r="A87" s="1"/>
      <c r="B87" s="35"/>
      <c r="C87" s="35"/>
      <c r="D87" s="35"/>
      <c r="E87" s="33"/>
      <c r="F87" s="40" t="s">
        <v>26</v>
      </c>
      <c r="G87" s="37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9">
        <f t="shared" si="37"/>
        <v>0</v>
      </c>
      <c r="AQ87" s="1"/>
    </row>
    <row r="88" ht="15.75" customHeight="1">
      <c r="A88" s="1"/>
      <c r="B88" s="35"/>
      <c r="C88" s="35"/>
      <c r="D88" s="35"/>
      <c r="E88" s="33" t="s">
        <v>27</v>
      </c>
      <c r="F88" s="41" t="s">
        <v>28</v>
      </c>
      <c r="G88" s="37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7"/>
      <c r="AP88" s="39">
        <f t="shared" si="37"/>
        <v>0</v>
      </c>
      <c r="AQ88" s="1"/>
    </row>
    <row r="89" ht="15.75" customHeight="1">
      <c r="A89" s="1"/>
      <c r="B89" s="35"/>
      <c r="C89" s="35"/>
      <c r="D89" s="35"/>
      <c r="E89" s="33"/>
      <c r="F89" s="41" t="s">
        <v>29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8"/>
      <c r="T89" s="37"/>
      <c r="U89" s="38"/>
      <c r="V89" s="37"/>
      <c r="W89" s="37"/>
      <c r="X89" s="37"/>
      <c r="Y89" s="37"/>
      <c r="Z89" s="37"/>
      <c r="AA89" s="37"/>
      <c r="AB89" s="37"/>
      <c r="AC89" s="37"/>
      <c r="AD89" s="38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9">
        <f t="shared" si="37"/>
        <v>0</v>
      </c>
      <c r="AQ89" s="1"/>
    </row>
    <row r="90" ht="15.75" customHeight="1">
      <c r="A90" s="1"/>
      <c r="B90" s="42"/>
      <c r="C90" s="42"/>
      <c r="D90" s="42"/>
      <c r="E90" s="52"/>
      <c r="F90" s="43" t="s">
        <v>30</v>
      </c>
      <c r="G90" s="44"/>
      <c r="H90" s="34">
        <f t="shared" ref="H90:AN90" si="38">H85+H86-H87+H88-H89</f>
        <v>0</v>
      </c>
      <c r="I90" s="34">
        <f t="shared" si="38"/>
        <v>0</v>
      </c>
      <c r="J90" s="34">
        <f t="shared" si="38"/>
        <v>0</v>
      </c>
      <c r="K90" s="34">
        <f t="shared" si="38"/>
        <v>0</v>
      </c>
      <c r="L90" s="34">
        <f t="shared" si="38"/>
        <v>0</v>
      </c>
      <c r="M90" s="34">
        <f t="shared" si="38"/>
        <v>0</v>
      </c>
      <c r="N90" s="34">
        <f t="shared" si="38"/>
        <v>0</v>
      </c>
      <c r="O90" s="34">
        <f t="shared" si="38"/>
        <v>0</v>
      </c>
      <c r="P90" s="34">
        <f t="shared" si="38"/>
        <v>0</v>
      </c>
      <c r="Q90" s="34">
        <f t="shared" si="38"/>
        <v>0</v>
      </c>
      <c r="R90" s="34">
        <f t="shared" si="38"/>
        <v>0</v>
      </c>
      <c r="S90" s="34">
        <f t="shared" si="38"/>
        <v>0</v>
      </c>
      <c r="T90" s="34">
        <f t="shared" si="38"/>
        <v>0</v>
      </c>
      <c r="U90" s="34">
        <f t="shared" si="38"/>
        <v>0</v>
      </c>
      <c r="V90" s="34">
        <f t="shared" si="38"/>
        <v>0</v>
      </c>
      <c r="W90" s="34">
        <f t="shared" si="38"/>
        <v>0</v>
      </c>
      <c r="X90" s="34">
        <f t="shared" si="38"/>
        <v>0</v>
      </c>
      <c r="Y90" s="34">
        <f t="shared" si="38"/>
        <v>0</v>
      </c>
      <c r="Z90" s="34">
        <f t="shared" si="38"/>
        <v>0</v>
      </c>
      <c r="AA90" s="34">
        <f t="shared" si="38"/>
        <v>0</v>
      </c>
      <c r="AB90" s="34">
        <f t="shared" si="38"/>
        <v>0</v>
      </c>
      <c r="AC90" s="34">
        <f t="shared" si="38"/>
        <v>0</v>
      </c>
      <c r="AD90" s="34">
        <f t="shared" si="38"/>
        <v>0</v>
      </c>
      <c r="AE90" s="34">
        <f t="shared" si="38"/>
        <v>0</v>
      </c>
      <c r="AF90" s="34">
        <f t="shared" si="38"/>
        <v>0</v>
      </c>
      <c r="AG90" s="34">
        <f t="shared" si="38"/>
        <v>0</v>
      </c>
      <c r="AH90" s="34">
        <f t="shared" si="38"/>
        <v>0</v>
      </c>
      <c r="AI90" s="34">
        <f t="shared" si="38"/>
        <v>0</v>
      </c>
      <c r="AJ90" s="34">
        <f t="shared" si="38"/>
        <v>0</v>
      </c>
      <c r="AK90" s="34">
        <f t="shared" si="38"/>
        <v>0</v>
      </c>
      <c r="AL90" s="34">
        <f t="shared" si="38"/>
        <v>0</v>
      </c>
      <c r="AM90" s="34">
        <f t="shared" si="38"/>
        <v>0</v>
      </c>
      <c r="AN90" s="34">
        <f t="shared" si="38"/>
        <v>0</v>
      </c>
      <c r="AO90" s="34"/>
      <c r="AP90" s="45">
        <f>AO85</f>
        <v>0</v>
      </c>
      <c r="AQ90" s="1"/>
    </row>
    <row r="91" ht="15.75" customHeight="1">
      <c r="A91" s="1"/>
      <c r="B91" s="32"/>
      <c r="C91" s="32" t="s">
        <v>58</v>
      </c>
      <c r="D91" s="32" t="s">
        <v>59</v>
      </c>
      <c r="E91" s="13"/>
      <c r="F91" s="14" t="s">
        <v>23</v>
      </c>
      <c r="G91" s="44"/>
      <c r="H91" s="34" t="str">
        <f>G96</f>
        <v/>
      </c>
      <c r="I91" s="34">
        <v>0.0</v>
      </c>
      <c r="J91" s="34">
        <f t="shared" ref="J91:AO91" si="39">I96</f>
        <v>0</v>
      </c>
      <c r="K91" s="34">
        <f t="shared" si="39"/>
        <v>0</v>
      </c>
      <c r="L91" s="34">
        <f t="shared" si="39"/>
        <v>0</v>
      </c>
      <c r="M91" s="34">
        <f t="shared" si="39"/>
        <v>0</v>
      </c>
      <c r="N91" s="34">
        <f t="shared" si="39"/>
        <v>0</v>
      </c>
      <c r="O91" s="34">
        <f t="shared" si="39"/>
        <v>0</v>
      </c>
      <c r="P91" s="34">
        <f t="shared" si="39"/>
        <v>0</v>
      </c>
      <c r="Q91" s="34">
        <f t="shared" si="39"/>
        <v>0</v>
      </c>
      <c r="R91" s="34">
        <f t="shared" si="39"/>
        <v>0</v>
      </c>
      <c r="S91" s="34">
        <f t="shared" si="39"/>
        <v>0</v>
      </c>
      <c r="T91" s="34">
        <f t="shared" si="39"/>
        <v>0</v>
      </c>
      <c r="U91" s="34">
        <f t="shared" si="39"/>
        <v>0</v>
      </c>
      <c r="V91" s="34">
        <f t="shared" si="39"/>
        <v>0</v>
      </c>
      <c r="W91" s="34">
        <f t="shared" si="39"/>
        <v>0</v>
      </c>
      <c r="X91" s="34">
        <f t="shared" si="39"/>
        <v>0</v>
      </c>
      <c r="Y91" s="34">
        <f t="shared" si="39"/>
        <v>0</v>
      </c>
      <c r="Z91" s="34">
        <f t="shared" si="39"/>
        <v>0</v>
      </c>
      <c r="AA91" s="34">
        <f t="shared" si="39"/>
        <v>0</v>
      </c>
      <c r="AB91" s="34">
        <f t="shared" si="39"/>
        <v>0</v>
      </c>
      <c r="AC91" s="34">
        <f t="shared" si="39"/>
        <v>0</v>
      </c>
      <c r="AD91" s="34">
        <f t="shared" si="39"/>
        <v>0</v>
      </c>
      <c r="AE91" s="34">
        <f t="shared" si="39"/>
        <v>0</v>
      </c>
      <c r="AF91" s="34">
        <f t="shared" si="39"/>
        <v>0</v>
      </c>
      <c r="AG91" s="34">
        <f t="shared" si="39"/>
        <v>0</v>
      </c>
      <c r="AH91" s="34">
        <f t="shared" si="39"/>
        <v>0</v>
      </c>
      <c r="AI91" s="34">
        <f t="shared" si="39"/>
        <v>0</v>
      </c>
      <c r="AJ91" s="34">
        <f t="shared" si="39"/>
        <v>0</v>
      </c>
      <c r="AK91" s="34">
        <f t="shared" si="39"/>
        <v>0</v>
      </c>
      <c r="AL91" s="34">
        <f t="shared" si="39"/>
        <v>0</v>
      </c>
      <c r="AM91" s="34">
        <f t="shared" si="39"/>
        <v>0</v>
      </c>
      <c r="AN91" s="34">
        <f t="shared" si="39"/>
        <v>0</v>
      </c>
      <c r="AO91" s="34">
        <f t="shared" si="39"/>
        <v>0</v>
      </c>
      <c r="AP91" s="21"/>
      <c r="AQ91" s="1"/>
    </row>
    <row r="92" ht="15.75" customHeight="1">
      <c r="A92" s="1"/>
      <c r="B92" s="35"/>
      <c r="C92" s="35"/>
      <c r="D92" s="35"/>
      <c r="E92" s="33" t="s">
        <v>24</v>
      </c>
      <c r="F92" s="36" t="s">
        <v>25</v>
      </c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8"/>
      <c r="T92" s="37"/>
      <c r="U92" s="38"/>
      <c r="V92" s="37"/>
      <c r="W92" s="37"/>
      <c r="X92" s="37"/>
      <c r="Y92" s="37"/>
      <c r="Z92" s="37"/>
      <c r="AA92" s="37"/>
      <c r="AB92" s="37"/>
      <c r="AC92" s="37"/>
      <c r="AD92" s="38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9">
        <f t="shared" ref="AP92:AP95" si="40">SUM(H92:AO92)</f>
        <v>0</v>
      </c>
      <c r="AQ92" s="1"/>
    </row>
    <row r="93" ht="15.75" customHeight="1">
      <c r="A93" s="1"/>
      <c r="B93" s="35"/>
      <c r="C93" s="35"/>
      <c r="D93" s="35"/>
      <c r="E93" s="33"/>
      <c r="F93" s="40" t="s">
        <v>26</v>
      </c>
      <c r="G93" s="37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9">
        <f t="shared" si="40"/>
        <v>0</v>
      </c>
      <c r="AQ93" s="1"/>
    </row>
    <row r="94" ht="15.75" customHeight="1">
      <c r="A94" s="1"/>
      <c r="B94" s="35"/>
      <c r="C94" s="35"/>
      <c r="D94" s="35"/>
      <c r="E94" s="33" t="s">
        <v>27</v>
      </c>
      <c r="F94" s="41" t="s">
        <v>28</v>
      </c>
      <c r="G94" s="37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7"/>
      <c r="AP94" s="39">
        <f t="shared" si="40"/>
        <v>0</v>
      </c>
      <c r="AQ94" s="1"/>
    </row>
    <row r="95" ht="15.75" customHeight="1">
      <c r="A95" s="1"/>
      <c r="B95" s="35"/>
      <c r="C95" s="35"/>
      <c r="D95" s="35"/>
      <c r="E95" s="33"/>
      <c r="F95" s="41" t="s">
        <v>29</v>
      </c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8"/>
      <c r="T95" s="37"/>
      <c r="U95" s="38"/>
      <c r="V95" s="37"/>
      <c r="W95" s="37"/>
      <c r="X95" s="37"/>
      <c r="Y95" s="37"/>
      <c r="Z95" s="37"/>
      <c r="AA95" s="37"/>
      <c r="AB95" s="37"/>
      <c r="AC95" s="37"/>
      <c r="AD95" s="38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9">
        <f t="shared" si="40"/>
        <v>0</v>
      </c>
      <c r="AQ95" s="1"/>
    </row>
    <row r="96" ht="15.75" customHeight="1">
      <c r="A96" s="1"/>
      <c r="B96" s="42"/>
      <c r="C96" s="42"/>
      <c r="D96" s="42"/>
      <c r="E96" s="52"/>
      <c r="F96" s="43" t="s">
        <v>30</v>
      </c>
      <c r="G96" s="44"/>
      <c r="H96" s="34">
        <f t="shared" ref="H96:AN96" si="41">H91+H92-H93+H94-H95</f>
        <v>0</v>
      </c>
      <c r="I96" s="34">
        <f t="shared" si="41"/>
        <v>0</v>
      </c>
      <c r="J96" s="34">
        <f t="shared" si="41"/>
        <v>0</v>
      </c>
      <c r="K96" s="34">
        <f t="shared" si="41"/>
        <v>0</v>
      </c>
      <c r="L96" s="34">
        <f t="shared" si="41"/>
        <v>0</v>
      </c>
      <c r="M96" s="34">
        <f t="shared" si="41"/>
        <v>0</v>
      </c>
      <c r="N96" s="34">
        <f t="shared" si="41"/>
        <v>0</v>
      </c>
      <c r="O96" s="34">
        <f t="shared" si="41"/>
        <v>0</v>
      </c>
      <c r="P96" s="34">
        <f t="shared" si="41"/>
        <v>0</v>
      </c>
      <c r="Q96" s="34">
        <f t="shared" si="41"/>
        <v>0</v>
      </c>
      <c r="R96" s="34">
        <f t="shared" si="41"/>
        <v>0</v>
      </c>
      <c r="S96" s="34">
        <f t="shared" si="41"/>
        <v>0</v>
      </c>
      <c r="T96" s="34">
        <f t="shared" si="41"/>
        <v>0</v>
      </c>
      <c r="U96" s="34">
        <f t="shared" si="41"/>
        <v>0</v>
      </c>
      <c r="V96" s="34">
        <f t="shared" si="41"/>
        <v>0</v>
      </c>
      <c r="W96" s="34">
        <f t="shared" si="41"/>
        <v>0</v>
      </c>
      <c r="X96" s="34">
        <f t="shared" si="41"/>
        <v>0</v>
      </c>
      <c r="Y96" s="34">
        <f t="shared" si="41"/>
        <v>0</v>
      </c>
      <c r="Z96" s="34">
        <f t="shared" si="41"/>
        <v>0</v>
      </c>
      <c r="AA96" s="34">
        <f t="shared" si="41"/>
        <v>0</v>
      </c>
      <c r="AB96" s="34">
        <f t="shared" si="41"/>
        <v>0</v>
      </c>
      <c r="AC96" s="34">
        <f t="shared" si="41"/>
        <v>0</v>
      </c>
      <c r="AD96" s="34">
        <f t="shared" si="41"/>
        <v>0</v>
      </c>
      <c r="AE96" s="34">
        <f t="shared" si="41"/>
        <v>0</v>
      </c>
      <c r="AF96" s="34">
        <f t="shared" si="41"/>
        <v>0</v>
      </c>
      <c r="AG96" s="34">
        <f t="shared" si="41"/>
        <v>0</v>
      </c>
      <c r="AH96" s="34">
        <f t="shared" si="41"/>
        <v>0</v>
      </c>
      <c r="AI96" s="34">
        <f t="shared" si="41"/>
        <v>0</v>
      </c>
      <c r="AJ96" s="34">
        <f t="shared" si="41"/>
        <v>0</v>
      </c>
      <c r="AK96" s="34">
        <f t="shared" si="41"/>
        <v>0</v>
      </c>
      <c r="AL96" s="34">
        <f t="shared" si="41"/>
        <v>0</v>
      </c>
      <c r="AM96" s="34">
        <f t="shared" si="41"/>
        <v>0</v>
      </c>
      <c r="AN96" s="34">
        <f t="shared" si="41"/>
        <v>0</v>
      </c>
      <c r="AO96" s="34"/>
      <c r="AP96" s="45">
        <f>AO91</f>
        <v>0</v>
      </c>
      <c r="AQ96" s="1"/>
    </row>
    <row r="97" ht="15.75" customHeight="1">
      <c r="A97" s="1"/>
      <c r="B97" s="32"/>
      <c r="C97" s="32" t="s">
        <v>60</v>
      </c>
      <c r="D97" s="32" t="s">
        <v>61</v>
      </c>
      <c r="E97" s="13" t="s">
        <v>62</v>
      </c>
      <c r="F97" s="14" t="s">
        <v>23</v>
      </c>
      <c r="G97" s="44"/>
      <c r="H97" s="34" t="str">
        <f>G102</f>
        <v/>
      </c>
      <c r="I97" s="34">
        <v>0.0</v>
      </c>
      <c r="J97" s="34">
        <f t="shared" ref="J97:AO97" si="42">I102</f>
        <v>0</v>
      </c>
      <c r="K97" s="34">
        <f t="shared" si="42"/>
        <v>0</v>
      </c>
      <c r="L97" s="34">
        <f t="shared" si="42"/>
        <v>0</v>
      </c>
      <c r="M97" s="34">
        <f t="shared" si="42"/>
        <v>0</v>
      </c>
      <c r="N97" s="34">
        <f t="shared" si="42"/>
        <v>0</v>
      </c>
      <c r="O97" s="34">
        <f t="shared" si="42"/>
        <v>0</v>
      </c>
      <c r="P97" s="34">
        <f t="shared" si="42"/>
        <v>0</v>
      </c>
      <c r="Q97" s="34">
        <f t="shared" si="42"/>
        <v>0</v>
      </c>
      <c r="R97" s="34">
        <f t="shared" si="42"/>
        <v>0</v>
      </c>
      <c r="S97" s="34">
        <f t="shared" si="42"/>
        <v>0</v>
      </c>
      <c r="T97" s="34">
        <f t="shared" si="42"/>
        <v>0</v>
      </c>
      <c r="U97" s="34">
        <f t="shared" si="42"/>
        <v>0</v>
      </c>
      <c r="V97" s="34">
        <f t="shared" si="42"/>
        <v>0</v>
      </c>
      <c r="W97" s="34">
        <f t="shared" si="42"/>
        <v>0</v>
      </c>
      <c r="X97" s="34">
        <f t="shared" si="42"/>
        <v>0</v>
      </c>
      <c r="Y97" s="34">
        <f t="shared" si="42"/>
        <v>0</v>
      </c>
      <c r="Z97" s="34">
        <f t="shared" si="42"/>
        <v>0</v>
      </c>
      <c r="AA97" s="34">
        <f t="shared" si="42"/>
        <v>0</v>
      </c>
      <c r="AB97" s="34">
        <f t="shared" si="42"/>
        <v>0</v>
      </c>
      <c r="AC97" s="34">
        <f t="shared" si="42"/>
        <v>0</v>
      </c>
      <c r="AD97" s="34">
        <f t="shared" si="42"/>
        <v>0</v>
      </c>
      <c r="AE97" s="34">
        <f t="shared" si="42"/>
        <v>0</v>
      </c>
      <c r="AF97" s="34">
        <f t="shared" si="42"/>
        <v>0</v>
      </c>
      <c r="AG97" s="34">
        <f t="shared" si="42"/>
        <v>0</v>
      </c>
      <c r="AH97" s="34">
        <f t="shared" si="42"/>
        <v>0</v>
      </c>
      <c r="AI97" s="34">
        <f t="shared" si="42"/>
        <v>0</v>
      </c>
      <c r="AJ97" s="34">
        <f t="shared" si="42"/>
        <v>0</v>
      </c>
      <c r="AK97" s="34">
        <f t="shared" si="42"/>
        <v>0</v>
      </c>
      <c r="AL97" s="34">
        <f t="shared" si="42"/>
        <v>0</v>
      </c>
      <c r="AM97" s="34">
        <f t="shared" si="42"/>
        <v>0</v>
      </c>
      <c r="AN97" s="34">
        <f t="shared" si="42"/>
        <v>0</v>
      </c>
      <c r="AO97" s="34">
        <f t="shared" si="42"/>
        <v>0</v>
      </c>
      <c r="AP97" s="21"/>
      <c r="AQ97" s="1"/>
    </row>
    <row r="98" ht="15.75" customHeight="1">
      <c r="A98" s="1"/>
      <c r="B98" s="35"/>
      <c r="C98" s="35"/>
      <c r="D98" s="35"/>
      <c r="E98" s="33" t="s">
        <v>24</v>
      </c>
      <c r="F98" s="36" t="s">
        <v>25</v>
      </c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8"/>
      <c r="T98" s="37"/>
      <c r="U98" s="38"/>
      <c r="V98" s="37"/>
      <c r="W98" s="37"/>
      <c r="X98" s="37"/>
      <c r="Y98" s="37"/>
      <c r="Z98" s="37"/>
      <c r="AA98" s="37"/>
      <c r="AB98" s="37"/>
      <c r="AC98" s="37"/>
      <c r="AD98" s="38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9">
        <f t="shared" ref="AP98:AP101" si="43">SUM(H98:AO98)</f>
        <v>0</v>
      </c>
      <c r="AQ98" s="1"/>
    </row>
    <row r="99" ht="15.75" customHeight="1">
      <c r="A99" s="51"/>
      <c r="B99" s="35"/>
      <c r="C99" s="35"/>
      <c r="D99" s="35"/>
      <c r="E99" s="47"/>
      <c r="F99" s="40" t="s">
        <v>26</v>
      </c>
      <c r="G99" s="49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50">
        <f t="shared" si="43"/>
        <v>0</v>
      </c>
      <c r="AQ99" s="51"/>
    </row>
    <row r="100" ht="15.75" customHeight="1">
      <c r="A100" s="1"/>
      <c r="B100" s="35"/>
      <c r="C100" s="35"/>
      <c r="D100" s="35"/>
      <c r="E100" s="33" t="s">
        <v>27</v>
      </c>
      <c r="F100" s="41" t="s">
        <v>28</v>
      </c>
      <c r="G100" s="37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7"/>
      <c r="AP100" s="39">
        <f t="shared" si="43"/>
        <v>0</v>
      </c>
      <c r="AQ100" s="1"/>
    </row>
    <row r="101" ht="15.75" customHeight="1">
      <c r="A101" s="1"/>
      <c r="B101" s="35"/>
      <c r="C101" s="35"/>
      <c r="D101" s="35"/>
      <c r="E101" s="33"/>
      <c r="F101" s="41" t="s">
        <v>29</v>
      </c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8"/>
      <c r="T101" s="37"/>
      <c r="U101" s="38"/>
      <c r="V101" s="37"/>
      <c r="W101" s="37"/>
      <c r="X101" s="37"/>
      <c r="Y101" s="37"/>
      <c r="Z101" s="37"/>
      <c r="AA101" s="37"/>
      <c r="AB101" s="37"/>
      <c r="AC101" s="37"/>
      <c r="AD101" s="38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9">
        <f t="shared" si="43"/>
        <v>0</v>
      </c>
      <c r="AQ101" s="1"/>
    </row>
    <row r="102" ht="15.75" customHeight="1">
      <c r="A102" s="1"/>
      <c r="B102" s="42"/>
      <c r="C102" s="42"/>
      <c r="D102" s="42"/>
      <c r="E102" s="52"/>
      <c r="F102" s="43" t="s">
        <v>30</v>
      </c>
      <c r="G102" s="44"/>
      <c r="H102" s="34">
        <f t="shared" ref="H102:AN102" si="44">H97+H98-H99+H100-H101</f>
        <v>0</v>
      </c>
      <c r="I102" s="34">
        <f t="shared" si="44"/>
        <v>0</v>
      </c>
      <c r="J102" s="34">
        <f t="shared" si="44"/>
        <v>0</v>
      </c>
      <c r="K102" s="34">
        <f t="shared" si="44"/>
        <v>0</v>
      </c>
      <c r="L102" s="34">
        <f t="shared" si="44"/>
        <v>0</v>
      </c>
      <c r="M102" s="34">
        <f t="shared" si="44"/>
        <v>0</v>
      </c>
      <c r="N102" s="34">
        <f t="shared" si="44"/>
        <v>0</v>
      </c>
      <c r="O102" s="34">
        <f t="shared" si="44"/>
        <v>0</v>
      </c>
      <c r="P102" s="34">
        <f t="shared" si="44"/>
        <v>0</v>
      </c>
      <c r="Q102" s="34">
        <f t="shared" si="44"/>
        <v>0</v>
      </c>
      <c r="R102" s="34">
        <f t="shared" si="44"/>
        <v>0</v>
      </c>
      <c r="S102" s="34">
        <f t="shared" si="44"/>
        <v>0</v>
      </c>
      <c r="T102" s="34">
        <f t="shared" si="44"/>
        <v>0</v>
      </c>
      <c r="U102" s="34">
        <f t="shared" si="44"/>
        <v>0</v>
      </c>
      <c r="V102" s="34">
        <f t="shared" si="44"/>
        <v>0</v>
      </c>
      <c r="W102" s="34">
        <f t="shared" si="44"/>
        <v>0</v>
      </c>
      <c r="X102" s="34">
        <f t="shared" si="44"/>
        <v>0</v>
      </c>
      <c r="Y102" s="34">
        <f t="shared" si="44"/>
        <v>0</v>
      </c>
      <c r="Z102" s="34">
        <f t="shared" si="44"/>
        <v>0</v>
      </c>
      <c r="AA102" s="34">
        <f t="shared" si="44"/>
        <v>0</v>
      </c>
      <c r="AB102" s="34">
        <f t="shared" si="44"/>
        <v>0</v>
      </c>
      <c r="AC102" s="34">
        <f t="shared" si="44"/>
        <v>0</v>
      </c>
      <c r="AD102" s="34">
        <f t="shared" si="44"/>
        <v>0</v>
      </c>
      <c r="AE102" s="34">
        <f t="shared" si="44"/>
        <v>0</v>
      </c>
      <c r="AF102" s="34">
        <f t="shared" si="44"/>
        <v>0</v>
      </c>
      <c r="AG102" s="34">
        <f t="shared" si="44"/>
        <v>0</v>
      </c>
      <c r="AH102" s="34">
        <f t="shared" si="44"/>
        <v>0</v>
      </c>
      <c r="AI102" s="34">
        <f t="shared" si="44"/>
        <v>0</v>
      </c>
      <c r="AJ102" s="34">
        <f t="shared" si="44"/>
        <v>0</v>
      </c>
      <c r="AK102" s="34">
        <f t="shared" si="44"/>
        <v>0</v>
      </c>
      <c r="AL102" s="34">
        <f t="shared" si="44"/>
        <v>0</v>
      </c>
      <c r="AM102" s="34">
        <f t="shared" si="44"/>
        <v>0</v>
      </c>
      <c r="AN102" s="34">
        <f t="shared" si="44"/>
        <v>0</v>
      </c>
      <c r="AO102" s="34"/>
      <c r="AP102" s="45">
        <f>AO97</f>
        <v>0</v>
      </c>
      <c r="AQ102" s="1"/>
    </row>
    <row r="103" ht="15.75" customHeight="1">
      <c r="A103" s="1"/>
      <c r="B103" s="32"/>
      <c r="C103" s="32" t="s">
        <v>63</v>
      </c>
      <c r="D103" s="32" t="s">
        <v>64</v>
      </c>
      <c r="E103" s="13" t="s">
        <v>65</v>
      </c>
      <c r="F103" s="14" t="s">
        <v>23</v>
      </c>
      <c r="G103" s="44"/>
      <c r="H103" s="34">
        <v>229.0</v>
      </c>
      <c r="I103" s="34">
        <f t="shared" ref="I103:AO103" si="45">H113</f>
        <v>229</v>
      </c>
      <c r="J103" s="34">
        <f t="shared" si="45"/>
        <v>340</v>
      </c>
      <c r="K103" s="34">
        <f t="shared" si="45"/>
        <v>289</v>
      </c>
      <c r="L103" s="34">
        <f t="shared" si="45"/>
        <v>224</v>
      </c>
      <c r="M103" s="34">
        <f t="shared" si="45"/>
        <v>324</v>
      </c>
      <c r="N103" s="34">
        <f t="shared" si="45"/>
        <v>359</v>
      </c>
      <c r="O103" s="34">
        <f t="shared" si="45"/>
        <v>359</v>
      </c>
      <c r="P103" s="34">
        <f t="shared" si="45"/>
        <v>294</v>
      </c>
      <c r="Q103" s="34">
        <f t="shared" si="45"/>
        <v>235</v>
      </c>
      <c r="R103" s="34">
        <f t="shared" si="45"/>
        <v>235</v>
      </c>
      <c r="S103" s="34">
        <f t="shared" si="45"/>
        <v>327</v>
      </c>
      <c r="T103" s="34">
        <f t="shared" si="45"/>
        <v>327</v>
      </c>
      <c r="U103" s="34">
        <f t="shared" si="45"/>
        <v>327</v>
      </c>
      <c r="V103" s="34">
        <f t="shared" si="45"/>
        <v>327</v>
      </c>
      <c r="W103" s="34">
        <f t="shared" si="45"/>
        <v>327</v>
      </c>
      <c r="X103" s="34">
        <f t="shared" si="45"/>
        <v>327</v>
      </c>
      <c r="Y103" s="34">
        <f t="shared" si="45"/>
        <v>327</v>
      </c>
      <c r="Z103" s="34">
        <f t="shared" si="45"/>
        <v>327</v>
      </c>
      <c r="AA103" s="34">
        <f t="shared" si="45"/>
        <v>327</v>
      </c>
      <c r="AB103" s="34">
        <f t="shared" si="45"/>
        <v>327</v>
      </c>
      <c r="AC103" s="34">
        <f t="shared" si="45"/>
        <v>327</v>
      </c>
      <c r="AD103" s="34">
        <f t="shared" si="45"/>
        <v>327</v>
      </c>
      <c r="AE103" s="34">
        <f t="shared" si="45"/>
        <v>327</v>
      </c>
      <c r="AF103" s="34">
        <f t="shared" si="45"/>
        <v>327</v>
      </c>
      <c r="AG103" s="34">
        <f t="shared" si="45"/>
        <v>327</v>
      </c>
      <c r="AH103" s="34">
        <f t="shared" si="45"/>
        <v>327</v>
      </c>
      <c r="AI103" s="34">
        <f t="shared" si="45"/>
        <v>327</v>
      </c>
      <c r="AJ103" s="34">
        <f t="shared" si="45"/>
        <v>327</v>
      </c>
      <c r="AK103" s="34">
        <f t="shared" si="45"/>
        <v>327</v>
      </c>
      <c r="AL103" s="34">
        <f t="shared" si="45"/>
        <v>327</v>
      </c>
      <c r="AM103" s="34">
        <f t="shared" si="45"/>
        <v>327</v>
      </c>
      <c r="AN103" s="34">
        <f t="shared" si="45"/>
        <v>327</v>
      </c>
      <c r="AO103" s="34">
        <f t="shared" si="45"/>
        <v>327</v>
      </c>
      <c r="AP103" s="21"/>
      <c r="AQ103" s="1"/>
    </row>
    <row r="104" ht="15.0" customHeight="1">
      <c r="A104" s="1"/>
      <c r="B104" s="35"/>
      <c r="C104" s="35"/>
      <c r="D104" s="35"/>
      <c r="E104" s="33" t="s">
        <v>24</v>
      </c>
      <c r="F104" s="36" t="s">
        <v>25</v>
      </c>
      <c r="G104" s="37"/>
      <c r="H104" s="37"/>
      <c r="I104" s="37">
        <v>171.0</v>
      </c>
      <c r="J104" s="37"/>
      <c r="K104" s="37"/>
      <c r="L104" s="37">
        <v>100.0</v>
      </c>
      <c r="M104" s="37">
        <v>35.0</v>
      </c>
      <c r="N104" s="37"/>
      <c r="O104" s="37"/>
      <c r="P104" s="37"/>
      <c r="Q104" s="37"/>
      <c r="R104" s="37"/>
      <c r="S104" s="38"/>
      <c r="T104" s="37"/>
      <c r="U104" s="38"/>
      <c r="V104" s="37"/>
      <c r="W104" s="37"/>
      <c r="X104" s="37"/>
      <c r="Y104" s="37"/>
      <c r="Z104" s="38"/>
      <c r="AA104" s="37"/>
      <c r="AB104" s="37"/>
      <c r="AC104" s="37"/>
      <c r="AD104" s="38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9">
        <f t="shared" ref="AP104:AP112" si="46">SUM(H104:AO104)</f>
        <v>306</v>
      </c>
      <c r="AQ104" s="1"/>
    </row>
    <row r="105" ht="15.0" customHeight="1">
      <c r="A105" s="1"/>
      <c r="B105" s="35"/>
      <c r="C105" s="35"/>
      <c r="D105" s="35"/>
      <c r="E105" s="33" t="s">
        <v>66</v>
      </c>
      <c r="F105" s="36" t="s">
        <v>67</v>
      </c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>
        <v>92.0</v>
      </c>
      <c r="S105" s="38"/>
      <c r="T105" s="37"/>
      <c r="U105" s="38"/>
      <c r="V105" s="37"/>
      <c r="W105" s="37"/>
      <c r="X105" s="37"/>
      <c r="Y105" s="37"/>
      <c r="Z105" s="37"/>
      <c r="AA105" s="37"/>
      <c r="AB105" s="37"/>
      <c r="AC105" s="37"/>
      <c r="AD105" s="38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9">
        <f t="shared" si="46"/>
        <v>92</v>
      </c>
      <c r="AQ105" s="1"/>
    </row>
    <row r="106" ht="15.0" customHeight="1">
      <c r="A106" s="1"/>
      <c r="B106" s="35"/>
      <c r="C106" s="35"/>
      <c r="D106" s="35"/>
      <c r="E106" s="33" t="s">
        <v>68</v>
      </c>
      <c r="F106" s="36" t="s">
        <v>67</v>
      </c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8"/>
      <c r="T106" s="37"/>
      <c r="U106" s="38"/>
      <c r="V106" s="37"/>
      <c r="W106" s="37"/>
      <c r="X106" s="37"/>
      <c r="Y106" s="37"/>
      <c r="Z106" s="37"/>
      <c r="AA106" s="37"/>
      <c r="AB106" s="37"/>
      <c r="AC106" s="37"/>
      <c r="AD106" s="38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9">
        <f t="shared" si="46"/>
        <v>0</v>
      </c>
      <c r="AQ106" s="1"/>
    </row>
    <row r="107" ht="15.0" customHeight="1">
      <c r="A107" s="1"/>
      <c r="B107" s="35"/>
      <c r="C107" s="35"/>
      <c r="D107" s="35"/>
      <c r="E107" s="33" t="s">
        <v>69</v>
      </c>
      <c r="F107" s="36" t="s">
        <v>67</v>
      </c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8"/>
      <c r="T107" s="37"/>
      <c r="U107" s="38"/>
      <c r="V107" s="37"/>
      <c r="W107" s="37"/>
      <c r="X107" s="37"/>
      <c r="Y107" s="37"/>
      <c r="Z107" s="37"/>
      <c r="AA107" s="37"/>
      <c r="AB107" s="37"/>
      <c r="AC107" s="37"/>
      <c r="AD107" s="38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9">
        <f t="shared" si="46"/>
        <v>0</v>
      </c>
      <c r="AQ107" s="1"/>
    </row>
    <row r="108" ht="15.0" customHeight="1">
      <c r="A108" s="51"/>
      <c r="B108" s="35"/>
      <c r="C108" s="35"/>
      <c r="D108" s="35"/>
      <c r="E108" s="47"/>
      <c r="F108" s="40" t="s">
        <v>26</v>
      </c>
      <c r="G108" s="49"/>
      <c r="H108" s="48"/>
      <c r="I108" s="48">
        <v>60.0</v>
      </c>
      <c r="J108" s="48">
        <v>51.0</v>
      </c>
      <c r="K108" s="48">
        <v>65.0</v>
      </c>
      <c r="L108" s="48"/>
      <c r="M108" s="48"/>
      <c r="N108" s="48"/>
      <c r="O108" s="48">
        <v>65.0</v>
      </c>
      <c r="P108" s="49">
        <v>59.0</v>
      </c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9"/>
      <c r="AH108" s="48"/>
      <c r="AI108" s="48"/>
      <c r="AJ108" s="48"/>
      <c r="AK108" s="48"/>
      <c r="AL108" s="48"/>
      <c r="AM108" s="48"/>
      <c r="AN108" s="48"/>
      <c r="AO108" s="48"/>
      <c r="AP108" s="50">
        <f t="shared" si="46"/>
        <v>300</v>
      </c>
      <c r="AQ108" s="51"/>
    </row>
    <row r="109" ht="15.0" customHeight="1">
      <c r="A109" s="1"/>
      <c r="B109" s="35"/>
      <c r="C109" s="35"/>
      <c r="D109" s="35"/>
      <c r="E109" s="33" t="s">
        <v>27</v>
      </c>
      <c r="F109" s="41" t="s">
        <v>28</v>
      </c>
      <c r="G109" s="37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7"/>
      <c r="AG109" s="38"/>
      <c r="AH109" s="38"/>
      <c r="AI109" s="38"/>
      <c r="AJ109" s="38"/>
      <c r="AK109" s="38"/>
      <c r="AL109" s="38"/>
      <c r="AM109" s="38"/>
      <c r="AN109" s="38"/>
      <c r="AO109" s="37"/>
      <c r="AP109" s="39">
        <f t="shared" si="46"/>
        <v>0</v>
      </c>
      <c r="AQ109" s="1"/>
    </row>
    <row r="110" ht="15.0" customHeight="1">
      <c r="A110" s="1"/>
      <c r="B110" s="35"/>
      <c r="C110" s="35"/>
      <c r="D110" s="35"/>
      <c r="E110" s="33"/>
      <c r="F110" s="41" t="s">
        <v>29</v>
      </c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8"/>
      <c r="T110" s="37"/>
      <c r="U110" s="38"/>
      <c r="V110" s="37"/>
      <c r="W110" s="37"/>
      <c r="X110" s="37"/>
      <c r="Y110" s="37"/>
      <c r="Z110" s="37"/>
      <c r="AA110" s="37"/>
      <c r="AB110" s="37"/>
      <c r="AC110" s="37"/>
      <c r="AD110" s="38"/>
      <c r="AE110" s="38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9">
        <f t="shared" si="46"/>
        <v>0</v>
      </c>
      <c r="AQ110" s="1"/>
    </row>
    <row r="111" ht="15.0" customHeight="1">
      <c r="A111" s="1"/>
      <c r="B111" s="35"/>
      <c r="C111" s="35"/>
      <c r="D111" s="35"/>
      <c r="E111" s="33"/>
      <c r="F111" s="41" t="s">
        <v>70</v>
      </c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8"/>
      <c r="T111" s="37"/>
      <c r="U111" s="38"/>
      <c r="V111" s="37"/>
      <c r="W111" s="37"/>
      <c r="X111" s="37"/>
      <c r="Y111" s="37"/>
      <c r="Z111" s="37"/>
      <c r="AA111" s="37"/>
      <c r="AB111" s="37"/>
      <c r="AC111" s="37"/>
      <c r="AD111" s="38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9">
        <f t="shared" si="46"/>
        <v>0</v>
      </c>
      <c r="AQ111" s="1"/>
    </row>
    <row r="112" ht="15.0" customHeight="1">
      <c r="A112" s="1"/>
      <c r="B112" s="35"/>
      <c r="C112" s="35"/>
      <c r="D112" s="35"/>
      <c r="E112" s="33"/>
      <c r="F112" s="41" t="s">
        <v>71</v>
      </c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8"/>
      <c r="T112" s="37"/>
      <c r="U112" s="38"/>
      <c r="V112" s="37"/>
      <c r="W112" s="37"/>
      <c r="X112" s="37"/>
      <c r="Y112" s="37"/>
      <c r="Z112" s="37"/>
      <c r="AA112" s="37"/>
      <c r="AB112" s="37"/>
      <c r="AC112" s="37"/>
      <c r="AD112" s="38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9">
        <f t="shared" si="46"/>
        <v>0</v>
      </c>
      <c r="AQ112" s="1"/>
    </row>
    <row r="113" ht="15.0" customHeight="1">
      <c r="A113" s="1"/>
      <c r="B113" s="42"/>
      <c r="C113" s="42"/>
      <c r="D113" s="42"/>
      <c r="E113" s="52"/>
      <c r="F113" s="43" t="s">
        <v>30</v>
      </c>
      <c r="G113" s="44"/>
      <c r="H113" s="34">
        <f t="shared" ref="H113:AN113" si="47">H103+H104+H105+H106+H107-H108+H109-H110-H111-H112</f>
        <v>229</v>
      </c>
      <c r="I113" s="34">
        <f t="shared" si="47"/>
        <v>340</v>
      </c>
      <c r="J113" s="34">
        <f t="shared" si="47"/>
        <v>289</v>
      </c>
      <c r="K113" s="34">
        <f t="shared" si="47"/>
        <v>224</v>
      </c>
      <c r="L113" s="34">
        <f t="shared" si="47"/>
        <v>324</v>
      </c>
      <c r="M113" s="34">
        <f t="shared" si="47"/>
        <v>359</v>
      </c>
      <c r="N113" s="34">
        <f t="shared" si="47"/>
        <v>359</v>
      </c>
      <c r="O113" s="34">
        <f t="shared" si="47"/>
        <v>294</v>
      </c>
      <c r="P113" s="34">
        <f t="shared" si="47"/>
        <v>235</v>
      </c>
      <c r="Q113" s="34">
        <f t="shared" si="47"/>
        <v>235</v>
      </c>
      <c r="R113" s="34">
        <f t="shared" si="47"/>
        <v>327</v>
      </c>
      <c r="S113" s="34">
        <f t="shared" si="47"/>
        <v>327</v>
      </c>
      <c r="T113" s="34">
        <f t="shared" si="47"/>
        <v>327</v>
      </c>
      <c r="U113" s="34">
        <f t="shared" si="47"/>
        <v>327</v>
      </c>
      <c r="V113" s="34">
        <f t="shared" si="47"/>
        <v>327</v>
      </c>
      <c r="W113" s="34">
        <f t="shared" si="47"/>
        <v>327</v>
      </c>
      <c r="X113" s="34">
        <f t="shared" si="47"/>
        <v>327</v>
      </c>
      <c r="Y113" s="34">
        <f t="shared" si="47"/>
        <v>327</v>
      </c>
      <c r="Z113" s="34">
        <f t="shared" si="47"/>
        <v>327</v>
      </c>
      <c r="AA113" s="34">
        <f t="shared" si="47"/>
        <v>327</v>
      </c>
      <c r="AB113" s="34">
        <f t="shared" si="47"/>
        <v>327</v>
      </c>
      <c r="AC113" s="34">
        <f t="shared" si="47"/>
        <v>327</v>
      </c>
      <c r="AD113" s="34">
        <f t="shared" si="47"/>
        <v>327</v>
      </c>
      <c r="AE113" s="34">
        <f t="shared" si="47"/>
        <v>327</v>
      </c>
      <c r="AF113" s="34">
        <f t="shared" si="47"/>
        <v>327</v>
      </c>
      <c r="AG113" s="34">
        <f t="shared" si="47"/>
        <v>327</v>
      </c>
      <c r="AH113" s="34">
        <f t="shared" si="47"/>
        <v>327</v>
      </c>
      <c r="AI113" s="34">
        <f t="shared" si="47"/>
        <v>327</v>
      </c>
      <c r="AJ113" s="34">
        <f t="shared" si="47"/>
        <v>327</v>
      </c>
      <c r="AK113" s="34">
        <f t="shared" si="47"/>
        <v>327</v>
      </c>
      <c r="AL113" s="34">
        <f t="shared" si="47"/>
        <v>327</v>
      </c>
      <c r="AM113" s="34">
        <f t="shared" si="47"/>
        <v>327</v>
      </c>
      <c r="AN113" s="34">
        <f t="shared" si="47"/>
        <v>327</v>
      </c>
      <c r="AO113" s="34"/>
      <c r="AP113" s="45">
        <f>AO103</f>
        <v>327</v>
      </c>
      <c r="AQ113" s="1"/>
    </row>
    <row r="114" ht="15.0" customHeight="1">
      <c r="A114" s="1"/>
      <c r="B114" s="32"/>
      <c r="C114" s="32" t="s">
        <v>72</v>
      </c>
      <c r="D114" s="32" t="s">
        <v>64</v>
      </c>
      <c r="E114" s="13" t="s">
        <v>73</v>
      </c>
      <c r="F114" s="14" t="s">
        <v>23</v>
      </c>
      <c r="G114" s="44"/>
      <c r="H114" s="34" t="str">
        <f t="shared" ref="H114:AO114" si="48">G119</f>
        <v/>
      </c>
      <c r="I114" s="34">
        <f t="shared" si="48"/>
        <v>0</v>
      </c>
      <c r="J114" s="34">
        <f t="shared" si="48"/>
        <v>0</v>
      </c>
      <c r="K114" s="34">
        <f t="shared" si="48"/>
        <v>0</v>
      </c>
      <c r="L114" s="34">
        <f t="shared" si="48"/>
        <v>0</v>
      </c>
      <c r="M114" s="34">
        <f t="shared" si="48"/>
        <v>0</v>
      </c>
      <c r="N114" s="34">
        <f t="shared" si="48"/>
        <v>0</v>
      </c>
      <c r="O114" s="34">
        <f t="shared" si="48"/>
        <v>0</v>
      </c>
      <c r="P114" s="34">
        <f t="shared" si="48"/>
        <v>0</v>
      </c>
      <c r="Q114" s="34">
        <f t="shared" si="48"/>
        <v>0</v>
      </c>
      <c r="R114" s="34">
        <f t="shared" si="48"/>
        <v>0</v>
      </c>
      <c r="S114" s="34">
        <f t="shared" si="48"/>
        <v>0</v>
      </c>
      <c r="T114" s="34">
        <f t="shared" si="48"/>
        <v>0</v>
      </c>
      <c r="U114" s="34">
        <f t="shared" si="48"/>
        <v>0</v>
      </c>
      <c r="V114" s="34">
        <f t="shared" si="48"/>
        <v>0</v>
      </c>
      <c r="W114" s="34">
        <f t="shared" si="48"/>
        <v>0</v>
      </c>
      <c r="X114" s="34">
        <f t="shared" si="48"/>
        <v>0</v>
      </c>
      <c r="Y114" s="34">
        <f t="shared" si="48"/>
        <v>0</v>
      </c>
      <c r="Z114" s="34">
        <f t="shared" si="48"/>
        <v>0</v>
      </c>
      <c r="AA114" s="34">
        <f t="shared" si="48"/>
        <v>0</v>
      </c>
      <c r="AB114" s="34">
        <f t="shared" si="48"/>
        <v>0</v>
      </c>
      <c r="AC114" s="34">
        <f t="shared" si="48"/>
        <v>0</v>
      </c>
      <c r="AD114" s="34">
        <f t="shared" si="48"/>
        <v>0</v>
      </c>
      <c r="AE114" s="34">
        <f t="shared" si="48"/>
        <v>0</v>
      </c>
      <c r="AF114" s="34">
        <f t="shared" si="48"/>
        <v>0</v>
      </c>
      <c r="AG114" s="34">
        <f t="shared" si="48"/>
        <v>0</v>
      </c>
      <c r="AH114" s="34">
        <f t="shared" si="48"/>
        <v>0</v>
      </c>
      <c r="AI114" s="34">
        <f t="shared" si="48"/>
        <v>0</v>
      </c>
      <c r="AJ114" s="34">
        <f t="shared" si="48"/>
        <v>0</v>
      </c>
      <c r="AK114" s="34">
        <f t="shared" si="48"/>
        <v>0</v>
      </c>
      <c r="AL114" s="34">
        <f t="shared" si="48"/>
        <v>0</v>
      </c>
      <c r="AM114" s="34">
        <f t="shared" si="48"/>
        <v>0</v>
      </c>
      <c r="AN114" s="34">
        <f t="shared" si="48"/>
        <v>0</v>
      </c>
      <c r="AO114" s="34">
        <f t="shared" si="48"/>
        <v>0</v>
      </c>
      <c r="AP114" s="21"/>
      <c r="AQ114" s="53"/>
    </row>
    <row r="115" ht="15.0" customHeight="1">
      <c r="A115" s="1"/>
      <c r="B115" s="35"/>
      <c r="C115" s="35"/>
      <c r="D115" s="35"/>
      <c r="E115" s="33" t="s">
        <v>24</v>
      </c>
      <c r="F115" s="36" t="s">
        <v>25</v>
      </c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8"/>
      <c r="T115" s="37"/>
      <c r="U115" s="38"/>
      <c r="V115" s="37"/>
      <c r="W115" s="37"/>
      <c r="X115" s="37"/>
      <c r="Y115" s="37"/>
      <c r="Z115" s="37"/>
      <c r="AA115" s="37"/>
      <c r="AB115" s="37"/>
      <c r="AC115" s="37"/>
      <c r="AD115" s="38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9">
        <f t="shared" ref="AP115:AP118" si="49">SUM(H115:AO115)</f>
        <v>0</v>
      </c>
      <c r="AQ115" s="1"/>
    </row>
    <row r="116" ht="15.0" customHeight="1">
      <c r="A116" s="1"/>
      <c r="B116" s="35"/>
      <c r="C116" s="35"/>
      <c r="D116" s="35"/>
      <c r="E116" s="33"/>
      <c r="F116" s="40" t="s">
        <v>26</v>
      </c>
      <c r="G116" s="37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9">
        <f t="shared" si="49"/>
        <v>0</v>
      </c>
      <c r="AQ116" s="1"/>
    </row>
    <row r="117" ht="15.0" customHeight="1">
      <c r="A117" s="1"/>
      <c r="B117" s="35"/>
      <c r="C117" s="35"/>
      <c r="D117" s="35"/>
      <c r="E117" s="33" t="s">
        <v>27</v>
      </c>
      <c r="F117" s="41" t="s">
        <v>28</v>
      </c>
      <c r="G117" s="37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7"/>
      <c r="AP117" s="39">
        <f t="shared" si="49"/>
        <v>0</v>
      </c>
      <c r="AQ117" s="1"/>
    </row>
    <row r="118" ht="15.0" customHeight="1">
      <c r="A118" s="1"/>
      <c r="B118" s="35"/>
      <c r="C118" s="35"/>
      <c r="D118" s="35"/>
      <c r="E118" s="33"/>
      <c r="F118" s="41" t="s">
        <v>29</v>
      </c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8"/>
      <c r="T118" s="37"/>
      <c r="U118" s="38"/>
      <c r="V118" s="37"/>
      <c r="W118" s="37"/>
      <c r="X118" s="37"/>
      <c r="Y118" s="37"/>
      <c r="Z118" s="37"/>
      <c r="AA118" s="37"/>
      <c r="AB118" s="37"/>
      <c r="AC118" s="37"/>
      <c r="AD118" s="38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9">
        <f t="shared" si="49"/>
        <v>0</v>
      </c>
      <c r="AQ118" s="1"/>
    </row>
    <row r="119" ht="15.0" customHeight="1">
      <c r="A119" s="1"/>
      <c r="B119" s="42"/>
      <c r="C119" s="42"/>
      <c r="D119" s="42"/>
      <c r="E119" s="52"/>
      <c r="F119" s="43" t="s">
        <v>30</v>
      </c>
      <c r="G119" s="44"/>
      <c r="H119" s="34">
        <f t="shared" ref="H119:AN119" si="50">H114+H115-H116+H117-H118</f>
        <v>0</v>
      </c>
      <c r="I119" s="34">
        <f t="shared" si="50"/>
        <v>0</v>
      </c>
      <c r="J119" s="34">
        <f t="shared" si="50"/>
        <v>0</v>
      </c>
      <c r="K119" s="34">
        <f t="shared" si="50"/>
        <v>0</v>
      </c>
      <c r="L119" s="34">
        <f t="shared" si="50"/>
        <v>0</v>
      </c>
      <c r="M119" s="34">
        <f t="shared" si="50"/>
        <v>0</v>
      </c>
      <c r="N119" s="34">
        <f t="shared" si="50"/>
        <v>0</v>
      </c>
      <c r="O119" s="34">
        <f t="shared" si="50"/>
        <v>0</v>
      </c>
      <c r="P119" s="34">
        <f t="shared" si="50"/>
        <v>0</v>
      </c>
      <c r="Q119" s="34">
        <f t="shared" si="50"/>
        <v>0</v>
      </c>
      <c r="R119" s="34">
        <f t="shared" si="50"/>
        <v>0</v>
      </c>
      <c r="S119" s="34">
        <f t="shared" si="50"/>
        <v>0</v>
      </c>
      <c r="T119" s="34">
        <f t="shared" si="50"/>
        <v>0</v>
      </c>
      <c r="U119" s="34">
        <f t="shared" si="50"/>
        <v>0</v>
      </c>
      <c r="V119" s="34">
        <f t="shared" si="50"/>
        <v>0</v>
      </c>
      <c r="W119" s="34">
        <f t="shared" si="50"/>
        <v>0</v>
      </c>
      <c r="X119" s="34">
        <f t="shared" si="50"/>
        <v>0</v>
      </c>
      <c r="Y119" s="34">
        <f t="shared" si="50"/>
        <v>0</v>
      </c>
      <c r="Z119" s="34">
        <f t="shared" si="50"/>
        <v>0</v>
      </c>
      <c r="AA119" s="34">
        <f t="shared" si="50"/>
        <v>0</v>
      </c>
      <c r="AB119" s="34">
        <f t="shared" si="50"/>
        <v>0</v>
      </c>
      <c r="AC119" s="34">
        <f t="shared" si="50"/>
        <v>0</v>
      </c>
      <c r="AD119" s="34">
        <f t="shared" si="50"/>
        <v>0</v>
      </c>
      <c r="AE119" s="34">
        <f t="shared" si="50"/>
        <v>0</v>
      </c>
      <c r="AF119" s="34">
        <f t="shared" si="50"/>
        <v>0</v>
      </c>
      <c r="AG119" s="34">
        <f t="shared" si="50"/>
        <v>0</v>
      </c>
      <c r="AH119" s="34">
        <f t="shared" si="50"/>
        <v>0</v>
      </c>
      <c r="AI119" s="34">
        <f t="shared" si="50"/>
        <v>0</v>
      </c>
      <c r="AJ119" s="34">
        <f t="shared" si="50"/>
        <v>0</v>
      </c>
      <c r="AK119" s="34">
        <f t="shared" si="50"/>
        <v>0</v>
      </c>
      <c r="AL119" s="34">
        <f t="shared" si="50"/>
        <v>0</v>
      </c>
      <c r="AM119" s="34">
        <f t="shared" si="50"/>
        <v>0</v>
      </c>
      <c r="AN119" s="34">
        <f t="shared" si="50"/>
        <v>0</v>
      </c>
      <c r="AO119" s="34"/>
      <c r="AP119" s="45">
        <f>AO114</f>
        <v>0</v>
      </c>
      <c r="AQ119" s="1"/>
    </row>
    <row r="120" ht="15.75" customHeight="1">
      <c r="A120" s="1"/>
      <c r="B120" s="32"/>
      <c r="C120" s="32" t="s">
        <v>74</v>
      </c>
      <c r="D120" s="32" t="s">
        <v>75</v>
      </c>
      <c r="E120" s="13"/>
      <c r="F120" s="14" t="s">
        <v>23</v>
      </c>
      <c r="G120" s="44"/>
      <c r="H120" s="34">
        <v>0.0</v>
      </c>
      <c r="I120" s="34">
        <f t="shared" ref="I120:AO120" si="51">H125</f>
        <v>0</v>
      </c>
      <c r="J120" s="34">
        <f t="shared" si="51"/>
        <v>0</v>
      </c>
      <c r="K120" s="34">
        <f t="shared" si="51"/>
        <v>0</v>
      </c>
      <c r="L120" s="34">
        <f t="shared" si="51"/>
        <v>0</v>
      </c>
      <c r="M120" s="34">
        <f t="shared" si="51"/>
        <v>0</v>
      </c>
      <c r="N120" s="34">
        <f t="shared" si="51"/>
        <v>0</v>
      </c>
      <c r="O120" s="34">
        <f t="shared" si="51"/>
        <v>0</v>
      </c>
      <c r="P120" s="34">
        <f t="shared" si="51"/>
        <v>0</v>
      </c>
      <c r="Q120" s="34">
        <f t="shared" si="51"/>
        <v>0</v>
      </c>
      <c r="R120" s="34">
        <f t="shared" si="51"/>
        <v>0</v>
      </c>
      <c r="S120" s="34">
        <f t="shared" si="51"/>
        <v>0</v>
      </c>
      <c r="T120" s="34">
        <f t="shared" si="51"/>
        <v>0</v>
      </c>
      <c r="U120" s="34">
        <f t="shared" si="51"/>
        <v>0</v>
      </c>
      <c r="V120" s="34">
        <f t="shared" si="51"/>
        <v>0</v>
      </c>
      <c r="W120" s="34">
        <f t="shared" si="51"/>
        <v>0</v>
      </c>
      <c r="X120" s="34">
        <f t="shared" si="51"/>
        <v>0</v>
      </c>
      <c r="Y120" s="34">
        <f t="shared" si="51"/>
        <v>0</v>
      </c>
      <c r="Z120" s="34">
        <f t="shared" si="51"/>
        <v>0</v>
      </c>
      <c r="AA120" s="34">
        <f t="shared" si="51"/>
        <v>0</v>
      </c>
      <c r="AB120" s="34">
        <f t="shared" si="51"/>
        <v>0</v>
      </c>
      <c r="AC120" s="34">
        <f t="shared" si="51"/>
        <v>0</v>
      </c>
      <c r="AD120" s="34">
        <f t="shared" si="51"/>
        <v>0</v>
      </c>
      <c r="AE120" s="34">
        <f t="shared" si="51"/>
        <v>0</v>
      </c>
      <c r="AF120" s="34">
        <f t="shared" si="51"/>
        <v>0</v>
      </c>
      <c r="AG120" s="34">
        <f t="shared" si="51"/>
        <v>0</v>
      </c>
      <c r="AH120" s="34">
        <f t="shared" si="51"/>
        <v>0</v>
      </c>
      <c r="AI120" s="34">
        <f t="shared" si="51"/>
        <v>0</v>
      </c>
      <c r="AJ120" s="34">
        <f t="shared" si="51"/>
        <v>0</v>
      </c>
      <c r="AK120" s="34">
        <f t="shared" si="51"/>
        <v>0</v>
      </c>
      <c r="AL120" s="34">
        <f t="shared" si="51"/>
        <v>0</v>
      </c>
      <c r="AM120" s="34">
        <f t="shared" si="51"/>
        <v>0</v>
      </c>
      <c r="AN120" s="34">
        <f t="shared" si="51"/>
        <v>0</v>
      </c>
      <c r="AO120" s="34">
        <f t="shared" si="51"/>
        <v>0</v>
      </c>
      <c r="AP120" s="54"/>
      <c r="AQ120" s="1"/>
    </row>
    <row r="121" ht="15.75" customHeight="1">
      <c r="A121" s="1"/>
      <c r="B121" s="35"/>
      <c r="C121" s="35"/>
      <c r="D121" s="35"/>
      <c r="E121" s="33" t="s">
        <v>24</v>
      </c>
      <c r="F121" s="36" t="s">
        <v>25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8"/>
      <c r="T121" s="37"/>
      <c r="U121" s="38"/>
      <c r="V121" s="37"/>
      <c r="W121" s="37"/>
      <c r="X121" s="37"/>
      <c r="Y121" s="37"/>
      <c r="Z121" s="37"/>
      <c r="AA121" s="37"/>
      <c r="AB121" s="37"/>
      <c r="AC121" s="37"/>
      <c r="AD121" s="38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9">
        <f t="shared" ref="AP121:AP124" si="52">SUM(H121:AO121)</f>
        <v>0</v>
      </c>
      <c r="AQ121" s="1"/>
    </row>
    <row r="122" ht="15.75" customHeight="1">
      <c r="A122" s="1"/>
      <c r="B122" s="35"/>
      <c r="C122" s="35"/>
      <c r="D122" s="35"/>
      <c r="E122" s="33"/>
      <c r="F122" s="40" t="s">
        <v>26</v>
      </c>
      <c r="G122" s="37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9">
        <f t="shared" si="52"/>
        <v>0</v>
      </c>
      <c r="AQ122" s="1"/>
    </row>
    <row r="123" ht="15.75" customHeight="1">
      <c r="A123" s="1"/>
      <c r="B123" s="35"/>
      <c r="C123" s="35"/>
      <c r="D123" s="35"/>
      <c r="E123" s="33" t="s">
        <v>27</v>
      </c>
      <c r="F123" s="41" t="s">
        <v>28</v>
      </c>
      <c r="G123" s="37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7"/>
      <c r="AP123" s="39">
        <f t="shared" si="52"/>
        <v>0</v>
      </c>
      <c r="AQ123" s="1"/>
    </row>
    <row r="124" ht="15.75" customHeight="1">
      <c r="A124" s="1"/>
      <c r="B124" s="35"/>
      <c r="C124" s="35"/>
      <c r="D124" s="35"/>
      <c r="E124" s="33"/>
      <c r="F124" s="41" t="s">
        <v>29</v>
      </c>
      <c r="G124" s="37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7"/>
      <c r="AP124" s="39">
        <f t="shared" si="52"/>
        <v>0</v>
      </c>
      <c r="AQ124" s="1"/>
    </row>
    <row r="125" ht="15.75" customHeight="1">
      <c r="A125" s="1"/>
      <c r="B125" s="42"/>
      <c r="C125" s="42"/>
      <c r="D125" s="42"/>
      <c r="E125" s="52"/>
      <c r="F125" s="43" t="s">
        <v>30</v>
      </c>
      <c r="G125" s="55"/>
      <c r="H125" s="34">
        <f t="shared" ref="H125:AN125" si="53">H120+H121-H122+H123-H124</f>
        <v>0</v>
      </c>
      <c r="I125" s="34">
        <f t="shared" si="53"/>
        <v>0</v>
      </c>
      <c r="J125" s="34">
        <f t="shared" si="53"/>
        <v>0</v>
      </c>
      <c r="K125" s="34">
        <f t="shared" si="53"/>
        <v>0</v>
      </c>
      <c r="L125" s="34">
        <f t="shared" si="53"/>
        <v>0</v>
      </c>
      <c r="M125" s="34">
        <f t="shared" si="53"/>
        <v>0</v>
      </c>
      <c r="N125" s="34">
        <f t="shared" si="53"/>
        <v>0</v>
      </c>
      <c r="O125" s="34">
        <f t="shared" si="53"/>
        <v>0</v>
      </c>
      <c r="P125" s="34">
        <f t="shared" si="53"/>
        <v>0</v>
      </c>
      <c r="Q125" s="34">
        <f t="shared" si="53"/>
        <v>0</v>
      </c>
      <c r="R125" s="34">
        <f t="shared" si="53"/>
        <v>0</v>
      </c>
      <c r="S125" s="34">
        <f t="shared" si="53"/>
        <v>0</v>
      </c>
      <c r="T125" s="34">
        <f t="shared" si="53"/>
        <v>0</v>
      </c>
      <c r="U125" s="34">
        <f t="shared" si="53"/>
        <v>0</v>
      </c>
      <c r="V125" s="34">
        <f t="shared" si="53"/>
        <v>0</v>
      </c>
      <c r="W125" s="34">
        <f t="shared" si="53"/>
        <v>0</v>
      </c>
      <c r="X125" s="34">
        <f t="shared" si="53"/>
        <v>0</v>
      </c>
      <c r="Y125" s="34">
        <f t="shared" si="53"/>
        <v>0</v>
      </c>
      <c r="Z125" s="34">
        <f t="shared" si="53"/>
        <v>0</v>
      </c>
      <c r="AA125" s="34">
        <f t="shared" si="53"/>
        <v>0</v>
      </c>
      <c r="AB125" s="34">
        <f t="shared" si="53"/>
        <v>0</v>
      </c>
      <c r="AC125" s="34">
        <f t="shared" si="53"/>
        <v>0</v>
      </c>
      <c r="AD125" s="34">
        <f t="shared" si="53"/>
        <v>0</v>
      </c>
      <c r="AE125" s="34">
        <f t="shared" si="53"/>
        <v>0</v>
      </c>
      <c r="AF125" s="34">
        <f t="shared" si="53"/>
        <v>0</v>
      </c>
      <c r="AG125" s="34">
        <f t="shared" si="53"/>
        <v>0</v>
      </c>
      <c r="AH125" s="34">
        <f t="shared" si="53"/>
        <v>0</v>
      </c>
      <c r="AI125" s="34">
        <f t="shared" si="53"/>
        <v>0</v>
      </c>
      <c r="AJ125" s="34">
        <f t="shared" si="53"/>
        <v>0</v>
      </c>
      <c r="AK125" s="34">
        <f t="shared" si="53"/>
        <v>0</v>
      </c>
      <c r="AL125" s="34">
        <f t="shared" si="53"/>
        <v>0</v>
      </c>
      <c r="AM125" s="34">
        <f t="shared" si="53"/>
        <v>0</v>
      </c>
      <c r="AN125" s="34">
        <f t="shared" si="53"/>
        <v>0</v>
      </c>
      <c r="AO125" s="34"/>
      <c r="AP125" s="45">
        <f>AO120</f>
        <v>0</v>
      </c>
      <c r="AQ125" s="1"/>
    </row>
    <row r="126" ht="15.75" customHeight="1">
      <c r="A126" s="1"/>
      <c r="B126" s="32"/>
      <c r="C126" s="32" t="s">
        <v>76</v>
      </c>
      <c r="D126" s="32" t="s">
        <v>77</v>
      </c>
      <c r="E126" s="13"/>
      <c r="F126" s="14" t="s">
        <v>23</v>
      </c>
      <c r="G126" s="44"/>
      <c r="H126" s="34">
        <v>0.0</v>
      </c>
      <c r="I126" s="34">
        <f t="shared" ref="I126:AO126" si="54">H131</f>
        <v>0</v>
      </c>
      <c r="J126" s="34">
        <f t="shared" si="54"/>
        <v>0</v>
      </c>
      <c r="K126" s="34">
        <f t="shared" si="54"/>
        <v>0</v>
      </c>
      <c r="L126" s="34">
        <f t="shared" si="54"/>
        <v>0</v>
      </c>
      <c r="M126" s="34">
        <f t="shared" si="54"/>
        <v>0</v>
      </c>
      <c r="N126" s="34">
        <f t="shared" si="54"/>
        <v>0</v>
      </c>
      <c r="O126" s="34">
        <f t="shared" si="54"/>
        <v>0</v>
      </c>
      <c r="P126" s="34">
        <f t="shared" si="54"/>
        <v>0</v>
      </c>
      <c r="Q126" s="34">
        <f t="shared" si="54"/>
        <v>0</v>
      </c>
      <c r="R126" s="34">
        <f t="shared" si="54"/>
        <v>0</v>
      </c>
      <c r="S126" s="34">
        <f t="shared" si="54"/>
        <v>0</v>
      </c>
      <c r="T126" s="34">
        <f t="shared" si="54"/>
        <v>0</v>
      </c>
      <c r="U126" s="34">
        <f t="shared" si="54"/>
        <v>0</v>
      </c>
      <c r="V126" s="34">
        <f t="shared" si="54"/>
        <v>0</v>
      </c>
      <c r="W126" s="34">
        <f t="shared" si="54"/>
        <v>0</v>
      </c>
      <c r="X126" s="34">
        <f t="shared" si="54"/>
        <v>0</v>
      </c>
      <c r="Y126" s="34">
        <f t="shared" si="54"/>
        <v>0</v>
      </c>
      <c r="Z126" s="34">
        <f t="shared" si="54"/>
        <v>0</v>
      </c>
      <c r="AA126" s="34">
        <f t="shared" si="54"/>
        <v>0</v>
      </c>
      <c r="AB126" s="34">
        <f t="shared" si="54"/>
        <v>0</v>
      </c>
      <c r="AC126" s="34">
        <f t="shared" si="54"/>
        <v>0</v>
      </c>
      <c r="AD126" s="34">
        <f t="shared" si="54"/>
        <v>0</v>
      </c>
      <c r="AE126" s="34">
        <f t="shared" si="54"/>
        <v>0</v>
      </c>
      <c r="AF126" s="34">
        <f t="shared" si="54"/>
        <v>0</v>
      </c>
      <c r="AG126" s="34">
        <f t="shared" si="54"/>
        <v>0</v>
      </c>
      <c r="AH126" s="34">
        <f t="shared" si="54"/>
        <v>0</v>
      </c>
      <c r="AI126" s="34">
        <f t="shared" si="54"/>
        <v>0</v>
      </c>
      <c r="AJ126" s="34">
        <f t="shared" si="54"/>
        <v>0</v>
      </c>
      <c r="AK126" s="34">
        <f t="shared" si="54"/>
        <v>0</v>
      </c>
      <c r="AL126" s="34">
        <f t="shared" si="54"/>
        <v>0</v>
      </c>
      <c r="AM126" s="34">
        <f t="shared" si="54"/>
        <v>0</v>
      </c>
      <c r="AN126" s="34">
        <f t="shared" si="54"/>
        <v>0</v>
      </c>
      <c r="AO126" s="34">
        <f t="shared" si="54"/>
        <v>0</v>
      </c>
      <c r="AP126" s="54"/>
      <c r="AQ126" s="1"/>
    </row>
    <row r="127" ht="15.75" customHeight="1">
      <c r="A127" s="1"/>
      <c r="B127" s="35"/>
      <c r="C127" s="35"/>
      <c r="D127" s="35"/>
      <c r="E127" s="33" t="s">
        <v>24</v>
      </c>
      <c r="F127" s="36" t="s">
        <v>25</v>
      </c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8"/>
      <c r="T127" s="37"/>
      <c r="U127" s="38"/>
      <c r="V127" s="37"/>
      <c r="W127" s="37"/>
      <c r="X127" s="37"/>
      <c r="Y127" s="37"/>
      <c r="Z127" s="37"/>
      <c r="AA127" s="37"/>
      <c r="AB127" s="37"/>
      <c r="AC127" s="37"/>
      <c r="AD127" s="38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9">
        <f t="shared" ref="AP127:AP130" si="55">SUM(H127:AO127)</f>
        <v>0</v>
      </c>
      <c r="AQ127" s="1"/>
    </row>
    <row r="128" ht="15.75" customHeight="1">
      <c r="A128" s="1"/>
      <c r="B128" s="35"/>
      <c r="C128" s="35"/>
      <c r="D128" s="35"/>
      <c r="E128" s="33"/>
      <c r="F128" s="40" t="s">
        <v>26</v>
      </c>
      <c r="G128" s="37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9">
        <f t="shared" si="55"/>
        <v>0</v>
      </c>
      <c r="AQ128" s="1"/>
    </row>
    <row r="129" ht="15.75" customHeight="1">
      <c r="A129" s="1"/>
      <c r="B129" s="35"/>
      <c r="C129" s="35"/>
      <c r="D129" s="35"/>
      <c r="E129" s="33" t="s">
        <v>27</v>
      </c>
      <c r="F129" s="41" t="s">
        <v>28</v>
      </c>
      <c r="G129" s="37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7"/>
      <c r="AP129" s="39">
        <f t="shared" si="55"/>
        <v>0</v>
      </c>
      <c r="AQ129" s="1"/>
    </row>
    <row r="130" ht="15.75" customHeight="1">
      <c r="A130" s="1"/>
      <c r="B130" s="35"/>
      <c r="C130" s="35"/>
      <c r="D130" s="35"/>
      <c r="E130" s="33"/>
      <c r="F130" s="41" t="s">
        <v>29</v>
      </c>
      <c r="G130" s="37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7"/>
      <c r="AP130" s="39">
        <f t="shared" si="55"/>
        <v>0</v>
      </c>
      <c r="AQ130" s="1"/>
    </row>
    <row r="131" ht="15.75" customHeight="1">
      <c r="A131" s="1"/>
      <c r="B131" s="42"/>
      <c r="C131" s="42"/>
      <c r="D131" s="42"/>
      <c r="E131" s="52"/>
      <c r="F131" s="43" t="s">
        <v>30</v>
      </c>
      <c r="G131" s="55"/>
      <c r="H131" s="34">
        <f t="shared" ref="H131:AN131" si="56">H126+H127-H128+H129-H130</f>
        <v>0</v>
      </c>
      <c r="I131" s="34">
        <f t="shared" si="56"/>
        <v>0</v>
      </c>
      <c r="J131" s="34">
        <f t="shared" si="56"/>
        <v>0</v>
      </c>
      <c r="K131" s="34">
        <f t="shared" si="56"/>
        <v>0</v>
      </c>
      <c r="L131" s="34">
        <f t="shared" si="56"/>
        <v>0</v>
      </c>
      <c r="M131" s="34">
        <f t="shared" si="56"/>
        <v>0</v>
      </c>
      <c r="N131" s="34">
        <f t="shared" si="56"/>
        <v>0</v>
      </c>
      <c r="O131" s="34">
        <f t="shared" si="56"/>
        <v>0</v>
      </c>
      <c r="P131" s="34">
        <f t="shared" si="56"/>
        <v>0</v>
      </c>
      <c r="Q131" s="34">
        <f t="shared" si="56"/>
        <v>0</v>
      </c>
      <c r="R131" s="34">
        <f t="shared" si="56"/>
        <v>0</v>
      </c>
      <c r="S131" s="34">
        <f t="shared" si="56"/>
        <v>0</v>
      </c>
      <c r="T131" s="34">
        <f t="shared" si="56"/>
        <v>0</v>
      </c>
      <c r="U131" s="34">
        <f t="shared" si="56"/>
        <v>0</v>
      </c>
      <c r="V131" s="34">
        <f t="shared" si="56"/>
        <v>0</v>
      </c>
      <c r="W131" s="34">
        <f t="shared" si="56"/>
        <v>0</v>
      </c>
      <c r="X131" s="34">
        <f t="shared" si="56"/>
        <v>0</v>
      </c>
      <c r="Y131" s="34">
        <f t="shared" si="56"/>
        <v>0</v>
      </c>
      <c r="Z131" s="34">
        <f t="shared" si="56"/>
        <v>0</v>
      </c>
      <c r="AA131" s="34">
        <f t="shared" si="56"/>
        <v>0</v>
      </c>
      <c r="AB131" s="34">
        <f t="shared" si="56"/>
        <v>0</v>
      </c>
      <c r="AC131" s="34">
        <f t="shared" si="56"/>
        <v>0</v>
      </c>
      <c r="AD131" s="34">
        <f t="shared" si="56"/>
        <v>0</v>
      </c>
      <c r="AE131" s="34">
        <f t="shared" si="56"/>
        <v>0</v>
      </c>
      <c r="AF131" s="34">
        <f t="shared" si="56"/>
        <v>0</v>
      </c>
      <c r="AG131" s="34">
        <f t="shared" si="56"/>
        <v>0</v>
      </c>
      <c r="AH131" s="34">
        <f t="shared" si="56"/>
        <v>0</v>
      </c>
      <c r="AI131" s="34">
        <f t="shared" si="56"/>
        <v>0</v>
      </c>
      <c r="AJ131" s="34">
        <f t="shared" si="56"/>
        <v>0</v>
      </c>
      <c r="AK131" s="34">
        <f t="shared" si="56"/>
        <v>0</v>
      </c>
      <c r="AL131" s="34">
        <f t="shared" si="56"/>
        <v>0</v>
      </c>
      <c r="AM131" s="34">
        <f t="shared" si="56"/>
        <v>0</v>
      </c>
      <c r="AN131" s="34">
        <f t="shared" si="56"/>
        <v>0</v>
      </c>
      <c r="AO131" s="34"/>
      <c r="AP131" s="45">
        <f>AO126</f>
        <v>0</v>
      </c>
      <c r="AQ131" s="1"/>
    </row>
    <row r="132" ht="15.75" customHeight="1">
      <c r="A132" s="1"/>
      <c r="B132" s="32"/>
      <c r="C132" s="32" t="s">
        <v>78</v>
      </c>
      <c r="D132" s="32" t="s">
        <v>79</v>
      </c>
      <c r="E132" s="13"/>
      <c r="F132" s="14" t="s">
        <v>23</v>
      </c>
      <c r="G132" s="44"/>
      <c r="H132" s="34">
        <v>105.0</v>
      </c>
      <c r="I132" s="34">
        <f t="shared" ref="I132:AO132" si="57">H137</f>
        <v>105</v>
      </c>
      <c r="J132" s="34">
        <f t="shared" si="57"/>
        <v>73</v>
      </c>
      <c r="K132" s="34">
        <f t="shared" si="57"/>
        <v>53</v>
      </c>
      <c r="L132" s="34">
        <f t="shared" si="57"/>
        <v>53</v>
      </c>
      <c r="M132" s="34">
        <f t="shared" si="57"/>
        <v>53</v>
      </c>
      <c r="N132" s="34">
        <f t="shared" si="57"/>
        <v>53</v>
      </c>
      <c r="O132" s="34">
        <f t="shared" si="57"/>
        <v>53</v>
      </c>
      <c r="P132" s="34">
        <f t="shared" si="57"/>
        <v>53</v>
      </c>
      <c r="Q132" s="34">
        <f t="shared" si="57"/>
        <v>53</v>
      </c>
      <c r="R132" s="34">
        <f t="shared" si="57"/>
        <v>53</v>
      </c>
      <c r="S132" s="34">
        <f t="shared" si="57"/>
        <v>53</v>
      </c>
      <c r="T132" s="34">
        <f t="shared" si="57"/>
        <v>53</v>
      </c>
      <c r="U132" s="34">
        <f t="shared" si="57"/>
        <v>53</v>
      </c>
      <c r="V132" s="34">
        <f t="shared" si="57"/>
        <v>53</v>
      </c>
      <c r="W132" s="34">
        <f t="shared" si="57"/>
        <v>53</v>
      </c>
      <c r="X132" s="34">
        <f t="shared" si="57"/>
        <v>53</v>
      </c>
      <c r="Y132" s="34">
        <f t="shared" si="57"/>
        <v>53</v>
      </c>
      <c r="Z132" s="34">
        <f t="shared" si="57"/>
        <v>53</v>
      </c>
      <c r="AA132" s="34">
        <f t="shared" si="57"/>
        <v>53</v>
      </c>
      <c r="AB132" s="34">
        <f t="shared" si="57"/>
        <v>53</v>
      </c>
      <c r="AC132" s="34">
        <f t="shared" si="57"/>
        <v>53</v>
      </c>
      <c r="AD132" s="34">
        <f t="shared" si="57"/>
        <v>53</v>
      </c>
      <c r="AE132" s="34">
        <f t="shared" si="57"/>
        <v>53</v>
      </c>
      <c r="AF132" s="34">
        <f t="shared" si="57"/>
        <v>53</v>
      </c>
      <c r="AG132" s="34">
        <f t="shared" si="57"/>
        <v>53</v>
      </c>
      <c r="AH132" s="34">
        <f t="shared" si="57"/>
        <v>53</v>
      </c>
      <c r="AI132" s="34">
        <f t="shared" si="57"/>
        <v>53</v>
      </c>
      <c r="AJ132" s="34">
        <f t="shared" si="57"/>
        <v>53</v>
      </c>
      <c r="AK132" s="34">
        <f t="shared" si="57"/>
        <v>53</v>
      </c>
      <c r="AL132" s="34">
        <f t="shared" si="57"/>
        <v>53</v>
      </c>
      <c r="AM132" s="34">
        <f t="shared" si="57"/>
        <v>53</v>
      </c>
      <c r="AN132" s="34">
        <f t="shared" si="57"/>
        <v>53</v>
      </c>
      <c r="AO132" s="34">
        <f t="shared" si="57"/>
        <v>53</v>
      </c>
      <c r="AP132" s="54"/>
      <c r="AQ132" s="1"/>
    </row>
    <row r="133" ht="15.75" customHeight="1">
      <c r="A133" s="1"/>
      <c r="B133" s="35"/>
      <c r="C133" s="35"/>
      <c r="D133" s="35"/>
      <c r="E133" s="33" t="s">
        <v>24</v>
      </c>
      <c r="F133" s="36" t="s">
        <v>25</v>
      </c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8"/>
      <c r="T133" s="37"/>
      <c r="U133" s="38"/>
      <c r="V133" s="37"/>
      <c r="W133" s="37"/>
      <c r="X133" s="37"/>
      <c r="Y133" s="37"/>
      <c r="Z133" s="37"/>
      <c r="AA133" s="37"/>
      <c r="AB133" s="37"/>
      <c r="AC133" s="37"/>
      <c r="AD133" s="38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9">
        <f t="shared" ref="AP133:AP136" si="58">SUM(H133:AO133)</f>
        <v>0</v>
      </c>
      <c r="AQ133" s="1"/>
    </row>
    <row r="134" ht="15.75" customHeight="1">
      <c r="A134" s="51"/>
      <c r="B134" s="35"/>
      <c r="C134" s="35"/>
      <c r="D134" s="35"/>
      <c r="E134" s="47"/>
      <c r="F134" s="40" t="s">
        <v>26</v>
      </c>
      <c r="G134" s="49"/>
      <c r="H134" s="48"/>
      <c r="I134" s="48">
        <v>32.0</v>
      </c>
      <c r="J134" s="48">
        <v>20.0</v>
      </c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50">
        <f t="shared" si="58"/>
        <v>52</v>
      </c>
      <c r="AQ134" s="51"/>
    </row>
    <row r="135" ht="15.75" customHeight="1">
      <c r="A135" s="1"/>
      <c r="B135" s="35"/>
      <c r="C135" s="35"/>
      <c r="D135" s="35"/>
      <c r="E135" s="33" t="s">
        <v>27</v>
      </c>
      <c r="F135" s="41" t="s">
        <v>28</v>
      </c>
      <c r="G135" s="37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7"/>
      <c r="AP135" s="39">
        <f t="shared" si="58"/>
        <v>0</v>
      </c>
      <c r="AQ135" s="1"/>
    </row>
    <row r="136" ht="15.75" customHeight="1">
      <c r="A136" s="1"/>
      <c r="B136" s="35"/>
      <c r="C136" s="35"/>
      <c r="D136" s="35"/>
      <c r="E136" s="33"/>
      <c r="F136" s="41" t="s">
        <v>29</v>
      </c>
      <c r="G136" s="37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7"/>
      <c r="AP136" s="39">
        <f t="shared" si="58"/>
        <v>0</v>
      </c>
      <c r="AQ136" s="1"/>
    </row>
    <row r="137" ht="15.75" customHeight="1">
      <c r="A137" s="1"/>
      <c r="B137" s="42"/>
      <c r="C137" s="42"/>
      <c r="D137" s="42"/>
      <c r="E137" s="52"/>
      <c r="F137" s="43" t="s">
        <v>30</v>
      </c>
      <c r="G137" s="55"/>
      <c r="H137" s="34">
        <f t="shared" ref="H137:AN137" si="59">H132+H133-H134+H135-H136</f>
        <v>105</v>
      </c>
      <c r="I137" s="34">
        <f t="shared" si="59"/>
        <v>73</v>
      </c>
      <c r="J137" s="34">
        <f t="shared" si="59"/>
        <v>53</v>
      </c>
      <c r="K137" s="34">
        <f t="shared" si="59"/>
        <v>53</v>
      </c>
      <c r="L137" s="34">
        <f t="shared" si="59"/>
        <v>53</v>
      </c>
      <c r="M137" s="34">
        <f t="shared" si="59"/>
        <v>53</v>
      </c>
      <c r="N137" s="34">
        <f t="shared" si="59"/>
        <v>53</v>
      </c>
      <c r="O137" s="34">
        <f t="shared" si="59"/>
        <v>53</v>
      </c>
      <c r="P137" s="34">
        <f t="shared" si="59"/>
        <v>53</v>
      </c>
      <c r="Q137" s="34">
        <f t="shared" si="59"/>
        <v>53</v>
      </c>
      <c r="R137" s="34">
        <f t="shared" si="59"/>
        <v>53</v>
      </c>
      <c r="S137" s="34">
        <f t="shared" si="59"/>
        <v>53</v>
      </c>
      <c r="T137" s="34">
        <f t="shared" si="59"/>
        <v>53</v>
      </c>
      <c r="U137" s="34">
        <f t="shared" si="59"/>
        <v>53</v>
      </c>
      <c r="V137" s="34">
        <f t="shared" si="59"/>
        <v>53</v>
      </c>
      <c r="W137" s="34">
        <f t="shared" si="59"/>
        <v>53</v>
      </c>
      <c r="X137" s="34">
        <f t="shared" si="59"/>
        <v>53</v>
      </c>
      <c r="Y137" s="34">
        <f t="shared" si="59"/>
        <v>53</v>
      </c>
      <c r="Z137" s="34">
        <f t="shared" si="59"/>
        <v>53</v>
      </c>
      <c r="AA137" s="34">
        <f t="shared" si="59"/>
        <v>53</v>
      </c>
      <c r="AB137" s="34">
        <f t="shared" si="59"/>
        <v>53</v>
      </c>
      <c r="AC137" s="34">
        <f t="shared" si="59"/>
        <v>53</v>
      </c>
      <c r="AD137" s="34">
        <f t="shared" si="59"/>
        <v>53</v>
      </c>
      <c r="AE137" s="34">
        <f t="shared" si="59"/>
        <v>53</v>
      </c>
      <c r="AF137" s="34">
        <f t="shared" si="59"/>
        <v>53</v>
      </c>
      <c r="AG137" s="34">
        <f t="shared" si="59"/>
        <v>53</v>
      </c>
      <c r="AH137" s="34">
        <f t="shared" si="59"/>
        <v>53</v>
      </c>
      <c r="AI137" s="34">
        <f t="shared" si="59"/>
        <v>53</v>
      </c>
      <c r="AJ137" s="34">
        <f t="shared" si="59"/>
        <v>53</v>
      </c>
      <c r="AK137" s="34">
        <f t="shared" si="59"/>
        <v>53</v>
      </c>
      <c r="AL137" s="34">
        <f t="shared" si="59"/>
        <v>53</v>
      </c>
      <c r="AM137" s="34">
        <f t="shared" si="59"/>
        <v>53</v>
      </c>
      <c r="AN137" s="34">
        <f t="shared" si="59"/>
        <v>53</v>
      </c>
      <c r="AO137" s="34"/>
      <c r="AP137" s="45">
        <f>AO132</f>
        <v>53</v>
      </c>
      <c r="AQ137" s="1"/>
    </row>
    <row r="138" ht="15.75" customHeight="1">
      <c r="A138" s="1"/>
      <c r="B138" s="32"/>
      <c r="C138" s="32" t="s">
        <v>80</v>
      </c>
      <c r="D138" s="32" t="s">
        <v>81</v>
      </c>
      <c r="E138" s="13"/>
      <c r="F138" s="14" t="s">
        <v>23</v>
      </c>
      <c r="G138" s="44"/>
      <c r="H138" s="34">
        <v>0.0</v>
      </c>
      <c r="I138" s="34">
        <f t="shared" ref="I138:AO138" si="60">H143</f>
        <v>0</v>
      </c>
      <c r="J138" s="34">
        <f t="shared" si="60"/>
        <v>0</v>
      </c>
      <c r="K138" s="34">
        <f t="shared" si="60"/>
        <v>0</v>
      </c>
      <c r="L138" s="34">
        <f t="shared" si="60"/>
        <v>0</v>
      </c>
      <c r="M138" s="34">
        <f t="shared" si="60"/>
        <v>0</v>
      </c>
      <c r="N138" s="34">
        <f t="shared" si="60"/>
        <v>0</v>
      </c>
      <c r="O138" s="34">
        <f t="shared" si="60"/>
        <v>0</v>
      </c>
      <c r="P138" s="34">
        <f t="shared" si="60"/>
        <v>0</v>
      </c>
      <c r="Q138" s="34">
        <f t="shared" si="60"/>
        <v>0</v>
      </c>
      <c r="R138" s="34">
        <f t="shared" si="60"/>
        <v>0</v>
      </c>
      <c r="S138" s="34">
        <f t="shared" si="60"/>
        <v>0</v>
      </c>
      <c r="T138" s="34">
        <f t="shared" si="60"/>
        <v>0</v>
      </c>
      <c r="U138" s="34">
        <f t="shared" si="60"/>
        <v>0</v>
      </c>
      <c r="V138" s="34">
        <f t="shared" si="60"/>
        <v>0</v>
      </c>
      <c r="W138" s="34">
        <f t="shared" si="60"/>
        <v>0</v>
      </c>
      <c r="X138" s="34">
        <f t="shared" si="60"/>
        <v>0</v>
      </c>
      <c r="Y138" s="34">
        <f t="shared" si="60"/>
        <v>0</v>
      </c>
      <c r="Z138" s="34">
        <f t="shared" si="60"/>
        <v>0</v>
      </c>
      <c r="AA138" s="34">
        <f t="shared" si="60"/>
        <v>0</v>
      </c>
      <c r="AB138" s="34">
        <f t="shared" si="60"/>
        <v>0</v>
      </c>
      <c r="AC138" s="34">
        <f t="shared" si="60"/>
        <v>0</v>
      </c>
      <c r="AD138" s="34">
        <f t="shared" si="60"/>
        <v>0</v>
      </c>
      <c r="AE138" s="34">
        <f t="shared" si="60"/>
        <v>0</v>
      </c>
      <c r="AF138" s="34">
        <f t="shared" si="60"/>
        <v>0</v>
      </c>
      <c r="AG138" s="34">
        <f t="shared" si="60"/>
        <v>0</v>
      </c>
      <c r="AH138" s="34">
        <f t="shared" si="60"/>
        <v>0</v>
      </c>
      <c r="AI138" s="34">
        <f t="shared" si="60"/>
        <v>0</v>
      </c>
      <c r="AJ138" s="34">
        <f t="shared" si="60"/>
        <v>0</v>
      </c>
      <c r="AK138" s="34">
        <f t="shared" si="60"/>
        <v>0</v>
      </c>
      <c r="AL138" s="34">
        <f t="shared" si="60"/>
        <v>0</v>
      </c>
      <c r="AM138" s="34">
        <f t="shared" si="60"/>
        <v>0</v>
      </c>
      <c r="AN138" s="34">
        <f t="shared" si="60"/>
        <v>0</v>
      </c>
      <c r="AO138" s="34">
        <f t="shared" si="60"/>
        <v>0</v>
      </c>
      <c r="AP138" s="54"/>
      <c r="AQ138" s="1"/>
    </row>
    <row r="139" ht="15.75" customHeight="1">
      <c r="A139" s="1"/>
      <c r="B139" s="35"/>
      <c r="C139" s="35"/>
      <c r="D139" s="35"/>
      <c r="E139" s="33" t="s">
        <v>24</v>
      </c>
      <c r="F139" s="36" t="s">
        <v>25</v>
      </c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8"/>
      <c r="T139" s="37"/>
      <c r="U139" s="38"/>
      <c r="V139" s="37"/>
      <c r="W139" s="37"/>
      <c r="X139" s="37"/>
      <c r="Y139" s="37"/>
      <c r="Z139" s="37"/>
      <c r="AA139" s="37"/>
      <c r="AB139" s="37"/>
      <c r="AC139" s="37"/>
      <c r="AD139" s="38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9">
        <f t="shared" ref="AP139:AP142" si="61">SUM(H139:AO139)</f>
        <v>0</v>
      </c>
      <c r="AQ139" s="1"/>
    </row>
    <row r="140" ht="15.75" customHeight="1">
      <c r="A140" s="1"/>
      <c r="B140" s="35"/>
      <c r="C140" s="35"/>
      <c r="D140" s="35"/>
      <c r="E140" s="33"/>
      <c r="F140" s="40" t="s">
        <v>26</v>
      </c>
      <c r="G140" s="37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9">
        <f t="shared" si="61"/>
        <v>0</v>
      </c>
      <c r="AQ140" s="1"/>
    </row>
    <row r="141" ht="15.75" customHeight="1">
      <c r="A141" s="1"/>
      <c r="B141" s="35"/>
      <c r="C141" s="35"/>
      <c r="D141" s="35"/>
      <c r="E141" s="33" t="s">
        <v>27</v>
      </c>
      <c r="F141" s="41" t="s">
        <v>28</v>
      </c>
      <c r="G141" s="37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7"/>
      <c r="AP141" s="39">
        <f t="shared" si="61"/>
        <v>0</v>
      </c>
      <c r="AQ141" s="1"/>
    </row>
    <row r="142" ht="15.75" customHeight="1">
      <c r="A142" s="1"/>
      <c r="B142" s="35"/>
      <c r="C142" s="35"/>
      <c r="D142" s="35"/>
      <c r="E142" s="33"/>
      <c r="F142" s="41" t="s">
        <v>29</v>
      </c>
      <c r="G142" s="37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7"/>
      <c r="AP142" s="39">
        <f t="shared" si="61"/>
        <v>0</v>
      </c>
      <c r="AQ142" s="1"/>
    </row>
    <row r="143" ht="15.75" customHeight="1">
      <c r="A143" s="1"/>
      <c r="B143" s="42"/>
      <c r="C143" s="42"/>
      <c r="D143" s="42"/>
      <c r="E143" s="52"/>
      <c r="F143" s="43" t="s">
        <v>30</v>
      </c>
      <c r="G143" s="55"/>
      <c r="H143" s="34">
        <f t="shared" ref="H143:AN143" si="62">H138+H139-H140+H141-H142</f>
        <v>0</v>
      </c>
      <c r="I143" s="34">
        <f t="shared" si="62"/>
        <v>0</v>
      </c>
      <c r="J143" s="34">
        <f t="shared" si="62"/>
        <v>0</v>
      </c>
      <c r="K143" s="34">
        <f t="shared" si="62"/>
        <v>0</v>
      </c>
      <c r="L143" s="34">
        <f t="shared" si="62"/>
        <v>0</v>
      </c>
      <c r="M143" s="34">
        <f t="shared" si="62"/>
        <v>0</v>
      </c>
      <c r="N143" s="34">
        <f t="shared" si="62"/>
        <v>0</v>
      </c>
      <c r="O143" s="34">
        <f t="shared" si="62"/>
        <v>0</v>
      </c>
      <c r="P143" s="34">
        <f t="shared" si="62"/>
        <v>0</v>
      </c>
      <c r="Q143" s="34">
        <f t="shared" si="62"/>
        <v>0</v>
      </c>
      <c r="R143" s="34">
        <f t="shared" si="62"/>
        <v>0</v>
      </c>
      <c r="S143" s="34">
        <f t="shared" si="62"/>
        <v>0</v>
      </c>
      <c r="T143" s="34">
        <f t="shared" si="62"/>
        <v>0</v>
      </c>
      <c r="U143" s="34">
        <f t="shared" si="62"/>
        <v>0</v>
      </c>
      <c r="V143" s="34">
        <f t="shared" si="62"/>
        <v>0</v>
      </c>
      <c r="W143" s="34">
        <f t="shared" si="62"/>
        <v>0</v>
      </c>
      <c r="X143" s="34">
        <f t="shared" si="62"/>
        <v>0</v>
      </c>
      <c r="Y143" s="34">
        <f t="shared" si="62"/>
        <v>0</v>
      </c>
      <c r="Z143" s="34">
        <f t="shared" si="62"/>
        <v>0</v>
      </c>
      <c r="AA143" s="34">
        <f t="shared" si="62"/>
        <v>0</v>
      </c>
      <c r="AB143" s="34">
        <f t="shared" si="62"/>
        <v>0</v>
      </c>
      <c r="AC143" s="34">
        <f t="shared" si="62"/>
        <v>0</v>
      </c>
      <c r="AD143" s="34">
        <f t="shared" si="62"/>
        <v>0</v>
      </c>
      <c r="AE143" s="34">
        <f t="shared" si="62"/>
        <v>0</v>
      </c>
      <c r="AF143" s="34">
        <f t="shared" si="62"/>
        <v>0</v>
      </c>
      <c r="AG143" s="34">
        <f t="shared" si="62"/>
        <v>0</v>
      </c>
      <c r="AH143" s="34">
        <f t="shared" si="62"/>
        <v>0</v>
      </c>
      <c r="AI143" s="34">
        <f t="shared" si="62"/>
        <v>0</v>
      </c>
      <c r="AJ143" s="34">
        <f t="shared" si="62"/>
        <v>0</v>
      </c>
      <c r="AK143" s="34">
        <f t="shared" si="62"/>
        <v>0</v>
      </c>
      <c r="AL143" s="34">
        <f t="shared" si="62"/>
        <v>0</v>
      </c>
      <c r="AM143" s="34">
        <f t="shared" si="62"/>
        <v>0</v>
      </c>
      <c r="AN143" s="34">
        <f t="shared" si="62"/>
        <v>0</v>
      </c>
      <c r="AO143" s="34"/>
      <c r="AP143" s="45">
        <f>AO138</f>
        <v>0</v>
      </c>
      <c r="AQ143" s="1"/>
    </row>
    <row r="144" ht="15.75" customHeight="1">
      <c r="A144" s="1"/>
      <c r="B144" s="56"/>
      <c r="C144" s="32" t="s">
        <v>82</v>
      </c>
      <c r="D144" s="57" t="s">
        <v>83</v>
      </c>
      <c r="E144" s="13"/>
      <c r="F144" s="41" t="s">
        <v>23</v>
      </c>
      <c r="G144" s="44"/>
      <c r="H144" s="34" t="str">
        <f t="shared" ref="H144:AO144" si="63">G149</f>
        <v/>
      </c>
      <c r="I144" s="34">
        <f t="shared" si="63"/>
        <v>0</v>
      </c>
      <c r="J144" s="34">
        <f t="shared" si="63"/>
        <v>0</v>
      </c>
      <c r="K144" s="34">
        <f t="shared" si="63"/>
        <v>0</v>
      </c>
      <c r="L144" s="34">
        <f t="shared" si="63"/>
        <v>0</v>
      </c>
      <c r="M144" s="34">
        <f t="shared" si="63"/>
        <v>0</v>
      </c>
      <c r="N144" s="34">
        <f t="shared" si="63"/>
        <v>0</v>
      </c>
      <c r="O144" s="34">
        <f t="shared" si="63"/>
        <v>0</v>
      </c>
      <c r="P144" s="34">
        <f t="shared" si="63"/>
        <v>0</v>
      </c>
      <c r="Q144" s="34">
        <f t="shared" si="63"/>
        <v>0</v>
      </c>
      <c r="R144" s="34">
        <f t="shared" si="63"/>
        <v>0</v>
      </c>
      <c r="S144" s="34">
        <f t="shared" si="63"/>
        <v>0</v>
      </c>
      <c r="T144" s="34">
        <f t="shared" si="63"/>
        <v>0</v>
      </c>
      <c r="U144" s="34">
        <f t="shared" si="63"/>
        <v>0</v>
      </c>
      <c r="V144" s="34">
        <f t="shared" si="63"/>
        <v>0</v>
      </c>
      <c r="W144" s="34">
        <f t="shared" si="63"/>
        <v>0</v>
      </c>
      <c r="X144" s="34">
        <f t="shared" si="63"/>
        <v>0</v>
      </c>
      <c r="Y144" s="34">
        <f t="shared" si="63"/>
        <v>0</v>
      </c>
      <c r="Z144" s="34">
        <f t="shared" si="63"/>
        <v>0</v>
      </c>
      <c r="AA144" s="34">
        <f t="shared" si="63"/>
        <v>0</v>
      </c>
      <c r="AB144" s="34">
        <f t="shared" si="63"/>
        <v>0</v>
      </c>
      <c r="AC144" s="34">
        <f t="shared" si="63"/>
        <v>0</v>
      </c>
      <c r="AD144" s="34">
        <f t="shared" si="63"/>
        <v>0</v>
      </c>
      <c r="AE144" s="34">
        <f t="shared" si="63"/>
        <v>0</v>
      </c>
      <c r="AF144" s="34">
        <f t="shared" si="63"/>
        <v>0</v>
      </c>
      <c r="AG144" s="34">
        <f t="shared" si="63"/>
        <v>0</v>
      </c>
      <c r="AH144" s="34">
        <f t="shared" si="63"/>
        <v>0</v>
      </c>
      <c r="AI144" s="34">
        <f t="shared" si="63"/>
        <v>0</v>
      </c>
      <c r="AJ144" s="34">
        <f t="shared" si="63"/>
        <v>0</v>
      </c>
      <c r="AK144" s="34">
        <f t="shared" si="63"/>
        <v>0</v>
      </c>
      <c r="AL144" s="34">
        <f t="shared" si="63"/>
        <v>0</v>
      </c>
      <c r="AM144" s="34">
        <f t="shared" si="63"/>
        <v>0</v>
      </c>
      <c r="AN144" s="34">
        <f t="shared" si="63"/>
        <v>0</v>
      </c>
      <c r="AO144" s="34">
        <f t="shared" si="63"/>
        <v>0</v>
      </c>
      <c r="AP144" s="54"/>
      <c r="AQ144" s="1"/>
    </row>
    <row r="145" ht="15.75" customHeight="1">
      <c r="A145" s="1"/>
      <c r="B145" s="58"/>
      <c r="C145" s="35"/>
      <c r="D145" s="35"/>
      <c r="E145" s="33" t="s">
        <v>24</v>
      </c>
      <c r="F145" s="59" t="s">
        <v>25</v>
      </c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8"/>
      <c r="T145" s="37"/>
      <c r="U145" s="38"/>
      <c r="V145" s="37"/>
      <c r="W145" s="37"/>
      <c r="X145" s="37"/>
      <c r="Y145" s="37"/>
      <c r="Z145" s="37"/>
      <c r="AA145" s="37"/>
      <c r="AB145" s="37"/>
      <c r="AC145" s="37"/>
      <c r="AD145" s="38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9">
        <f t="shared" ref="AP145:AP148" si="64">SUM(H145:AO145)</f>
        <v>0</v>
      </c>
      <c r="AQ145" s="1"/>
    </row>
    <row r="146" ht="15.75" customHeight="1">
      <c r="A146" s="1"/>
      <c r="B146" s="58"/>
      <c r="C146" s="35"/>
      <c r="D146" s="35"/>
      <c r="E146" s="33"/>
      <c r="F146" s="60" t="s">
        <v>26</v>
      </c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8"/>
      <c r="T146" s="37"/>
      <c r="U146" s="38"/>
      <c r="V146" s="37"/>
      <c r="W146" s="37"/>
      <c r="X146" s="37"/>
      <c r="Y146" s="37"/>
      <c r="Z146" s="37"/>
      <c r="AA146" s="37"/>
      <c r="AB146" s="37"/>
      <c r="AC146" s="37"/>
      <c r="AD146" s="38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9">
        <f t="shared" si="64"/>
        <v>0</v>
      </c>
      <c r="AQ146" s="1"/>
    </row>
    <row r="147" ht="15.75" customHeight="1">
      <c r="A147" s="1"/>
      <c r="B147" s="58"/>
      <c r="C147" s="35"/>
      <c r="D147" s="35"/>
      <c r="E147" s="33" t="s">
        <v>27</v>
      </c>
      <c r="F147" s="41" t="s">
        <v>28</v>
      </c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8"/>
      <c r="T147" s="37"/>
      <c r="U147" s="38"/>
      <c r="V147" s="37"/>
      <c r="W147" s="37"/>
      <c r="X147" s="37"/>
      <c r="Y147" s="37"/>
      <c r="Z147" s="37"/>
      <c r="AA147" s="37"/>
      <c r="AB147" s="37"/>
      <c r="AC147" s="37"/>
      <c r="AD147" s="38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9">
        <f t="shared" si="64"/>
        <v>0</v>
      </c>
      <c r="AQ147" s="1"/>
    </row>
    <row r="148" ht="15.75" customHeight="1">
      <c r="A148" s="1"/>
      <c r="B148" s="58"/>
      <c r="C148" s="35"/>
      <c r="D148" s="35"/>
      <c r="E148" s="33"/>
      <c r="F148" s="41" t="s">
        <v>29</v>
      </c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8"/>
      <c r="T148" s="37"/>
      <c r="U148" s="38"/>
      <c r="V148" s="37"/>
      <c r="W148" s="37"/>
      <c r="X148" s="37"/>
      <c r="Y148" s="37"/>
      <c r="Z148" s="37"/>
      <c r="AA148" s="37"/>
      <c r="AB148" s="37"/>
      <c r="AC148" s="37"/>
      <c r="AD148" s="38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9">
        <f t="shared" si="64"/>
        <v>0</v>
      </c>
      <c r="AQ148" s="1"/>
    </row>
    <row r="149" ht="15.75" customHeight="1">
      <c r="A149" s="1"/>
      <c r="B149" s="61"/>
      <c r="C149" s="42"/>
      <c r="D149" s="42"/>
      <c r="E149" s="52"/>
      <c r="F149" s="62" t="s">
        <v>30</v>
      </c>
      <c r="G149" s="44"/>
      <c r="H149" s="34">
        <f t="shared" ref="H149:AN149" si="65">H144+H145-H146+H147-H148</f>
        <v>0</v>
      </c>
      <c r="I149" s="34">
        <f t="shared" si="65"/>
        <v>0</v>
      </c>
      <c r="J149" s="34">
        <f t="shared" si="65"/>
        <v>0</v>
      </c>
      <c r="K149" s="34">
        <f t="shared" si="65"/>
        <v>0</v>
      </c>
      <c r="L149" s="34">
        <f t="shared" si="65"/>
        <v>0</v>
      </c>
      <c r="M149" s="34">
        <f t="shared" si="65"/>
        <v>0</v>
      </c>
      <c r="N149" s="34">
        <f t="shared" si="65"/>
        <v>0</v>
      </c>
      <c r="O149" s="34">
        <f t="shared" si="65"/>
        <v>0</v>
      </c>
      <c r="P149" s="34">
        <f t="shared" si="65"/>
        <v>0</v>
      </c>
      <c r="Q149" s="34">
        <f t="shared" si="65"/>
        <v>0</v>
      </c>
      <c r="R149" s="34">
        <f t="shared" si="65"/>
        <v>0</v>
      </c>
      <c r="S149" s="34">
        <f t="shared" si="65"/>
        <v>0</v>
      </c>
      <c r="T149" s="34">
        <f t="shared" si="65"/>
        <v>0</v>
      </c>
      <c r="U149" s="34">
        <f t="shared" si="65"/>
        <v>0</v>
      </c>
      <c r="V149" s="34">
        <f t="shared" si="65"/>
        <v>0</v>
      </c>
      <c r="W149" s="34">
        <f t="shared" si="65"/>
        <v>0</v>
      </c>
      <c r="X149" s="34">
        <f t="shared" si="65"/>
        <v>0</v>
      </c>
      <c r="Y149" s="34">
        <f t="shared" si="65"/>
        <v>0</v>
      </c>
      <c r="Z149" s="34">
        <f t="shared" si="65"/>
        <v>0</v>
      </c>
      <c r="AA149" s="34">
        <f t="shared" si="65"/>
        <v>0</v>
      </c>
      <c r="AB149" s="34">
        <f t="shared" si="65"/>
        <v>0</v>
      </c>
      <c r="AC149" s="34">
        <f t="shared" si="65"/>
        <v>0</v>
      </c>
      <c r="AD149" s="34">
        <f t="shared" si="65"/>
        <v>0</v>
      </c>
      <c r="AE149" s="34">
        <f t="shared" si="65"/>
        <v>0</v>
      </c>
      <c r="AF149" s="34">
        <f t="shared" si="65"/>
        <v>0</v>
      </c>
      <c r="AG149" s="34">
        <f t="shared" si="65"/>
        <v>0</v>
      </c>
      <c r="AH149" s="34">
        <f t="shared" si="65"/>
        <v>0</v>
      </c>
      <c r="AI149" s="34">
        <f t="shared" si="65"/>
        <v>0</v>
      </c>
      <c r="AJ149" s="34">
        <f t="shared" si="65"/>
        <v>0</v>
      </c>
      <c r="AK149" s="34">
        <f t="shared" si="65"/>
        <v>0</v>
      </c>
      <c r="AL149" s="34">
        <f t="shared" si="65"/>
        <v>0</v>
      </c>
      <c r="AM149" s="34">
        <f t="shared" si="65"/>
        <v>0</v>
      </c>
      <c r="AN149" s="34">
        <f t="shared" si="65"/>
        <v>0</v>
      </c>
      <c r="AO149" s="34"/>
      <c r="AP149" s="45">
        <f>AO144</f>
        <v>0</v>
      </c>
      <c r="AQ149" s="1"/>
    </row>
    <row r="150" ht="15.75" customHeight="1">
      <c r="A150" s="1"/>
      <c r="B150" s="63"/>
      <c r="C150" s="32" t="s">
        <v>84</v>
      </c>
      <c r="D150" s="57" t="s">
        <v>85</v>
      </c>
      <c r="E150" s="64"/>
      <c r="F150" s="14" t="s">
        <v>23</v>
      </c>
      <c r="G150" s="44"/>
      <c r="H150" s="34"/>
      <c r="I150" s="34">
        <f t="shared" ref="I150:AO150" si="66">H155</f>
        <v>0</v>
      </c>
      <c r="J150" s="34">
        <f t="shared" si="66"/>
        <v>0</v>
      </c>
      <c r="K150" s="34">
        <f t="shared" si="66"/>
        <v>0</v>
      </c>
      <c r="L150" s="34">
        <f t="shared" si="66"/>
        <v>0</v>
      </c>
      <c r="M150" s="34">
        <f t="shared" si="66"/>
        <v>0</v>
      </c>
      <c r="N150" s="34">
        <f t="shared" si="66"/>
        <v>0</v>
      </c>
      <c r="O150" s="34">
        <f t="shared" si="66"/>
        <v>0</v>
      </c>
      <c r="P150" s="34">
        <f t="shared" si="66"/>
        <v>0</v>
      </c>
      <c r="Q150" s="34">
        <f t="shared" si="66"/>
        <v>0</v>
      </c>
      <c r="R150" s="34">
        <f t="shared" si="66"/>
        <v>0</v>
      </c>
      <c r="S150" s="34">
        <f t="shared" si="66"/>
        <v>0</v>
      </c>
      <c r="T150" s="34">
        <f t="shared" si="66"/>
        <v>0</v>
      </c>
      <c r="U150" s="34">
        <f t="shared" si="66"/>
        <v>0</v>
      </c>
      <c r="V150" s="34">
        <f t="shared" si="66"/>
        <v>0</v>
      </c>
      <c r="W150" s="34">
        <f t="shared" si="66"/>
        <v>0</v>
      </c>
      <c r="X150" s="34">
        <f t="shared" si="66"/>
        <v>0</v>
      </c>
      <c r="Y150" s="34">
        <f t="shared" si="66"/>
        <v>0</v>
      </c>
      <c r="Z150" s="34">
        <f t="shared" si="66"/>
        <v>0</v>
      </c>
      <c r="AA150" s="34">
        <f t="shared" si="66"/>
        <v>0</v>
      </c>
      <c r="AB150" s="34">
        <f t="shared" si="66"/>
        <v>0</v>
      </c>
      <c r="AC150" s="34">
        <f t="shared" si="66"/>
        <v>0</v>
      </c>
      <c r="AD150" s="34">
        <f t="shared" si="66"/>
        <v>0</v>
      </c>
      <c r="AE150" s="34">
        <f t="shared" si="66"/>
        <v>0</v>
      </c>
      <c r="AF150" s="34">
        <f t="shared" si="66"/>
        <v>0</v>
      </c>
      <c r="AG150" s="34">
        <f t="shared" si="66"/>
        <v>0</v>
      </c>
      <c r="AH150" s="34">
        <f t="shared" si="66"/>
        <v>0</v>
      </c>
      <c r="AI150" s="34">
        <f t="shared" si="66"/>
        <v>0</v>
      </c>
      <c r="AJ150" s="34">
        <f t="shared" si="66"/>
        <v>0</v>
      </c>
      <c r="AK150" s="34">
        <f t="shared" si="66"/>
        <v>0</v>
      </c>
      <c r="AL150" s="34">
        <f t="shared" si="66"/>
        <v>0</v>
      </c>
      <c r="AM150" s="34">
        <f t="shared" si="66"/>
        <v>0</v>
      </c>
      <c r="AN150" s="34">
        <f t="shared" si="66"/>
        <v>0</v>
      </c>
      <c r="AO150" s="34">
        <f t="shared" si="66"/>
        <v>0</v>
      </c>
      <c r="AP150" s="54"/>
      <c r="AQ150" s="1"/>
    </row>
    <row r="151" ht="15.75" customHeight="1">
      <c r="A151" s="1"/>
      <c r="B151" s="58"/>
      <c r="C151" s="35"/>
      <c r="D151" s="35"/>
      <c r="E151" s="65" t="s">
        <v>24</v>
      </c>
      <c r="F151" s="36" t="s">
        <v>25</v>
      </c>
      <c r="G151" s="44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8"/>
      <c r="T151" s="37"/>
      <c r="U151" s="38"/>
      <c r="V151" s="37"/>
      <c r="W151" s="37"/>
      <c r="X151" s="37"/>
      <c r="Y151" s="37"/>
      <c r="Z151" s="37"/>
      <c r="AA151" s="37"/>
      <c r="AB151" s="37"/>
      <c r="AC151" s="37"/>
      <c r="AD151" s="38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9">
        <f t="shared" ref="AP151:AP154" si="67">SUM(H151:AO151)</f>
        <v>0</v>
      </c>
      <c r="AQ151" s="1"/>
    </row>
    <row r="152" ht="15.75" customHeight="1">
      <c r="A152" s="51"/>
      <c r="B152" s="58"/>
      <c r="C152" s="35"/>
      <c r="D152" s="35"/>
      <c r="E152" s="47"/>
      <c r="F152" s="40" t="s">
        <v>26</v>
      </c>
      <c r="G152" s="66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8"/>
      <c r="T152" s="49"/>
      <c r="U152" s="48"/>
      <c r="V152" s="49"/>
      <c r="W152" s="49"/>
      <c r="X152" s="49"/>
      <c r="Y152" s="49"/>
      <c r="Z152" s="49"/>
      <c r="AA152" s="49"/>
      <c r="AB152" s="49"/>
      <c r="AC152" s="49"/>
      <c r="AD152" s="48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50">
        <f t="shared" si="67"/>
        <v>0</v>
      </c>
      <c r="AQ152" s="51"/>
    </row>
    <row r="153" ht="15.75" customHeight="1">
      <c r="A153" s="1"/>
      <c r="B153" s="58"/>
      <c r="C153" s="35"/>
      <c r="D153" s="35"/>
      <c r="E153" s="65" t="s">
        <v>27</v>
      </c>
      <c r="F153" s="41" t="s">
        <v>28</v>
      </c>
      <c r="G153" s="44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8"/>
      <c r="T153" s="37"/>
      <c r="U153" s="38"/>
      <c r="V153" s="37"/>
      <c r="W153" s="37"/>
      <c r="X153" s="37"/>
      <c r="Y153" s="37"/>
      <c r="Z153" s="37"/>
      <c r="AA153" s="37"/>
      <c r="AB153" s="37"/>
      <c r="AC153" s="37"/>
      <c r="AD153" s="38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9">
        <f t="shared" si="67"/>
        <v>0</v>
      </c>
      <c r="AQ153" s="1"/>
    </row>
    <row r="154" ht="15.75" customHeight="1">
      <c r="A154" s="1"/>
      <c r="B154" s="58"/>
      <c r="C154" s="35"/>
      <c r="D154" s="35"/>
      <c r="E154" s="65"/>
      <c r="F154" s="41" t="s">
        <v>29</v>
      </c>
      <c r="G154" s="44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8"/>
      <c r="T154" s="37"/>
      <c r="U154" s="38"/>
      <c r="V154" s="37"/>
      <c r="W154" s="37"/>
      <c r="X154" s="37"/>
      <c r="Y154" s="37"/>
      <c r="Z154" s="37"/>
      <c r="AA154" s="37"/>
      <c r="AB154" s="37"/>
      <c r="AC154" s="37"/>
      <c r="AD154" s="38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9">
        <f t="shared" si="67"/>
        <v>0</v>
      </c>
      <c r="AQ154" s="1"/>
    </row>
    <row r="155" ht="15.75" customHeight="1">
      <c r="A155" s="1"/>
      <c r="B155" s="61"/>
      <c r="C155" s="42"/>
      <c r="D155" s="35"/>
      <c r="E155" s="67"/>
      <c r="F155" s="43" t="s">
        <v>30</v>
      </c>
      <c r="G155" s="44"/>
      <c r="H155" s="34">
        <f t="shared" ref="H155:AN155" si="68">H150+H151-H152+H153-H154</f>
        <v>0</v>
      </c>
      <c r="I155" s="34">
        <f t="shared" si="68"/>
        <v>0</v>
      </c>
      <c r="J155" s="34">
        <f t="shared" si="68"/>
        <v>0</v>
      </c>
      <c r="K155" s="34">
        <f t="shared" si="68"/>
        <v>0</v>
      </c>
      <c r="L155" s="34">
        <f t="shared" si="68"/>
        <v>0</v>
      </c>
      <c r="M155" s="34">
        <f t="shared" si="68"/>
        <v>0</v>
      </c>
      <c r="N155" s="34">
        <f t="shared" si="68"/>
        <v>0</v>
      </c>
      <c r="O155" s="34">
        <f t="shared" si="68"/>
        <v>0</v>
      </c>
      <c r="P155" s="34">
        <f t="shared" si="68"/>
        <v>0</v>
      </c>
      <c r="Q155" s="34">
        <f t="shared" si="68"/>
        <v>0</v>
      </c>
      <c r="R155" s="34">
        <f t="shared" si="68"/>
        <v>0</v>
      </c>
      <c r="S155" s="34">
        <f t="shared" si="68"/>
        <v>0</v>
      </c>
      <c r="T155" s="34">
        <f t="shared" si="68"/>
        <v>0</v>
      </c>
      <c r="U155" s="34">
        <f t="shared" si="68"/>
        <v>0</v>
      </c>
      <c r="V155" s="34">
        <f t="shared" si="68"/>
        <v>0</v>
      </c>
      <c r="W155" s="34">
        <f t="shared" si="68"/>
        <v>0</v>
      </c>
      <c r="X155" s="34">
        <f t="shared" si="68"/>
        <v>0</v>
      </c>
      <c r="Y155" s="34">
        <f t="shared" si="68"/>
        <v>0</v>
      </c>
      <c r="Z155" s="34">
        <f t="shared" si="68"/>
        <v>0</v>
      </c>
      <c r="AA155" s="34">
        <f t="shared" si="68"/>
        <v>0</v>
      </c>
      <c r="AB155" s="34">
        <f t="shared" si="68"/>
        <v>0</v>
      </c>
      <c r="AC155" s="34">
        <f t="shared" si="68"/>
        <v>0</v>
      </c>
      <c r="AD155" s="34">
        <f t="shared" si="68"/>
        <v>0</v>
      </c>
      <c r="AE155" s="34">
        <f t="shared" si="68"/>
        <v>0</v>
      </c>
      <c r="AF155" s="34">
        <f t="shared" si="68"/>
        <v>0</v>
      </c>
      <c r="AG155" s="34">
        <f t="shared" si="68"/>
        <v>0</v>
      </c>
      <c r="AH155" s="34">
        <f t="shared" si="68"/>
        <v>0</v>
      </c>
      <c r="AI155" s="34">
        <f t="shared" si="68"/>
        <v>0</v>
      </c>
      <c r="AJ155" s="34">
        <f t="shared" si="68"/>
        <v>0</v>
      </c>
      <c r="AK155" s="34">
        <f t="shared" si="68"/>
        <v>0</v>
      </c>
      <c r="AL155" s="34">
        <f t="shared" si="68"/>
        <v>0</v>
      </c>
      <c r="AM155" s="34">
        <f t="shared" si="68"/>
        <v>0</v>
      </c>
      <c r="AN155" s="34">
        <f t="shared" si="68"/>
        <v>0</v>
      </c>
      <c r="AO155" s="34"/>
      <c r="AP155" s="45">
        <f>AO150</f>
        <v>0</v>
      </c>
      <c r="AQ155" s="1"/>
    </row>
    <row r="156" ht="15.75" customHeight="1">
      <c r="A156" s="1"/>
      <c r="B156" s="32"/>
      <c r="C156" s="32" t="s">
        <v>86</v>
      </c>
      <c r="D156" s="32" t="s">
        <v>33</v>
      </c>
      <c r="E156" s="13"/>
      <c r="F156" s="14" t="s">
        <v>23</v>
      </c>
      <c r="G156" s="44"/>
      <c r="H156" s="34">
        <v>1.0</v>
      </c>
      <c r="I156" s="34">
        <f t="shared" ref="I156:AO156" si="69">H161</f>
        <v>1</v>
      </c>
      <c r="J156" s="34">
        <f t="shared" si="69"/>
        <v>1</v>
      </c>
      <c r="K156" s="34">
        <f t="shared" si="69"/>
        <v>1</v>
      </c>
      <c r="L156" s="34">
        <f t="shared" si="69"/>
        <v>1</v>
      </c>
      <c r="M156" s="34">
        <f t="shared" si="69"/>
        <v>1</v>
      </c>
      <c r="N156" s="34">
        <f t="shared" si="69"/>
        <v>1</v>
      </c>
      <c r="O156" s="34">
        <f t="shared" si="69"/>
        <v>1</v>
      </c>
      <c r="P156" s="34">
        <f t="shared" si="69"/>
        <v>1</v>
      </c>
      <c r="Q156" s="34">
        <f t="shared" si="69"/>
        <v>1</v>
      </c>
      <c r="R156" s="34">
        <f t="shared" si="69"/>
        <v>1</v>
      </c>
      <c r="S156" s="34">
        <f t="shared" si="69"/>
        <v>1</v>
      </c>
      <c r="T156" s="34">
        <f t="shared" si="69"/>
        <v>1</v>
      </c>
      <c r="U156" s="34">
        <f t="shared" si="69"/>
        <v>1</v>
      </c>
      <c r="V156" s="34">
        <f t="shared" si="69"/>
        <v>1</v>
      </c>
      <c r="W156" s="34">
        <f t="shared" si="69"/>
        <v>1</v>
      </c>
      <c r="X156" s="34">
        <f t="shared" si="69"/>
        <v>1</v>
      </c>
      <c r="Y156" s="34">
        <f t="shared" si="69"/>
        <v>1</v>
      </c>
      <c r="Z156" s="34">
        <f t="shared" si="69"/>
        <v>1</v>
      </c>
      <c r="AA156" s="34">
        <f t="shared" si="69"/>
        <v>1</v>
      </c>
      <c r="AB156" s="34">
        <f t="shared" si="69"/>
        <v>1</v>
      </c>
      <c r="AC156" s="34">
        <f t="shared" si="69"/>
        <v>1</v>
      </c>
      <c r="AD156" s="34">
        <f t="shared" si="69"/>
        <v>1</v>
      </c>
      <c r="AE156" s="34">
        <f t="shared" si="69"/>
        <v>1</v>
      </c>
      <c r="AF156" s="34">
        <f t="shared" si="69"/>
        <v>1</v>
      </c>
      <c r="AG156" s="34">
        <f t="shared" si="69"/>
        <v>1</v>
      </c>
      <c r="AH156" s="34">
        <f t="shared" si="69"/>
        <v>1</v>
      </c>
      <c r="AI156" s="34">
        <f t="shared" si="69"/>
        <v>1</v>
      </c>
      <c r="AJ156" s="34">
        <f t="shared" si="69"/>
        <v>1</v>
      </c>
      <c r="AK156" s="34">
        <f t="shared" si="69"/>
        <v>1</v>
      </c>
      <c r="AL156" s="34">
        <f t="shared" si="69"/>
        <v>1</v>
      </c>
      <c r="AM156" s="34">
        <f t="shared" si="69"/>
        <v>1</v>
      </c>
      <c r="AN156" s="34">
        <f t="shared" si="69"/>
        <v>1</v>
      </c>
      <c r="AO156" s="34">
        <f t="shared" si="69"/>
        <v>1</v>
      </c>
      <c r="AP156" s="54"/>
      <c r="AQ156" s="1"/>
    </row>
    <row r="157" ht="15.75" customHeight="1">
      <c r="A157" s="1"/>
      <c r="B157" s="35"/>
      <c r="C157" s="35"/>
      <c r="D157" s="35"/>
      <c r="E157" s="33" t="s">
        <v>24</v>
      </c>
      <c r="F157" s="36" t="s">
        <v>25</v>
      </c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8"/>
      <c r="T157" s="37"/>
      <c r="U157" s="38"/>
      <c r="V157" s="37"/>
      <c r="W157" s="37"/>
      <c r="X157" s="37"/>
      <c r="Y157" s="37"/>
      <c r="Z157" s="37"/>
      <c r="AA157" s="37"/>
      <c r="AB157" s="37"/>
      <c r="AC157" s="37"/>
      <c r="AD157" s="38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9">
        <f t="shared" ref="AP157:AP160" si="70">SUM(H157:AO157)</f>
        <v>0</v>
      </c>
      <c r="AQ157" s="1"/>
    </row>
    <row r="158" ht="15.75" customHeight="1">
      <c r="A158" s="51"/>
      <c r="B158" s="35"/>
      <c r="C158" s="35"/>
      <c r="D158" s="35"/>
      <c r="E158" s="47"/>
      <c r="F158" s="40" t="s">
        <v>26</v>
      </c>
      <c r="G158" s="49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50">
        <f t="shared" si="70"/>
        <v>0</v>
      </c>
      <c r="AQ158" s="51"/>
    </row>
    <row r="159" ht="15.75" customHeight="1">
      <c r="A159" s="1"/>
      <c r="B159" s="35"/>
      <c r="C159" s="35"/>
      <c r="D159" s="35"/>
      <c r="E159" s="33" t="s">
        <v>27</v>
      </c>
      <c r="F159" s="41" t="s">
        <v>28</v>
      </c>
      <c r="G159" s="37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7"/>
      <c r="AP159" s="39">
        <f t="shared" si="70"/>
        <v>0</v>
      </c>
      <c r="AQ159" s="1"/>
    </row>
    <row r="160" ht="15.75" customHeight="1">
      <c r="A160" s="1"/>
      <c r="B160" s="35"/>
      <c r="C160" s="35"/>
      <c r="D160" s="35"/>
      <c r="E160" s="33"/>
      <c r="F160" s="41" t="s">
        <v>29</v>
      </c>
      <c r="G160" s="37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7"/>
      <c r="AP160" s="39">
        <f t="shared" si="70"/>
        <v>0</v>
      </c>
      <c r="AQ160" s="1"/>
    </row>
    <row r="161" ht="15.75" customHeight="1">
      <c r="A161" s="1"/>
      <c r="B161" s="42"/>
      <c r="C161" s="42"/>
      <c r="D161" s="42"/>
      <c r="E161" s="52"/>
      <c r="F161" s="43" t="s">
        <v>30</v>
      </c>
      <c r="G161" s="55"/>
      <c r="H161" s="34">
        <f t="shared" ref="H161:AN161" si="71">H156+H157-H158+H159-H160</f>
        <v>1</v>
      </c>
      <c r="I161" s="34">
        <f t="shared" si="71"/>
        <v>1</v>
      </c>
      <c r="J161" s="34">
        <f t="shared" si="71"/>
        <v>1</v>
      </c>
      <c r="K161" s="34">
        <f t="shared" si="71"/>
        <v>1</v>
      </c>
      <c r="L161" s="34">
        <f t="shared" si="71"/>
        <v>1</v>
      </c>
      <c r="M161" s="34">
        <f t="shared" si="71"/>
        <v>1</v>
      </c>
      <c r="N161" s="34">
        <f t="shared" si="71"/>
        <v>1</v>
      </c>
      <c r="O161" s="34">
        <f t="shared" si="71"/>
        <v>1</v>
      </c>
      <c r="P161" s="34">
        <f t="shared" si="71"/>
        <v>1</v>
      </c>
      <c r="Q161" s="34">
        <f t="shared" si="71"/>
        <v>1</v>
      </c>
      <c r="R161" s="34">
        <f t="shared" si="71"/>
        <v>1</v>
      </c>
      <c r="S161" s="34">
        <f t="shared" si="71"/>
        <v>1</v>
      </c>
      <c r="T161" s="34">
        <f t="shared" si="71"/>
        <v>1</v>
      </c>
      <c r="U161" s="34">
        <f t="shared" si="71"/>
        <v>1</v>
      </c>
      <c r="V161" s="34">
        <f t="shared" si="71"/>
        <v>1</v>
      </c>
      <c r="W161" s="34">
        <f t="shared" si="71"/>
        <v>1</v>
      </c>
      <c r="X161" s="34">
        <f t="shared" si="71"/>
        <v>1</v>
      </c>
      <c r="Y161" s="34">
        <f t="shared" si="71"/>
        <v>1</v>
      </c>
      <c r="Z161" s="34">
        <f t="shared" si="71"/>
        <v>1</v>
      </c>
      <c r="AA161" s="34">
        <f t="shared" si="71"/>
        <v>1</v>
      </c>
      <c r="AB161" s="34">
        <f t="shared" si="71"/>
        <v>1</v>
      </c>
      <c r="AC161" s="34">
        <f t="shared" si="71"/>
        <v>1</v>
      </c>
      <c r="AD161" s="34">
        <f t="shared" si="71"/>
        <v>1</v>
      </c>
      <c r="AE161" s="34">
        <f t="shared" si="71"/>
        <v>1</v>
      </c>
      <c r="AF161" s="34">
        <f t="shared" si="71"/>
        <v>1</v>
      </c>
      <c r="AG161" s="34">
        <f t="shared" si="71"/>
        <v>1</v>
      </c>
      <c r="AH161" s="34">
        <f t="shared" si="71"/>
        <v>1</v>
      </c>
      <c r="AI161" s="34">
        <f t="shared" si="71"/>
        <v>1</v>
      </c>
      <c r="AJ161" s="34">
        <f t="shared" si="71"/>
        <v>1</v>
      </c>
      <c r="AK161" s="34">
        <f t="shared" si="71"/>
        <v>1</v>
      </c>
      <c r="AL161" s="34">
        <f t="shared" si="71"/>
        <v>1</v>
      </c>
      <c r="AM161" s="34">
        <f t="shared" si="71"/>
        <v>1</v>
      </c>
      <c r="AN161" s="34">
        <f t="shared" si="71"/>
        <v>1</v>
      </c>
      <c r="AO161" s="34"/>
      <c r="AP161" s="45">
        <f>AO156</f>
        <v>1</v>
      </c>
      <c r="AQ161" s="1"/>
    </row>
    <row r="162" ht="15.75" customHeight="1">
      <c r="A162" s="1"/>
      <c r="B162" s="32"/>
      <c r="C162" s="32" t="s">
        <v>87</v>
      </c>
      <c r="D162" s="32" t="s">
        <v>88</v>
      </c>
      <c r="E162" s="13"/>
      <c r="F162" s="14" t="s">
        <v>23</v>
      </c>
      <c r="G162" s="44"/>
      <c r="H162" s="34">
        <v>1.0</v>
      </c>
      <c r="I162" s="34">
        <f t="shared" ref="I162:AO162" si="72">H167</f>
        <v>1</v>
      </c>
      <c r="J162" s="34">
        <f t="shared" si="72"/>
        <v>1</v>
      </c>
      <c r="K162" s="34">
        <f t="shared" si="72"/>
        <v>1</v>
      </c>
      <c r="L162" s="34">
        <f t="shared" si="72"/>
        <v>1</v>
      </c>
      <c r="M162" s="34">
        <f t="shared" si="72"/>
        <v>1</v>
      </c>
      <c r="N162" s="34">
        <f t="shared" si="72"/>
        <v>1</v>
      </c>
      <c r="O162" s="34">
        <f t="shared" si="72"/>
        <v>1</v>
      </c>
      <c r="P162" s="34">
        <f t="shared" si="72"/>
        <v>1</v>
      </c>
      <c r="Q162" s="34">
        <f t="shared" si="72"/>
        <v>32</v>
      </c>
      <c r="R162" s="34">
        <f t="shared" si="72"/>
        <v>32</v>
      </c>
      <c r="S162" s="34">
        <f t="shared" si="72"/>
        <v>32</v>
      </c>
      <c r="T162" s="34">
        <f t="shared" si="72"/>
        <v>0</v>
      </c>
      <c r="U162" s="34">
        <f t="shared" si="72"/>
        <v>0</v>
      </c>
      <c r="V162" s="34">
        <f t="shared" si="72"/>
        <v>0</v>
      </c>
      <c r="W162" s="34">
        <f t="shared" si="72"/>
        <v>0</v>
      </c>
      <c r="X162" s="34">
        <f t="shared" si="72"/>
        <v>0</v>
      </c>
      <c r="Y162" s="34">
        <f t="shared" si="72"/>
        <v>0</v>
      </c>
      <c r="Z162" s="34">
        <f t="shared" si="72"/>
        <v>0</v>
      </c>
      <c r="AA162" s="34">
        <f t="shared" si="72"/>
        <v>0</v>
      </c>
      <c r="AB162" s="34">
        <f t="shared" si="72"/>
        <v>0</v>
      </c>
      <c r="AC162" s="34">
        <f t="shared" si="72"/>
        <v>0</v>
      </c>
      <c r="AD162" s="34">
        <f t="shared" si="72"/>
        <v>0</v>
      </c>
      <c r="AE162" s="34">
        <f t="shared" si="72"/>
        <v>0</v>
      </c>
      <c r="AF162" s="34">
        <f t="shared" si="72"/>
        <v>0</v>
      </c>
      <c r="AG162" s="34">
        <f t="shared" si="72"/>
        <v>0</v>
      </c>
      <c r="AH162" s="34">
        <f t="shared" si="72"/>
        <v>0</v>
      </c>
      <c r="AI162" s="34">
        <f t="shared" si="72"/>
        <v>0</v>
      </c>
      <c r="AJ162" s="34">
        <f t="shared" si="72"/>
        <v>0</v>
      </c>
      <c r="AK162" s="34">
        <f t="shared" si="72"/>
        <v>0</v>
      </c>
      <c r="AL162" s="34">
        <f t="shared" si="72"/>
        <v>0</v>
      </c>
      <c r="AM162" s="34">
        <f t="shared" si="72"/>
        <v>0</v>
      </c>
      <c r="AN162" s="34">
        <f t="shared" si="72"/>
        <v>0</v>
      </c>
      <c r="AO162" s="34">
        <f t="shared" si="72"/>
        <v>0</v>
      </c>
      <c r="AP162" s="54"/>
      <c r="AQ162" s="1"/>
    </row>
    <row r="163" ht="15.75" customHeight="1">
      <c r="A163" s="1"/>
      <c r="B163" s="35"/>
      <c r="C163" s="35"/>
      <c r="D163" s="35"/>
      <c r="E163" s="33" t="s">
        <v>24</v>
      </c>
      <c r="F163" s="36" t="s">
        <v>25</v>
      </c>
      <c r="G163" s="37"/>
      <c r="H163" s="37"/>
      <c r="I163" s="37"/>
      <c r="J163" s="37"/>
      <c r="K163" s="37"/>
      <c r="L163" s="37"/>
      <c r="M163" s="37"/>
      <c r="N163" s="37"/>
      <c r="O163" s="37"/>
      <c r="P163" s="37">
        <v>31.0</v>
      </c>
      <c r="Q163" s="37"/>
      <c r="R163" s="37"/>
      <c r="S163" s="38"/>
      <c r="T163" s="37"/>
      <c r="U163" s="38"/>
      <c r="V163" s="37"/>
      <c r="W163" s="37"/>
      <c r="X163" s="37"/>
      <c r="Y163" s="37"/>
      <c r="Z163" s="37"/>
      <c r="AA163" s="37"/>
      <c r="AB163" s="37"/>
      <c r="AC163" s="37"/>
      <c r="AD163" s="38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9">
        <f t="shared" ref="AP163:AP166" si="73">SUM(H163:AO163)</f>
        <v>31</v>
      </c>
      <c r="AQ163" s="1"/>
    </row>
    <row r="164" ht="15.75" customHeight="1">
      <c r="A164" s="1"/>
      <c r="B164" s="35"/>
      <c r="C164" s="35"/>
      <c r="D164" s="35"/>
      <c r="E164" s="33"/>
      <c r="F164" s="40" t="s">
        <v>26</v>
      </c>
      <c r="G164" s="37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>
        <v>32.0</v>
      </c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9">
        <f t="shared" si="73"/>
        <v>32</v>
      </c>
      <c r="AQ164" s="1"/>
    </row>
    <row r="165" ht="15.75" customHeight="1">
      <c r="A165" s="1"/>
      <c r="B165" s="35"/>
      <c r="C165" s="35"/>
      <c r="D165" s="35"/>
      <c r="E165" s="33" t="s">
        <v>27</v>
      </c>
      <c r="F165" s="41" t="s">
        <v>28</v>
      </c>
      <c r="G165" s="37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7"/>
      <c r="AP165" s="39">
        <f t="shared" si="73"/>
        <v>0</v>
      </c>
      <c r="AQ165" s="1"/>
    </row>
    <row r="166" ht="15.75" customHeight="1">
      <c r="A166" s="1"/>
      <c r="B166" s="35"/>
      <c r="C166" s="35"/>
      <c r="D166" s="35"/>
      <c r="E166" s="33"/>
      <c r="F166" s="41" t="s">
        <v>29</v>
      </c>
      <c r="G166" s="37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7"/>
      <c r="AP166" s="39">
        <f t="shared" si="73"/>
        <v>0</v>
      </c>
      <c r="AQ166" s="1"/>
    </row>
    <row r="167" ht="15.75" customHeight="1">
      <c r="A167" s="1"/>
      <c r="B167" s="42"/>
      <c r="C167" s="42"/>
      <c r="D167" s="42"/>
      <c r="E167" s="52"/>
      <c r="F167" s="43" t="s">
        <v>30</v>
      </c>
      <c r="G167" s="55"/>
      <c r="H167" s="34">
        <f t="shared" ref="H167:AN167" si="74">H162+H163-H164+H165-H166</f>
        <v>1</v>
      </c>
      <c r="I167" s="34">
        <f t="shared" si="74"/>
        <v>1</v>
      </c>
      <c r="J167" s="34">
        <f t="shared" si="74"/>
        <v>1</v>
      </c>
      <c r="K167" s="34">
        <f t="shared" si="74"/>
        <v>1</v>
      </c>
      <c r="L167" s="34">
        <f t="shared" si="74"/>
        <v>1</v>
      </c>
      <c r="M167" s="34">
        <f t="shared" si="74"/>
        <v>1</v>
      </c>
      <c r="N167" s="34">
        <f t="shared" si="74"/>
        <v>1</v>
      </c>
      <c r="O167" s="34">
        <f t="shared" si="74"/>
        <v>1</v>
      </c>
      <c r="P167" s="34">
        <f t="shared" si="74"/>
        <v>32</v>
      </c>
      <c r="Q167" s="34">
        <f t="shared" si="74"/>
        <v>32</v>
      </c>
      <c r="R167" s="34">
        <f t="shared" si="74"/>
        <v>32</v>
      </c>
      <c r="S167" s="34">
        <f t="shared" si="74"/>
        <v>0</v>
      </c>
      <c r="T167" s="34">
        <f t="shared" si="74"/>
        <v>0</v>
      </c>
      <c r="U167" s="34">
        <f t="shared" si="74"/>
        <v>0</v>
      </c>
      <c r="V167" s="34">
        <f t="shared" si="74"/>
        <v>0</v>
      </c>
      <c r="W167" s="34">
        <f t="shared" si="74"/>
        <v>0</v>
      </c>
      <c r="X167" s="34">
        <f t="shared" si="74"/>
        <v>0</v>
      </c>
      <c r="Y167" s="34">
        <f t="shared" si="74"/>
        <v>0</v>
      </c>
      <c r="Z167" s="34">
        <f t="shared" si="74"/>
        <v>0</v>
      </c>
      <c r="AA167" s="34">
        <f t="shared" si="74"/>
        <v>0</v>
      </c>
      <c r="AB167" s="34">
        <f t="shared" si="74"/>
        <v>0</v>
      </c>
      <c r="AC167" s="34">
        <f t="shared" si="74"/>
        <v>0</v>
      </c>
      <c r="AD167" s="34">
        <f t="shared" si="74"/>
        <v>0</v>
      </c>
      <c r="AE167" s="34">
        <f t="shared" si="74"/>
        <v>0</v>
      </c>
      <c r="AF167" s="34">
        <f t="shared" si="74"/>
        <v>0</v>
      </c>
      <c r="AG167" s="34">
        <f t="shared" si="74"/>
        <v>0</v>
      </c>
      <c r="AH167" s="34">
        <f t="shared" si="74"/>
        <v>0</v>
      </c>
      <c r="AI167" s="34">
        <f t="shared" si="74"/>
        <v>0</v>
      </c>
      <c r="AJ167" s="34">
        <f t="shared" si="74"/>
        <v>0</v>
      </c>
      <c r="AK167" s="34">
        <f t="shared" si="74"/>
        <v>0</v>
      </c>
      <c r="AL167" s="34">
        <f t="shared" si="74"/>
        <v>0</v>
      </c>
      <c r="AM167" s="34">
        <f t="shared" si="74"/>
        <v>0</v>
      </c>
      <c r="AN167" s="34">
        <f t="shared" si="74"/>
        <v>0</v>
      </c>
      <c r="AO167" s="34"/>
      <c r="AP167" s="45">
        <f>AO162</f>
        <v>0</v>
      </c>
      <c r="AQ167" s="1"/>
    </row>
    <row r="168" ht="15.75" customHeight="1">
      <c r="A168" s="1"/>
      <c r="B168" s="32"/>
      <c r="C168" s="32" t="s">
        <v>89</v>
      </c>
      <c r="D168" s="32" t="s">
        <v>90</v>
      </c>
      <c r="E168" s="13"/>
      <c r="F168" s="14" t="s">
        <v>23</v>
      </c>
      <c r="G168" s="44"/>
      <c r="H168" s="34">
        <v>0.0</v>
      </c>
      <c r="I168" s="34">
        <f t="shared" ref="I168:AO168" si="75">H173</f>
        <v>0</v>
      </c>
      <c r="J168" s="34">
        <f t="shared" si="75"/>
        <v>0</v>
      </c>
      <c r="K168" s="34">
        <f t="shared" si="75"/>
        <v>0</v>
      </c>
      <c r="L168" s="34">
        <f t="shared" si="75"/>
        <v>0</v>
      </c>
      <c r="M168" s="34">
        <f t="shared" si="75"/>
        <v>0</v>
      </c>
      <c r="N168" s="34">
        <f t="shared" si="75"/>
        <v>0</v>
      </c>
      <c r="O168" s="34">
        <f t="shared" si="75"/>
        <v>0</v>
      </c>
      <c r="P168" s="34">
        <f t="shared" si="75"/>
        <v>0</v>
      </c>
      <c r="Q168" s="34">
        <f t="shared" si="75"/>
        <v>0</v>
      </c>
      <c r="R168" s="34">
        <f t="shared" si="75"/>
        <v>0</v>
      </c>
      <c r="S168" s="34">
        <f t="shared" si="75"/>
        <v>0</v>
      </c>
      <c r="T168" s="34">
        <f t="shared" si="75"/>
        <v>0</v>
      </c>
      <c r="U168" s="34">
        <f t="shared" si="75"/>
        <v>0</v>
      </c>
      <c r="V168" s="34">
        <f t="shared" si="75"/>
        <v>0</v>
      </c>
      <c r="W168" s="34">
        <f t="shared" si="75"/>
        <v>0</v>
      </c>
      <c r="X168" s="34">
        <f t="shared" si="75"/>
        <v>0</v>
      </c>
      <c r="Y168" s="34">
        <f t="shared" si="75"/>
        <v>0</v>
      </c>
      <c r="Z168" s="34">
        <f t="shared" si="75"/>
        <v>0</v>
      </c>
      <c r="AA168" s="34">
        <f t="shared" si="75"/>
        <v>0</v>
      </c>
      <c r="AB168" s="34">
        <f t="shared" si="75"/>
        <v>0</v>
      </c>
      <c r="AC168" s="34">
        <f t="shared" si="75"/>
        <v>0</v>
      </c>
      <c r="AD168" s="34">
        <f t="shared" si="75"/>
        <v>0</v>
      </c>
      <c r="AE168" s="34">
        <f t="shared" si="75"/>
        <v>0</v>
      </c>
      <c r="AF168" s="34">
        <f t="shared" si="75"/>
        <v>0</v>
      </c>
      <c r="AG168" s="34">
        <f t="shared" si="75"/>
        <v>0</v>
      </c>
      <c r="AH168" s="34">
        <f t="shared" si="75"/>
        <v>0</v>
      </c>
      <c r="AI168" s="34">
        <f t="shared" si="75"/>
        <v>0</v>
      </c>
      <c r="AJ168" s="34">
        <f t="shared" si="75"/>
        <v>0</v>
      </c>
      <c r="AK168" s="34">
        <f t="shared" si="75"/>
        <v>0</v>
      </c>
      <c r="AL168" s="34">
        <f t="shared" si="75"/>
        <v>0</v>
      </c>
      <c r="AM168" s="34">
        <f t="shared" si="75"/>
        <v>0</v>
      </c>
      <c r="AN168" s="34">
        <f t="shared" si="75"/>
        <v>0</v>
      </c>
      <c r="AO168" s="34">
        <f t="shared" si="75"/>
        <v>0</v>
      </c>
      <c r="AP168" s="54"/>
      <c r="AQ168" s="1"/>
    </row>
    <row r="169" ht="15.75" customHeight="1">
      <c r="A169" s="1"/>
      <c r="B169" s="35"/>
      <c r="C169" s="35"/>
      <c r="D169" s="35"/>
      <c r="E169" s="33" t="s">
        <v>24</v>
      </c>
      <c r="F169" s="36" t="s">
        <v>25</v>
      </c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8"/>
      <c r="T169" s="37"/>
      <c r="U169" s="38"/>
      <c r="V169" s="37"/>
      <c r="W169" s="37"/>
      <c r="X169" s="37"/>
      <c r="Y169" s="37"/>
      <c r="Z169" s="37"/>
      <c r="AA169" s="37"/>
      <c r="AB169" s="37"/>
      <c r="AC169" s="37"/>
      <c r="AD169" s="38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9">
        <f t="shared" ref="AP169:AP172" si="76">SUM(H169:AO169)</f>
        <v>0</v>
      </c>
      <c r="AQ169" s="1"/>
    </row>
    <row r="170" ht="15.75" customHeight="1">
      <c r="A170" s="51"/>
      <c r="B170" s="35"/>
      <c r="C170" s="35"/>
      <c r="D170" s="35"/>
      <c r="E170" s="47"/>
      <c r="F170" s="40" t="s">
        <v>26</v>
      </c>
      <c r="G170" s="49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50">
        <f t="shared" si="76"/>
        <v>0</v>
      </c>
      <c r="AQ170" s="51"/>
    </row>
    <row r="171" ht="15.75" customHeight="1">
      <c r="A171" s="1"/>
      <c r="B171" s="35"/>
      <c r="C171" s="35"/>
      <c r="D171" s="35"/>
      <c r="E171" s="33" t="s">
        <v>27</v>
      </c>
      <c r="F171" s="41" t="s">
        <v>28</v>
      </c>
      <c r="G171" s="37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7"/>
      <c r="AP171" s="39">
        <f t="shared" si="76"/>
        <v>0</v>
      </c>
      <c r="AQ171" s="1"/>
    </row>
    <row r="172" ht="15.75" customHeight="1">
      <c r="A172" s="1"/>
      <c r="B172" s="35"/>
      <c r="C172" s="35"/>
      <c r="D172" s="35"/>
      <c r="E172" s="33"/>
      <c r="F172" s="41" t="s">
        <v>29</v>
      </c>
      <c r="G172" s="37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7"/>
      <c r="AP172" s="39">
        <f t="shared" si="76"/>
        <v>0</v>
      </c>
      <c r="AQ172" s="1"/>
    </row>
    <row r="173" ht="15.75" customHeight="1">
      <c r="A173" s="1"/>
      <c r="B173" s="42"/>
      <c r="C173" s="42"/>
      <c r="D173" s="42"/>
      <c r="E173" s="52"/>
      <c r="F173" s="43" t="s">
        <v>30</v>
      </c>
      <c r="G173" s="55"/>
      <c r="H173" s="34">
        <f t="shared" ref="H173:AN173" si="77">H168+H169-H170+H171-H172</f>
        <v>0</v>
      </c>
      <c r="I173" s="34">
        <f t="shared" si="77"/>
        <v>0</v>
      </c>
      <c r="J173" s="34">
        <f t="shared" si="77"/>
        <v>0</v>
      </c>
      <c r="K173" s="34">
        <f t="shared" si="77"/>
        <v>0</v>
      </c>
      <c r="L173" s="34">
        <f t="shared" si="77"/>
        <v>0</v>
      </c>
      <c r="M173" s="34">
        <f t="shared" si="77"/>
        <v>0</v>
      </c>
      <c r="N173" s="34">
        <f t="shared" si="77"/>
        <v>0</v>
      </c>
      <c r="O173" s="34">
        <f t="shared" si="77"/>
        <v>0</v>
      </c>
      <c r="P173" s="34">
        <f t="shared" si="77"/>
        <v>0</v>
      </c>
      <c r="Q173" s="34">
        <f t="shared" si="77"/>
        <v>0</v>
      </c>
      <c r="R173" s="34">
        <f t="shared" si="77"/>
        <v>0</v>
      </c>
      <c r="S173" s="34">
        <f t="shared" si="77"/>
        <v>0</v>
      </c>
      <c r="T173" s="34">
        <f t="shared" si="77"/>
        <v>0</v>
      </c>
      <c r="U173" s="34">
        <f t="shared" si="77"/>
        <v>0</v>
      </c>
      <c r="V173" s="34">
        <f t="shared" si="77"/>
        <v>0</v>
      </c>
      <c r="W173" s="34">
        <f t="shared" si="77"/>
        <v>0</v>
      </c>
      <c r="X173" s="34">
        <f t="shared" si="77"/>
        <v>0</v>
      </c>
      <c r="Y173" s="34">
        <f t="shared" si="77"/>
        <v>0</v>
      </c>
      <c r="Z173" s="34">
        <f t="shared" si="77"/>
        <v>0</v>
      </c>
      <c r="AA173" s="34">
        <f t="shared" si="77"/>
        <v>0</v>
      </c>
      <c r="AB173" s="34">
        <f t="shared" si="77"/>
        <v>0</v>
      </c>
      <c r="AC173" s="34">
        <f t="shared" si="77"/>
        <v>0</v>
      </c>
      <c r="AD173" s="34">
        <f t="shared" si="77"/>
        <v>0</v>
      </c>
      <c r="AE173" s="34">
        <f t="shared" si="77"/>
        <v>0</v>
      </c>
      <c r="AF173" s="34">
        <f t="shared" si="77"/>
        <v>0</v>
      </c>
      <c r="AG173" s="34">
        <f t="shared" si="77"/>
        <v>0</v>
      </c>
      <c r="AH173" s="34">
        <f t="shared" si="77"/>
        <v>0</v>
      </c>
      <c r="AI173" s="34">
        <f t="shared" si="77"/>
        <v>0</v>
      </c>
      <c r="AJ173" s="34">
        <f t="shared" si="77"/>
        <v>0</v>
      </c>
      <c r="AK173" s="34">
        <f t="shared" si="77"/>
        <v>0</v>
      </c>
      <c r="AL173" s="34">
        <f t="shared" si="77"/>
        <v>0</v>
      </c>
      <c r="AM173" s="34">
        <f t="shared" si="77"/>
        <v>0</v>
      </c>
      <c r="AN173" s="34">
        <f t="shared" si="77"/>
        <v>0</v>
      </c>
      <c r="AO173" s="34"/>
      <c r="AP173" s="45">
        <f>AO168</f>
        <v>0</v>
      </c>
      <c r="AQ173" s="1"/>
    </row>
    <row r="174" ht="15.75" customHeight="1">
      <c r="A174" s="1"/>
      <c r="B174" s="32"/>
      <c r="C174" s="32" t="s">
        <v>91</v>
      </c>
      <c r="D174" s="32" t="s">
        <v>92</v>
      </c>
      <c r="E174" s="13"/>
      <c r="F174" s="14" t="s">
        <v>23</v>
      </c>
      <c r="G174" s="44"/>
      <c r="H174" s="21">
        <v>26.0</v>
      </c>
      <c r="I174" s="21">
        <f t="shared" ref="I174:AO174" si="78">H181</f>
        <v>26</v>
      </c>
      <c r="J174" s="21">
        <f t="shared" si="78"/>
        <v>26</v>
      </c>
      <c r="K174" s="21">
        <f t="shared" si="78"/>
        <v>49</v>
      </c>
      <c r="L174" s="21">
        <f t="shared" si="78"/>
        <v>49</v>
      </c>
      <c r="M174" s="21">
        <f t="shared" si="78"/>
        <v>49</v>
      </c>
      <c r="N174" s="21">
        <f t="shared" si="78"/>
        <v>49</v>
      </c>
      <c r="O174" s="21">
        <f t="shared" si="78"/>
        <v>49</v>
      </c>
      <c r="P174" s="21">
        <f t="shared" si="78"/>
        <v>52</v>
      </c>
      <c r="Q174" s="21">
        <f t="shared" si="78"/>
        <v>50</v>
      </c>
      <c r="R174" s="21">
        <f t="shared" si="78"/>
        <v>55</v>
      </c>
      <c r="S174" s="21">
        <f t="shared" si="78"/>
        <v>14</v>
      </c>
      <c r="T174" s="21">
        <f t="shared" si="78"/>
        <v>14</v>
      </c>
      <c r="U174" s="21">
        <f t="shared" si="78"/>
        <v>14</v>
      </c>
      <c r="V174" s="21">
        <f t="shared" si="78"/>
        <v>14</v>
      </c>
      <c r="W174" s="21">
        <f t="shared" si="78"/>
        <v>38</v>
      </c>
      <c r="X174" s="21">
        <f t="shared" si="78"/>
        <v>38</v>
      </c>
      <c r="Y174" s="21">
        <f t="shared" si="78"/>
        <v>38</v>
      </c>
      <c r="Z174" s="21">
        <f t="shared" si="78"/>
        <v>38</v>
      </c>
      <c r="AA174" s="21">
        <f t="shared" si="78"/>
        <v>38</v>
      </c>
      <c r="AB174" s="21">
        <f t="shared" si="78"/>
        <v>104</v>
      </c>
      <c r="AC174" s="21">
        <f t="shared" si="78"/>
        <v>104</v>
      </c>
      <c r="AD174" s="21">
        <f t="shared" si="78"/>
        <v>104</v>
      </c>
      <c r="AE174" s="21">
        <f t="shared" si="78"/>
        <v>104</v>
      </c>
      <c r="AF174" s="21">
        <f t="shared" si="78"/>
        <v>104</v>
      </c>
      <c r="AG174" s="21">
        <f t="shared" si="78"/>
        <v>104</v>
      </c>
      <c r="AH174" s="21">
        <f t="shared" si="78"/>
        <v>104</v>
      </c>
      <c r="AI174" s="21">
        <f t="shared" si="78"/>
        <v>104</v>
      </c>
      <c r="AJ174" s="21">
        <f t="shared" si="78"/>
        <v>104</v>
      </c>
      <c r="AK174" s="21">
        <f t="shared" si="78"/>
        <v>104</v>
      </c>
      <c r="AL174" s="21">
        <f t="shared" si="78"/>
        <v>104</v>
      </c>
      <c r="AM174" s="21">
        <f t="shared" si="78"/>
        <v>104</v>
      </c>
      <c r="AN174" s="21">
        <f t="shared" si="78"/>
        <v>104</v>
      </c>
      <c r="AO174" s="21">
        <f t="shared" si="78"/>
        <v>104</v>
      </c>
      <c r="AP174" s="54"/>
      <c r="AQ174" s="1"/>
    </row>
    <row r="175" ht="15.0" customHeight="1">
      <c r="A175" s="1"/>
      <c r="B175" s="35"/>
      <c r="C175" s="35"/>
      <c r="D175" s="35"/>
      <c r="E175" s="33" t="s">
        <v>24</v>
      </c>
      <c r="F175" s="36" t="s">
        <v>25</v>
      </c>
      <c r="G175" s="37"/>
      <c r="H175" s="37"/>
      <c r="I175" s="37"/>
      <c r="J175" s="37">
        <v>23.0</v>
      </c>
      <c r="K175" s="37"/>
      <c r="L175" s="37"/>
      <c r="M175" s="37"/>
      <c r="N175" s="37"/>
      <c r="O175" s="37">
        <v>3.0</v>
      </c>
      <c r="P175" s="37">
        <v>48.0</v>
      </c>
      <c r="Q175" s="37">
        <v>5.0</v>
      </c>
      <c r="R175" s="37">
        <v>9.0</v>
      </c>
      <c r="S175" s="38"/>
      <c r="T175" s="37"/>
      <c r="U175" s="38"/>
      <c r="V175" s="37">
        <v>24.0</v>
      </c>
      <c r="W175" s="37"/>
      <c r="X175" s="37"/>
      <c r="Y175" s="37"/>
      <c r="Z175" s="37"/>
      <c r="AA175" s="37">
        <v>66.0</v>
      </c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9">
        <f>SUM(H175:AO175)</f>
        <v>178</v>
      </c>
      <c r="AQ175" s="1"/>
    </row>
    <row r="176" ht="15.0" customHeight="1">
      <c r="A176" s="1"/>
      <c r="B176" s="35"/>
      <c r="C176" s="35"/>
      <c r="D176" s="35"/>
      <c r="E176" s="33" t="s">
        <v>93</v>
      </c>
      <c r="F176" s="36" t="s">
        <v>67</v>
      </c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8"/>
      <c r="T176" s="37"/>
      <c r="U176" s="38"/>
      <c r="V176" s="37"/>
      <c r="W176" s="37"/>
      <c r="X176" s="37"/>
      <c r="Y176" s="37"/>
      <c r="Z176" s="37"/>
      <c r="AA176" s="37"/>
      <c r="AB176" s="37"/>
      <c r="AC176" s="37"/>
      <c r="AD176" s="38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9"/>
      <c r="AQ176" s="1"/>
    </row>
    <row r="177" ht="15.0" customHeight="1">
      <c r="A177" s="1"/>
      <c r="B177" s="35"/>
      <c r="C177" s="35"/>
      <c r="D177" s="35"/>
      <c r="E177" s="33"/>
      <c r="F177" s="36" t="s">
        <v>94</v>
      </c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8"/>
      <c r="T177" s="37"/>
      <c r="U177" s="38"/>
      <c r="V177" s="37"/>
      <c r="W177" s="37"/>
      <c r="X177" s="37"/>
      <c r="Y177" s="37"/>
      <c r="Z177" s="37"/>
      <c r="AA177" s="37"/>
      <c r="AB177" s="37"/>
      <c r="AC177" s="37"/>
      <c r="AD177" s="38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9">
        <f t="shared" ref="AP177:AP180" si="79">SUM(H177:AO177)</f>
        <v>0</v>
      </c>
      <c r="AQ177" s="1"/>
    </row>
    <row r="178" ht="15.0" customHeight="1">
      <c r="A178" s="51"/>
      <c r="B178" s="35"/>
      <c r="C178" s="35"/>
      <c r="D178" s="35"/>
      <c r="E178" s="47"/>
      <c r="F178" s="40" t="s">
        <v>26</v>
      </c>
      <c r="G178" s="49"/>
      <c r="H178" s="49"/>
      <c r="I178" s="49"/>
      <c r="J178" s="49"/>
      <c r="K178" s="49"/>
      <c r="L178" s="49"/>
      <c r="M178" s="49"/>
      <c r="N178" s="49"/>
      <c r="O178" s="49"/>
      <c r="P178" s="49">
        <v>50.0</v>
      </c>
      <c r="Q178" s="49"/>
      <c r="R178" s="49">
        <v>50.0</v>
      </c>
      <c r="S178" s="48"/>
      <c r="T178" s="49"/>
      <c r="U178" s="48"/>
      <c r="V178" s="49"/>
      <c r="W178" s="49"/>
      <c r="X178" s="49"/>
      <c r="Y178" s="49"/>
      <c r="Z178" s="49"/>
      <c r="AA178" s="49"/>
      <c r="AB178" s="49"/>
      <c r="AC178" s="49"/>
      <c r="AD178" s="48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50">
        <f t="shared" si="79"/>
        <v>100</v>
      </c>
      <c r="AQ178" s="51"/>
    </row>
    <row r="179" ht="15.0" customHeight="1">
      <c r="A179" s="1"/>
      <c r="B179" s="35"/>
      <c r="C179" s="35"/>
      <c r="D179" s="35"/>
      <c r="E179" s="33" t="s">
        <v>27</v>
      </c>
      <c r="F179" s="41" t="s">
        <v>28</v>
      </c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8"/>
      <c r="T179" s="37"/>
      <c r="U179" s="38"/>
      <c r="V179" s="37"/>
      <c r="W179" s="37"/>
      <c r="X179" s="37"/>
      <c r="Y179" s="37"/>
      <c r="Z179" s="37"/>
      <c r="AA179" s="37"/>
      <c r="AB179" s="37"/>
      <c r="AC179" s="37"/>
      <c r="AD179" s="38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9">
        <f t="shared" si="79"/>
        <v>0</v>
      </c>
      <c r="AQ179" s="1"/>
    </row>
    <row r="180" ht="15.0" customHeight="1">
      <c r="A180" s="1"/>
      <c r="B180" s="35"/>
      <c r="C180" s="35"/>
      <c r="D180" s="35"/>
      <c r="E180" s="33"/>
      <c r="F180" s="41" t="s">
        <v>29</v>
      </c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8"/>
      <c r="T180" s="37"/>
      <c r="U180" s="38"/>
      <c r="V180" s="37"/>
      <c r="W180" s="37"/>
      <c r="X180" s="37"/>
      <c r="Y180" s="37"/>
      <c r="Z180" s="37"/>
      <c r="AA180" s="37"/>
      <c r="AB180" s="37"/>
      <c r="AC180" s="37"/>
      <c r="AD180" s="38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9">
        <f t="shared" si="79"/>
        <v>0</v>
      </c>
      <c r="AQ180" s="1"/>
    </row>
    <row r="181" ht="15.75" customHeight="1">
      <c r="A181" s="1"/>
      <c r="B181" s="42"/>
      <c r="C181" s="42"/>
      <c r="D181" s="42"/>
      <c r="E181" s="52"/>
      <c r="F181" s="43" t="s">
        <v>30</v>
      </c>
      <c r="G181" s="44"/>
      <c r="H181" s="34">
        <f t="shared" ref="H181:AN181" si="80">H174+H175+H176+H177-H178+H179-H180</f>
        <v>26</v>
      </c>
      <c r="I181" s="34">
        <f t="shared" si="80"/>
        <v>26</v>
      </c>
      <c r="J181" s="34">
        <f t="shared" si="80"/>
        <v>49</v>
      </c>
      <c r="K181" s="34">
        <f t="shared" si="80"/>
        <v>49</v>
      </c>
      <c r="L181" s="34">
        <f t="shared" si="80"/>
        <v>49</v>
      </c>
      <c r="M181" s="34">
        <f t="shared" si="80"/>
        <v>49</v>
      </c>
      <c r="N181" s="34">
        <f t="shared" si="80"/>
        <v>49</v>
      </c>
      <c r="O181" s="34">
        <f t="shared" si="80"/>
        <v>52</v>
      </c>
      <c r="P181" s="34">
        <f t="shared" si="80"/>
        <v>50</v>
      </c>
      <c r="Q181" s="34">
        <f t="shared" si="80"/>
        <v>55</v>
      </c>
      <c r="R181" s="34">
        <f t="shared" si="80"/>
        <v>14</v>
      </c>
      <c r="S181" s="34">
        <f t="shared" si="80"/>
        <v>14</v>
      </c>
      <c r="T181" s="34">
        <f t="shared" si="80"/>
        <v>14</v>
      </c>
      <c r="U181" s="34">
        <f t="shared" si="80"/>
        <v>14</v>
      </c>
      <c r="V181" s="34">
        <f t="shared" si="80"/>
        <v>38</v>
      </c>
      <c r="W181" s="34">
        <f t="shared" si="80"/>
        <v>38</v>
      </c>
      <c r="X181" s="34">
        <f t="shared" si="80"/>
        <v>38</v>
      </c>
      <c r="Y181" s="34">
        <f t="shared" si="80"/>
        <v>38</v>
      </c>
      <c r="Z181" s="34">
        <f t="shared" si="80"/>
        <v>38</v>
      </c>
      <c r="AA181" s="34">
        <f t="shared" si="80"/>
        <v>104</v>
      </c>
      <c r="AB181" s="34">
        <f t="shared" si="80"/>
        <v>104</v>
      </c>
      <c r="AC181" s="34">
        <f t="shared" si="80"/>
        <v>104</v>
      </c>
      <c r="AD181" s="34">
        <f t="shared" si="80"/>
        <v>104</v>
      </c>
      <c r="AE181" s="34">
        <f t="shared" si="80"/>
        <v>104</v>
      </c>
      <c r="AF181" s="34">
        <f t="shared" si="80"/>
        <v>104</v>
      </c>
      <c r="AG181" s="34">
        <f t="shared" si="80"/>
        <v>104</v>
      </c>
      <c r="AH181" s="34">
        <f t="shared" si="80"/>
        <v>104</v>
      </c>
      <c r="AI181" s="34">
        <f t="shared" si="80"/>
        <v>104</v>
      </c>
      <c r="AJ181" s="34">
        <f t="shared" si="80"/>
        <v>104</v>
      </c>
      <c r="AK181" s="34">
        <f t="shared" si="80"/>
        <v>104</v>
      </c>
      <c r="AL181" s="34">
        <f t="shared" si="80"/>
        <v>104</v>
      </c>
      <c r="AM181" s="34">
        <f t="shared" si="80"/>
        <v>104</v>
      </c>
      <c r="AN181" s="34">
        <f t="shared" si="80"/>
        <v>104</v>
      </c>
      <c r="AO181" s="34"/>
      <c r="AP181" s="45">
        <f>AO174</f>
        <v>104</v>
      </c>
      <c r="AQ181" s="1"/>
    </row>
    <row r="182" ht="15.75" customHeight="1">
      <c r="A182" s="1"/>
      <c r="B182" s="32"/>
      <c r="C182" s="57" t="s">
        <v>95</v>
      </c>
      <c r="D182" s="32" t="s">
        <v>96</v>
      </c>
      <c r="E182" s="33"/>
      <c r="F182" s="14" t="s">
        <v>23</v>
      </c>
      <c r="G182" s="44"/>
      <c r="H182" s="21" t="str">
        <f t="shared" ref="H182:AO182" si="81">G189</f>
        <v/>
      </c>
      <c r="I182" s="21">
        <f t="shared" si="81"/>
        <v>0</v>
      </c>
      <c r="J182" s="21">
        <f t="shared" si="81"/>
        <v>0</v>
      </c>
      <c r="K182" s="21">
        <f t="shared" si="81"/>
        <v>0</v>
      </c>
      <c r="L182" s="21">
        <f t="shared" si="81"/>
        <v>0</v>
      </c>
      <c r="M182" s="21">
        <f t="shared" si="81"/>
        <v>0</v>
      </c>
      <c r="N182" s="21">
        <f t="shared" si="81"/>
        <v>0</v>
      </c>
      <c r="O182" s="21">
        <f t="shared" si="81"/>
        <v>0</v>
      </c>
      <c r="P182" s="21">
        <f t="shared" si="81"/>
        <v>0</v>
      </c>
      <c r="Q182" s="21">
        <f t="shared" si="81"/>
        <v>0</v>
      </c>
      <c r="R182" s="21">
        <f t="shared" si="81"/>
        <v>0</v>
      </c>
      <c r="S182" s="21">
        <f t="shared" si="81"/>
        <v>0</v>
      </c>
      <c r="T182" s="21">
        <f t="shared" si="81"/>
        <v>0</v>
      </c>
      <c r="U182" s="21">
        <f t="shared" si="81"/>
        <v>0</v>
      </c>
      <c r="V182" s="21">
        <f t="shared" si="81"/>
        <v>0</v>
      </c>
      <c r="W182" s="21">
        <f t="shared" si="81"/>
        <v>0</v>
      </c>
      <c r="X182" s="21">
        <f t="shared" si="81"/>
        <v>0</v>
      </c>
      <c r="Y182" s="21">
        <f t="shared" si="81"/>
        <v>0</v>
      </c>
      <c r="Z182" s="21">
        <f t="shared" si="81"/>
        <v>0</v>
      </c>
      <c r="AA182" s="21">
        <f t="shared" si="81"/>
        <v>0</v>
      </c>
      <c r="AB182" s="21">
        <f t="shared" si="81"/>
        <v>0</v>
      </c>
      <c r="AC182" s="21">
        <f t="shared" si="81"/>
        <v>0</v>
      </c>
      <c r="AD182" s="21">
        <f t="shared" si="81"/>
        <v>0</v>
      </c>
      <c r="AE182" s="21">
        <f t="shared" si="81"/>
        <v>0</v>
      </c>
      <c r="AF182" s="21">
        <f t="shared" si="81"/>
        <v>0</v>
      </c>
      <c r="AG182" s="21">
        <f t="shared" si="81"/>
        <v>0</v>
      </c>
      <c r="AH182" s="21">
        <f t="shared" si="81"/>
        <v>0</v>
      </c>
      <c r="AI182" s="21">
        <f t="shared" si="81"/>
        <v>0</v>
      </c>
      <c r="AJ182" s="21">
        <f t="shared" si="81"/>
        <v>0</v>
      </c>
      <c r="AK182" s="21">
        <f t="shared" si="81"/>
        <v>0</v>
      </c>
      <c r="AL182" s="21">
        <f t="shared" si="81"/>
        <v>0</v>
      </c>
      <c r="AM182" s="21">
        <f t="shared" si="81"/>
        <v>0</v>
      </c>
      <c r="AN182" s="21">
        <f t="shared" si="81"/>
        <v>0</v>
      </c>
      <c r="AO182" s="21">
        <f t="shared" si="81"/>
        <v>0</v>
      </c>
      <c r="AP182" s="54"/>
      <c r="AQ182" s="1"/>
    </row>
    <row r="183" ht="15.75" customHeight="1">
      <c r="A183" s="1"/>
      <c r="B183" s="35"/>
      <c r="C183" s="35"/>
      <c r="D183" s="35"/>
      <c r="E183" s="33" t="s">
        <v>24</v>
      </c>
      <c r="F183" s="36" t="s">
        <v>25</v>
      </c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8"/>
      <c r="T183" s="37"/>
      <c r="U183" s="38"/>
      <c r="V183" s="37"/>
      <c r="W183" s="37"/>
      <c r="X183" s="37"/>
      <c r="Y183" s="37"/>
      <c r="Z183" s="37"/>
      <c r="AA183" s="37"/>
      <c r="AB183" s="37"/>
      <c r="AC183" s="37"/>
      <c r="AD183" s="38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9">
        <f>SUM(H183:AO183)</f>
        <v>0</v>
      </c>
      <c r="AQ183" s="1"/>
    </row>
    <row r="184" ht="15.75" customHeight="1">
      <c r="A184" s="1"/>
      <c r="B184" s="35"/>
      <c r="C184" s="35"/>
      <c r="D184" s="35"/>
      <c r="E184" s="33" t="s">
        <v>66</v>
      </c>
      <c r="F184" s="36" t="s">
        <v>67</v>
      </c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8"/>
      <c r="T184" s="37"/>
      <c r="U184" s="38"/>
      <c r="V184" s="37"/>
      <c r="W184" s="37"/>
      <c r="X184" s="37"/>
      <c r="Y184" s="37"/>
      <c r="Z184" s="37"/>
      <c r="AA184" s="37"/>
      <c r="AB184" s="37"/>
      <c r="AC184" s="37"/>
      <c r="AD184" s="38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9"/>
      <c r="AQ184" s="1"/>
    </row>
    <row r="185" ht="15.75" customHeight="1">
      <c r="A185" s="1"/>
      <c r="B185" s="35"/>
      <c r="C185" s="35"/>
      <c r="D185" s="35"/>
      <c r="E185" s="33"/>
      <c r="F185" s="36" t="s">
        <v>94</v>
      </c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8"/>
      <c r="T185" s="37"/>
      <c r="U185" s="38"/>
      <c r="V185" s="37"/>
      <c r="W185" s="37"/>
      <c r="X185" s="37"/>
      <c r="Y185" s="37"/>
      <c r="Z185" s="37"/>
      <c r="AA185" s="37"/>
      <c r="AB185" s="37"/>
      <c r="AC185" s="37"/>
      <c r="AD185" s="38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9">
        <f t="shared" ref="AP185:AP188" si="82">SUM(H185:AO185)</f>
        <v>0</v>
      </c>
      <c r="AQ185" s="1"/>
    </row>
    <row r="186" ht="15.75" customHeight="1">
      <c r="A186" s="1"/>
      <c r="B186" s="35"/>
      <c r="C186" s="35"/>
      <c r="D186" s="35"/>
      <c r="E186" s="33"/>
      <c r="F186" s="40" t="s">
        <v>26</v>
      </c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8"/>
      <c r="T186" s="37"/>
      <c r="U186" s="38"/>
      <c r="V186" s="37"/>
      <c r="W186" s="37"/>
      <c r="X186" s="37"/>
      <c r="Y186" s="37"/>
      <c r="Z186" s="37"/>
      <c r="AA186" s="37"/>
      <c r="AB186" s="37"/>
      <c r="AC186" s="37"/>
      <c r="AD186" s="38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8"/>
      <c r="AP186" s="39">
        <f t="shared" si="82"/>
        <v>0</v>
      </c>
      <c r="AQ186" s="1"/>
    </row>
    <row r="187" ht="15.75" customHeight="1">
      <c r="A187" s="1"/>
      <c r="B187" s="35"/>
      <c r="C187" s="35"/>
      <c r="D187" s="35"/>
      <c r="E187" s="33" t="s">
        <v>27</v>
      </c>
      <c r="F187" s="41" t="s">
        <v>28</v>
      </c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8"/>
      <c r="T187" s="37"/>
      <c r="U187" s="38"/>
      <c r="V187" s="37"/>
      <c r="W187" s="37"/>
      <c r="X187" s="37"/>
      <c r="Y187" s="37"/>
      <c r="Z187" s="37"/>
      <c r="AA187" s="37"/>
      <c r="AB187" s="37"/>
      <c r="AC187" s="37"/>
      <c r="AD187" s="38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9">
        <f t="shared" si="82"/>
        <v>0</v>
      </c>
      <c r="AQ187" s="1"/>
    </row>
    <row r="188" ht="15.75" customHeight="1">
      <c r="A188" s="1"/>
      <c r="B188" s="35"/>
      <c r="C188" s="35"/>
      <c r="D188" s="35"/>
      <c r="E188" s="33"/>
      <c r="F188" s="41" t="s">
        <v>29</v>
      </c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8"/>
      <c r="T188" s="37"/>
      <c r="U188" s="38"/>
      <c r="V188" s="37"/>
      <c r="W188" s="37"/>
      <c r="X188" s="37"/>
      <c r="Y188" s="37"/>
      <c r="Z188" s="37"/>
      <c r="AA188" s="37"/>
      <c r="AB188" s="37"/>
      <c r="AC188" s="37"/>
      <c r="AD188" s="38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9">
        <f t="shared" si="82"/>
        <v>0</v>
      </c>
      <c r="AQ188" s="1"/>
    </row>
    <row r="189" ht="15.75" customHeight="1">
      <c r="A189" s="1"/>
      <c r="B189" s="42"/>
      <c r="C189" s="42"/>
      <c r="D189" s="42"/>
      <c r="E189" s="19"/>
      <c r="F189" s="43" t="s">
        <v>30</v>
      </c>
      <c r="G189" s="44"/>
      <c r="H189" s="34">
        <f t="shared" ref="H189:AN189" si="83">H182+H183+H184+H185-H186+H187-H188</f>
        <v>0</v>
      </c>
      <c r="I189" s="34">
        <f t="shared" si="83"/>
        <v>0</v>
      </c>
      <c r="J189" s="34">
        <f t="shared" si="83"/>
        <v>0</v>
      </c>
      <c r="K189" s="34">
        <f t="shared" si="83"/>
        <v>0</v>
      </c>
      <c r="L189" s="34">
        <f t="shared" si="83"/>
        <v>0</v>
      </c>
      <c r="M189" s="34">
        <f t="shared" si="83"/>
        <v>0</v>
      </c>
      <c r="N189" s="34">
        <f t="shared" si="83"/>
        <v>0</v>
      </c>
      <c r="O189" s="34">
        <f t="shared" si="83"/>
        <v>0</v>
      </c>
      <c r="P189" s="34">
        <f t="shared" si="83"/>
        <v>0</v>
      </c>
      <c r="Q189" s="34">
        <f t="shared" si="83"/>
        <v>0</v>
      </c>
      <c r="R189" s="34">
        <f t="shared" si="83"/>
        <v>0</v>
      </c>
      <c r="S189" s="34">
        <f t="shared" si="83"/>
        <v>0</v>
      </c>
      <c r="T189" s="34">
        <f t="shared" si="83"/>
        <v>0</v>
      </c>
      <c r="U189" s="34">
        <f t="shared" si="83"/>
        <v>0</v>
      </c>
      <c r="V189" s="34">
        <f t="shared" si="83"/>
        <v>0</v>
      </c>
      <c r="W189" s="34">
        <f t="shared" si="83"/>
        <v>0</v>
      </c>
      <c r="X189" s="34">
        <f t="shared" si="83"/>
        <v>0</v>
      </c>
      <c r="Y189" s="34">
        <f t="shared" si="83"/>
        <v>0</v>
      </c>
      <c r="Z189" s="34">
        <f t="shared" si="83"/>
        <v>0</v>
      </c>
      <c r="AA189" s="34">
        <f t="shared" si="83"/>
        <v>0</v>
      </c>
      <c r="AB189" s="34">
        <f t="shared" si="83"/>
        <v>0</v>
      </c>
      <c r="AC189" s="34">
        <f t="shared" si="83"/>
        <v>0</v>
      </c>
      <c r="AD189" s="34">
        <f t="shared" si="83"/>
        <v>0</v>
      </c>
      <c r="AE189" s="34">
        <f t="shared" si="83"/>
        <v>0</v>
      </c>
      <c r="AF189" s="34">
        <f t="shared" si="83"/>
        <v>0</v>
      </c>
      <c r="AG189" s="34">
        <f t="shared" si="83"/>
        <v>0</v>
      </c>
      <c r="AH189" s="34">
        <f t="shared" si="83"/>
        <v>0</v>
      </c>
      <c r="AI189" s="34">
        <f t="shared" si="83"/>
        <v>0</v>
      </c>
      <c r="AJ189" s="34">
        <f t="shared" si="83"/>
        <v>0</v>
      </c>
      <c r="AK189" s="34">
        <f t="shared" si="83"/>
        <v>0</v>
      </c>
      <c r="AL189" s="34">
        <f t="shared" si="83"/>
        <v>0</v>
      </c>
      <c r="AM189" s="34">
        <f t="shared" si="83"/>
        <v>0</v>
      </c>
      <c r="AN189" s="34">
        <f t="shared" si="83"/>
        <v>0</v>
      </c>
      <c r="AO189" s="34"/>
      <c r="AP189" s="45">
        <f>AO182</f>
        <v>0</v>
      </c>
      <c r="AQ189" s="68"/>
    </row>
    <row r="190" ht="15.75" customHeight="1">
      <c r="A190" s="1"/>
      <c r="B190" s="32"/>
      <c r="C190" s="57" t="s">
        <v>97</v>
      </c>
      <c r="D190" s="32" t="s">
        <v>98</v>
      </c>
      <c r="E190" s="33"/>
      <c r="F190" s="14" t="s">
        <v>23</v>
      </c>
      <c r="G190" s="44"/>
      <c r="H190" s="21">
        <v>0.0</v>
      </c>
      <c r="I190" s="21">
        <v>0.0</v>
      </c>
      <c r="J190" s="21">
        <f t="shared" ref="J190:AO190" si="84">I196</f>
        <v>0</v>
      </c>
      <c r="K190" s="21">
        <f t="shared" si="84"/>
        <v>0</v>
      </c>
      <c r="L190" s="21">
        <f t="shared" si="84"/>
        <v>0</v>
      </c>
      <c r="M190" s="21">
        <f t="shared" si="84"/>
        <v>0</v>
      </c>
      <c r="N190" s="21">
        <f t="shared" si="84"/>
        <v>0</v>
      </c>
      <c r="O190" s="21">
        <f t="shared" si="84"/>
        <v>0</v>
      </c>
      <c r="P190" s="21">
        <f t="shared" si="84"/>
        <v>0</v>
      </c>
      <c r="Q190" s="21">
        <f t="shared" si="84"/>
        <v>0</v>
      </c>
      <c r="R190" s="21">
        <f t="shared" si="84"/>
        <v>0</v>
      </c>
      <c r="S190" s="21">
        <f t="shared" si="84"/>
        <v>0</v>
      </c>
      <c r="T190" s="21">
        <f t="shared" si="84"/>
        <v>0</v>
      </c>
      <c r="U190" s="21">
        <f t="shared" si="84"/>
        <v>0</v>
      </c>
      <c r="V190" s="21">
        <f t="shared" si="84"/>
        <v>0</v>
      </c>
      <c r="W190" s="21">
        <f t="shared" si="84"/>
        <v>0</v>
      </c>
      <c r="X190" s="21">
        <f t="shared" si="84"/>
        <v>0</v>
      </c>
      <c r="Y190" s="21">
        <f t="shared" si="84"/>
        <v>0</v>
      </c>
      <c r="Z190" s="21">
        <f t="shared" si="84"/>
        <v>0</v>
      </c>
      <c r="AA190" s="21">
        <f t="shared" si="84"/>
        <v>0</v>
      </c>
      <c r="AB190" s="21">
        <f t="shared" si="84"/>
        <v>0</v>
      </c>
      <c r="AC190" s="21">
        <f t="shared" si="84"/>
        <v>0</v>
      </c>
      <c r="AD190" s="21">
        <f t="shared" si="84"/>
        <v>0</v>
      </c>
      <c r="AE190" s="21">
        <f t="shared" si="84"/>
        <v>0</v>
      </c>
      <c r="AF190" s="21">
        <f t="shared" si="84"/>
        <v>0</v>
      </c>
      <c r="AG190" s="21">
        <f t="shared" si="84"/>
        <v>0</v>
      </c>
      <c r="AH190" s="21">
        <f t="shared" si="84"/>
        <v>0</v>
      </c>
      <c r="AI190" s="21">
        <f t="shared" si="84"/>
        <v>0</v>
      </c>
      <c r="AJ190" s="21">
        <f t="shared" si="84"/>
        <v>0</v>
      </c>
      <c r="AK190" s="21">
        <f t="shared" si="84"/>
        <v>0</v>
      </c>
      <c r="AL190" s="21">
        <f t="shared" si="84"/>
        <v>0</v>
      </c>
      <c r="AM190" s="21">
        <f t="shared" si="84"/>
        <v>0</v>
      </c>
      <c r="AN190" s="21">
        <f t="shared" si="84"/>
        <v>0</v>
      </c>
      <c r="AO190" s="21">
        <f t="shared" si="84"/>
        <v>0</v>
      </c>
      <c r="AP190" s="54"/>
      <c r="AQ190" s="68"/>
    </row>
    <row r="191" ht="15.75" customHeight="1">
      <c r="A191" s="1"/>
      <c r="B191" s="35"/>
      <c r="C191" s="35"/>
      <c r="D191" s="35"/>
      <c r="E191" s="33" t="s">
        <v>24</v>
      </c>
      <c r="F191" s="36" t="s">
        <v>25</v>
      </c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8"/>
      <c r="T191" s="37"/>
      <c r="U191" s="38"/>
      <c r="V191" s="37"/>
      <c r="W191" s="37"/>
      <c r="X191" s="37"/>
      <c r="Y191" s="37"/>
      <c r="Z191" s="37"/>
      <c r="AA191" s="37"/>
      <c r="AB191" s="37"/>
      <c r="AC191" s="37"/>
      <c r="AD191" s="38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9">
        <f t="shared" ref="AP191:AP195" si="85">SUM(H191:AO191)</f>
        <v>0</v>
      </c>
      <c r="AQ191" s="68"/>
    </row>
    <row r="192" ht="15.75" customHeight="1">
      <c r="A192" s="1"/>
      <c r="B192" s="35"/>
      <c r="C192" s="35"/>
      <c r="D192" s="35"/>
      <c r="E192" s="33"/>
      <c r="F192" s="36" t="s">
        <v>94</v>
      </c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8"/>
      <c r="T192" s="37"/>
      <c r="U192" s="38"/>
      <c r="V192" s="37"/>
      <c r="W192" s="37"/>
      <c r="X192" s="37"/>
      <c r="Y192" s="37"/>
      <c r="Z192" s="37"/>
      <c r="AA192" s="37"/>
      <c r="AB192" s="37"/>
      <c r="AC192" s="37"/>
      <c r="AD192" s="38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9">
        <f t="shared" si="85"/>
        <v>0</v>
      </c>
      <c r="AQ192" s="68"/>
    </row>
    <row r="193" ht="15.75" customHeight="1">
      <c r="A193" s="1"/>
      <c r="B193" s="35"/>
      <c r="C193" s="35"/>
      <c r="D193" s="35"/>
      <c r="E193" s="33"/>
      <c r="F193" s="40" t="s">
        <v>26</v>
      </c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8"/>
      <c r="T193" s="37"/>
      <c r="U193" s="38"/>
      <c r="V193" s="37"/>
      <c r="W193" s="37"/>
      <c r="X193" s="37"/>
      <c r="Y193" s="37"/>
      <c r="Z193" s="37"/>
      <c r="AA193" s="37"/>
      <c r="AB193" s="37"/>
      <c r="AC193" s="37"/>
      <c r="AD193" s="38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8"/>
      <c r="AP193" s="39">
        <f t="shared" si="85"/>
        <v>0</v>
      </c>
      <c r="AQ193" s="68"/>
    </row>
    <row r="194" ht="15.75" customHeight="1">
      <c r="A194" s="1"/>
      <c r="B194" s="35"/>
      <c r="C194" s="35"/>
      <c r="D194" s="35"/>
      <c r="E194" s="33" t="s">
        <v>27</v>
      </c>
      <c r="F194" s="41" t="s">
        <v>28</v>
      </c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8"/>
      <c r="T194" s="37"/>
      <c r="U194" s="38"/>
      <c r="V194" s="37"/>
      <c r="W194" s="37"/>
      <c r="X194" s="37"/>
      <c r="Y194" s="37"/>
      <c r="Z194" s="37"/>
      <c r="AA194" s="37"/>
      <c r="AB194" s="37"/>
      <c r="AC194" s="37"/>
      <c r="AD194" s="38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9">
        <f t="shared" si="85"/>
        <v>0</v>
      </c>
      <c r="AQ194" s="68"/>
    </row>
    <row r="195" ht="15.75" customHeight="1">
      <c r="A195" s="1"/>
      <c r="B195" s="35"/>
      <c r="C195" s="35"/>
      <c r="D195" s="35"/>
      <c r="E195" s="33"/>
      <c r="F195" s="41" t="s">
        <v>29</v>
      </c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8"/>
      <c r="T195" s="37"/>
      <c r="U195" s="38"/>
      <c r="V195" s="37"/>
      <c r="W195" s="37"/>
      <c r="X195" s="37"/>
      <c r="Y195" s="37"/>
      <c r="Z195" s="37"/>
      <c r="AA195" s="37"/>
      <c r="AB195" s="37"/>
      <c r="AC195" s="37"/>
      <c r="AD195" s="38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9">
        <f t="shared" si="85"/>
        <v>0</v>
      </c>
      <c r="AQ195" s="68"/>
    </row>
    <row r="196" ht="15.75" customHeight="1">
      <c r="A196" s="1"/>
      <c r="B196" s="42"/>
      <c r="C196" s="42"/>
      <c r="D196" s="42"/>
      <c r="E196" s="19"/>
      <c r="F196" s="43" t="s">
        <v>30</v>
      </c>
      <c r="G196" s="44"/>
      <c r="H196" s="34">
        <f t="shared" ref="H196:AN196" si="86">H190+H191+H192-H193+H194-H195</f>
        <v>0</v>
      </c>
      <c r="I196" s="34">
        <f t="shared" si="86"/>
        <v>0</v>
      </c>
      <c r="J196" s="34">
        <f t="shared" si="86"/>
        <v>0</v>
      </c>
      <c r="K196" s="34">
        <f t="shared" si="86"/>
        <v>0</v>
      </c>
      <c r="L196" s="34">
        <f t="shared" si="86"/>
        <v>0</v>
      </c>
      <c r="M196" s="34">
        <f t="shared" si="86"/>
        <v>0</v>
      </c>
      <c r="N196" s="34">
        <f t="shared" si="86"/>
        <v>0</v>
      </c>
      <c r="O196" s="34">
        <f t="shared" si="86"/>
        <v>0</v>
      </c>
      <c r="P196" s="34">
        <f t="shared" si="86"/>
        <v>0</v>
      </c>
      <c r="Q196" s="34">
        <f t="shared" si="86"/>
        <v>0</v>
      </c>
      <c r="R196" s="34">
        <f t="shared" si="86"/>
        <v>0</v>
      </c>
      <c r="S196" s="34">
        <f t="shared" si="86"/>
        <v>0</v>
      </c>
      <c r="T196" s="34">
        <f t="shared" si="86"/>
        <v>0</v>
      </c>
      <c r="U196" s="34">
        <f t="shared" si="86"/>
        <v>0</v>
      </c>
      <c r="V196" s="34">
        <f t="shared" si="86"/>
        <v>0</v>
      </c>
      <c r="W196" s="34">
        <f t="shared" si="86"/>
        <v>0</v>
      </c>
      <c r="X196" s="34">
        <f t="shared" si="86"/>
        <v>0</v>
      </c>
      <c r="Y196" s="34">
        <f t="shared" si="86"/>
        <v>0</v>
      </c>
      <c r="Z196" s="34">
        <f t="shared" si="86"/>
        <v>0</v>
      </c>
      <c r="AA196" s="34">
        <f t="shared" si="86"/>
        <v>0</v>
      </c>
      <c r="AB196" s="34">
        <f t="shared" si="86"/>
        <v>0</v>
      </c>
      <c r="AC196" s="34">
        <f t="shared" si="86"/>
        <v>0</v>
      </c>
      <c r="AD196" s="34">
        <f t="shared" si="86"/>
        <v>0</v>
      </c>
      <c r="AE196" s="34">
        <f t="shared" si="86"/>
        <v>0</v>
      </c>
      <c r="AF196" s="34">
        <f t="shared" si="86"/>
        <v>0</v>
      </c>
      <c r="AG196" s="34">
        <f t="shared" si="86"/>
        <v>0</v>
      </c>
      <c r="AH196" s="34">
        <f t="shared" si="86"/>
        <v>0</v>
      </c>
      <c r="AI196" s="34">
        <f t="shared" si="86"/>
        <v>0</v>
      </c>
      <c r="AJ196" s="34">
        <f t="shared" si="86"/>
        <v>0</v>
      </c>
      <c r="AK196" s="34">
        <f t="shared" si="86"/>
        <v>0</v>
      </c>
      <c r="AL196" s="34">
        <f t="shared" si="86"/>
        <v>0</v>
      </c>
      <c r="AM196" s="34">
        <f t="shared" si="86"/>
        <v>0</v>
      </c>
      <c r="AN196" s="34">
        <f t="shared" si="86"/>
        <v>0</v>
      </c>
      <c r="AO196" s="34"/>
      <c r="AP196" s="45">
        <f>AO190</f>
        <v>0</v>
      </c>
      <c r="AQ196" s="68"/>
    </row>
    <row r="197" ht="15.75" customHeight="1">
      <c r="A197" s="1"/>
      <c r="B197" s="32"/>
      <c r="C197" s="32" t="s">
        <v>99</v>
      </c>
      <c r="D197" s="32" t="s">
        <v>100</v>
      </c>
      <c r="E197" s="69"/>
      <c r="F197" s="14" t="s">
        <v>23</v>
      </c>
      <c r="G197" s="44"/>
      <c r="H197" s="21">
        <v>0.0</v>
      </c>
      <c r="I197" s="21">
        <f t="shared" ref="I197:AO197" si="87">H203</f>
        <v>0</v>
      </c>
      <c r="J197" s="21">
        <f t="shared" si="87"/>
        <v>0</v>
      </c>
      <c r="K197" s="21">
        <f t="shared" si="87"/>
        <v>0</v>
      </c>
      <c r="L197" s="21">
        <f t="shared" si="87"/>
        <v>0</v>
      </c>
      <c r="M197" s="21">
        <f t="shared" si="87"/>
        <v>0</v>
      </c>
      <c r="N197" s="21">
        <f t="shared" si="87"/>
        <v>0</v>
      </c>
      <c r="O197" s="21">
        <f t="shared" si="87"/>
        <v>0</v>
      </c>
      <c r="P197" s="21">
        <f t="shared" si="87"/>
        <v>0</v>
      </c>
      <c r="Q197" s="21">
        <f t="shared" si="87"/>
        <v>0</v>
      </c>
      <c r="R197" s="21">
        <f t="shared" si="87"/>
        <v>0</v>
      </c>
      <c r="S197" s="21">
        <f t="shared" si="87"/>
        <v>0</v>
      </c>
      <c r="T197" s="21">
        <f t="shared" si="87"/>
        <v>0</v>
      </c>
      <c r="U197" s="21">
        <f t="shared" si="87"/>
        <v>0</v>
      </c>
      <c r="V197" s="21">
        <f t="shared" si="87"/>
        <v>0</v>
      </c>
      <c r="W197" s="21">
        <f t="shared" si="87"/>
        <v>0</v>
      </c>
      <c r="X197" s="21">
        <f t="shared" si="87"/>
        <v>0</v>
      </c>
      <c r="Y197" s="21">
        <f t="shared" si="87"/>
        <v>0</v>
      </c>
      <c r="Z197" s="21">
        <f t="shared" si="87"/>
        <v>0</v>
      </c>
      <c r="AA197" s="21">
        <f t="shared" si="87"/>
        <v>0</v>
      </c>
      <c r="AB197" s="21">
        <f t="shared" si="87"/>
        <v>0</v>
      </c>
      <c r="AC197" s="21">
        <f t="shared" si="87"/>
        <v>0</v>
      </c>
      <c r="AD197" s="21">
        <f t="shared" si="87"/>
        <v>0</v>
      </c>
      <c r="AE197" s="21">
        <f t="shared" si="87"/>
        <v>0</v>
      </c>
      <c r="AF197" s="21">
        <f t="shared" si="87"/>
        <v>0</v>
      </c>
      <c r="AG197" s="21">
        <f t="shared" si="87"/>
        <v>0</v>
      </c>
      <c r="AH197" s="21">
        <f t="shared" si="87"/>
        <v>0</v>
      </c>
      <c r="AI197" s="21">
        <f t="shared" si="87"/>
        <v>0</v>
      </c>
      <c r="AJ197" s="21">
        <f t="shared" si="87"/>
        <v>0</v>
      </c>
      <c r="AK197" s="21">
        <f t="shared" si="87"/>
        <v>0</v>
      </c>
      <c r="AL197" s="21">
        <f t="shared" si="87"/>
        <v>0</v>
      </c>
      <c r="AM197" s="21">
        <f t="shared" si="87"/>
        <v>0</v>
      </c>
      <c r="AN197" s="21">
        <f t="shared" si="87"/>
        <v>0</v>
      </c>
      <c r="AO197" s="21">
        <f t="shared" si="87"/>
        <v>0</v>
      </c>
      <c r="AP197" s="54"/>
      <c r="AQ197" s="68"/>
    </row>
    <row r="198" ht="15.75" customHeight="1">
      <c r="A198" s="1"/>
      <c r="B198" s="35"/>
      <c r="C198" s="35"/>
      <c r="D198" s="35"/>
      <c r="E198" s="33" t="s">
        <v>24</v>
      </c>
      <c r="F198" s="36" t="s">
        <v>25</v>
      </c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8"/>
      <c r="T198" s="37"/>
      <c r="U198" s="38"/>
      <c r="V198" s="37"/>
      <c r="W198" s="37"/>
      <c r="X198" s="37"/>
      <c r="Y198" s="37"/>
      <c r="Z198" s="37"/>
      <c r="AA198" s="37"/>
      <c r="AB198" s="37"/>
      <c r="AC198" s="37"/>
      <c r="AD198" s="38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9">
        <f t="shared" ref="AP198:AP202" si="88">SUM(H198:AO198)</f>
        <v>0</v>
      </c>
      <c r="AQ198" s="68"/>
    </row>
    <row r="199" ht="15.75" customHeight="1">
      <c r="A199" s="1"/>
      <c r="B199" s="35"/>
      <c r="C199" s="35"/>
      <c r="D199" s="35"/>
      <c r="E199" s="33"/>
      <c r="F199" s="36" t="s">
        <v>94</v>
      </c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8"/>
      <c r="T199" s="37"/>
      <c r="U199" s="38"/>
      <c r="V199" s="37"/>
      <c r="W199" s="37"/>
      <c r="X199" s="37"/>
      <c r="Y199" s="37"/>
      <c r="Z199" s="37"/>
      <c r="AA199" s="37"/>
      <c r="AB199" s="37"/>
      <c r="AC199" s="37"/>
      <c r="AD199" s="38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9">
        <f t="shared" si="88"/>
        <v>0</v>
      </c>
      <c r="AQ199" s="68"/>
    </row>
    <row r="200" ht="15.75" customHeight="1">
      <c r="A200" s="1"/>
      <c r="B200" s="35"/>
      <c r="C200" s="35"/>
      <c r="D200" s="35"/>
      <c r="E200" s="33"/>
      <c r="F200" s="40" t="s">
        <v>26</v>
      </c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8"/>
      <c r="T200" s="37"/>
      <c r="U200" s="38"/>
      <c r="V200" s="37"/>
      <c r="W200" s="37"/>
      <c r="X200" s="37"/>
      <c r="Y200" s="37"/>
      <c r="Z200" s="37"/>
      <c r="AA200" s="37"/>
      <c r="AB200" s="37"/>
      <c r="AC200" s="37"/>
      <c r="AD200" s="38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8"/>
      <c r="AP200" s="39">
        <f t="shared" si="88"/>
        <v>0</v>
      </c>
      <c r="AQ200" s="68"/>
    </row>
    <row r="201" ht="15.75" customHeight="1">
      <c r="A201" s="1"/>
      <c r="B201" s="35"/>
      <c r="C201" s="35"/>
      <c r="D201" s="35"/>
      <c r="E201" s="70" t="s">
        <v>27</v>
      </c>
      <c r="F201" s="41" t="s">
        <v>28</v>
      </c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8"/>
      <c r="T201" s="37"/>
      <c r="U201" s="38"/>
      <c r="V201" s="37"/>
      <c r="W201" s="37"/>
      <c r="X201" s="37"/>
      <c r="Y201" s="37"/>
      <c r="Z201" s="37"/>
      <c r="AA201" s="37"/>
      <c r="AB201" s="37"/>
      <c r="AC201" s="37"/>
      <c r="AD201" s="38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9">
        <f t="shared" si="88"/>
        <v>0</v>
      </c>
      <c r="AQ201" s="68"/>
    </row>
    <row r="202" ht="15.75" customHeight="1">
      <c r="A202" s="1"/>
      <c r="B202" s="35"/>
      <c r="C202" s="35"/>
      <c r="D202" s="35"/>
      <c r="E202" s="71"/>
      <c r="F202" s="41" t="s">
        <v>29</v>
      </c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8"/>
      <c r="T202" s="37"/>
      <c r="U202" s="38"/>
      <c r="V202" s="37"/>
      <c r="W202" s="37"/>
      <c r="X202" s="37"/>
      <c r="Y202" s="37"/>
      <c r="Z202" s="37"/>
      <c r="AA202" s="37"/>
      <c r="AB202" s="37"/>
      <c r="AC202" s="37"/>
      <c r="AD202" s="38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9">
        <f t="shared" si="88"/>
        <v>0</v>
      </c>
      <c r="AQ202" s="68"/>
    </row>
    <row r="203" ht="15.75" customHeight="1">
      <c r="A203" s="1"/>
      <c r="B203" s="42"/>
      <c r="C203" s="42"/>
      <c r="D203" s="42"/>
      <c r="E203" s="72"/>
      <c r="F203" s="43" t="s">
        <v>30</v>
      </c>
      <c r="G203" s="44"/>
      <c r="H203" s="34">
        <f t="shared" ref="H203:AN203" si="89">H197+H198+H199-H200+H201-H202</f>
        <v>0</v>
      </c>
      <c r="I203" s="34">
        <f t="shared" si="89"/>
        <v>0</v>
      </c>
      <c r="J203" s="34">
        <f t="shared" si="89"/>
        <v>0</v>
      </c>
      <c r="K203" s="34">
        <f t="shared" si="89"/>
        <v>0</v>
      </c>
      <c r="L203" s="34">
        <f t="shared" si="89"/>
        <v>0</v>
      </c>
      <c r="M203" s="34">
        <f t="shared" si="89"/>
        <v>0</v>
      </c>
      <c r="N203" s="34">
        <f t="shared" si="89"/>
        <v>0</v>
      </c>
      <c r="O203" s="34">
        <f t="shared" si="89"/>
        <v>0</v>
      </c>
      <c r="P203" s="34">
        <f t="shared" si="89"/>
        <v>0</v>
      </c>
      <c r="Q203" s="34">
        <f t="shared" si="89"/>
        <v>0</v>
      </c>
      <c r="R203" s="34">
        <f t="shared" si="89"/>
        <v>0</v>
      </c>
      <c r="S203" s="34">
        <f t="shared" si="89"/>
        <v>0</v>
      </c>
      <c r="T203" s="34">
        <f t="shared" si="89"/>
        <v>0</v>
      </c>
      <c r="U203" s="34">
        <f t="shared" si="89"/>
        <v>0</v>
      </c>
      <c r="V203" s="34">
        <f t="shared" si="89"/>
        <v>0</v>
      </c>
      <c r="W203" s="34">
        <f t="shared" si="89"/>
        <v>0</v>
      </c>
      <c r="X203" s="34">
        <f t="shared" si="89"/>
        <v>0</v>
      </c>
      <c r="Y203" s="34">
        <f t="shared" si="89"/>
        <v>0</v>
      </c>
      <c r="Z203" s="34">
        <f t="shared" si="89"/>
        <v>0</v>
      </c>
      <c r="AA203" s="34">
        <f t="shared" si="89"/>
        <v>0</v>
      </c>
      <c r="AB203" s="34">
        <f t="shared" si="89"/>
        <v>0</v>
      </c>
      <c r="AC203" s="34">
        <f t="shared" si="89"/>
        <v>0</v>
      </c>
      <c r="AD203" s="34">
        <f t="shared" si="89"/>
        <v>0</v>
      </c>
      <c r="AE203" s="34">
        <f t="shared" si="89"/>
        <v>0</v>
      </c>
      <c r="AF203" s="34">
        <f t="shared" si="89"/>
        <v>0</v>
      </c>
      <c r="AG203" s="34">
        <f t="shared" si="89"/>
        <v>0</v>
      </c>
      <c r="AH203" s="34">
        <f t="shared" si="89"/>
        <v>0</v>
      </c>
      <c r="AI203" s="34">
        <f t="shared" si="89"/>
        <v>0</v>
      </c>
      <c r="AJ203" s="34">
        <f t="shared" si="89"/>
        <v>0</v>
      </c>
      <c r="AK203" s="34">
        <f t="shared" si="89"/>
        <v>0</v>
      </c>
      <c r="AL203" s="34">
        <f t="shared" si="89"/>
        <v>0</v>
      </c>
      <c r="AM203" s="34">
        <f t="shared" si="89"/>
        <v>0</v>
      </c>
      <c r="AN203" s="34">
        <f t="shared" si="89"/>
        <v>0</v>
      </c>
      <c r="AO203" s="34"/>
      <c r="AP203" s="45">
        <f>AO197</f>
        <v>0</v>
      </c>
      <c r="AQ203" s="68"/>
    </row>
    <row r="204" ht="15.75" customHeight="1">
      <c r="A204" s="1"/>
      <c r="B204" s="32"/>
      <c r="C204" s="32" t="s">
        <v>101</v>
      </c>
      <c r="D204" s="32" t="s">
        <v>102</v>
      </c>
      <c r="E204" s="69"/>
      <c r="F204" s="14" t="s">
        <v>23</v>
      </c>
      <c r="G204" s="44"/>
      <c r="H204" s="21">
        <v>0.0</v>
      </c>
      <c r="I204" s="21">
        <f t="shared" ref="I204:AO204" si="90">H210</f>
        <v>0</v>
      </c>
      <c r="J204" s="21">
        <f t="shared" si="90"/>
        <v>0</v>
      </c>
      <c r="K204" s="21">
        <f t="shared" si="90"/>
        <v>0</v>
      </c>
      <c r="L204" s="21">
        <f t="shared" si="90"/>
        <v>0</v>
      </c>
      <c r="M204" s="21">
        <f t="shared" si="90"/>
        <v>0</v>
      </c>
      <c r="N204" s="21">
        <f t="shared" si="90"/>
        <v>0</v>
      </c>
      <c r="O204" s="21">
        <f t="shared" si="90"/>
        <v>0</v>
      </c>
      <c r="P204" s="21">
        <f t="shared" si="90"/>
        <v>0</v>
      </c>
      <c r="Q204" s="21">
        <f t="shared" si="90"/>
        <v>0</v>
      </c>
      <c r="R204" s="21">
        <f t="shared" si="90"/>
        <v>0</v>
      </c>
      <c r="S204" s="21">
        <f t="shared" si="90"/>
        <v>0</v>
      </c>
      <c r="T204" s="21">
        <f t="shared" si="90"/>
        <v>0</v>
      </c>
      <c r="U204" s="21">
        <f t="shared" si="90"/>
        <v>0</v>
      </c>
      <c r="V204" s="21">
        <f t="shared" si="90"/>
        <v>0</v>
      </c>
      <c r="W204" s="21">
        <f t="shared" si="90"/>
        <v>0</v>
      </c>
      <c r="X204" s="21">
        <f t="shared" si="90"/>
        <v>0</v>
      </c>
      <c r="Y204" s="21">
        <f t="shared" si="90"/>
        <v>0</v>
      </c>
      <c r="Z204" s="21">
        <f t="shared" si="90"/>
        <v>0</v>
      </c>
      <c r="AA204" s="21">
        <f t="shared" si="90"/>
        <v>0</v>
      </c>
      <c r="AB204" s="21">
        <f t="shared" si="90"/>
        <v>0</v>
      </c>
      <c r="AC204" s="21">
        <f t="shared" si="90"/>
        <v>0</v>
      </c>
      <c r="AD204" s="21">
        <f t="shared" si="90"/>
        <v>0</v>
      </c>
      <c r="AE204" s="21">
        <f t="shared" si="90"/>
        <v>0</v>
      </c>
      <c r="AF204" s="21">
        <f t="shared" si="90"/>
        <v>0</v>
      </c>
      <c r="AG204" s="21">
        <f t="shared" si="90"/>
        <v>0</v>
      </c>
      <c r="AH204" s="21">
        <f t="shared" si="90"/>
        <v>0</v>
      </c>
      <c r="AI204" s="21">
        <f t="shared" si="90"/>
        <v>0</v>
      </c>
      <c r="AJ204" s="21">
        <f t="shared" si="90"/>
        <v>0</v>
      </c>
      <c r="AK204" s="21">
        <f t="shared" si="90"/>
        <v>0</v>
      </c>
      <c r="AL204" s="21">
        <f t="shared" si="90"/>
        <v>0</v>
      </c>
      <c r="AM204" s="21">
        <f t="shared" si="90"/>
        <v>0</v>
      </c>
      <c r="AN204" s="21">
        <f t="shared" si="90"/>
        <v>0</v>
      </c>
      <c r="AO204" s="21">
        <f t="shared" si="90"/>
        <v>0</v>
      </c>
      <c r="AP204" s="54"/>
      <c r="AQ204" s="68"/>
    </row>
    <row r="205" ht="15.75" customHeight="1">
      <c r="A205" s="1"/>
      <c r="B205" s="35"/>
      <c r="C205" s="35"/>
      <c r="D205" s="35"/>
      <c r="E205" s="33" t="s">
        <v>24</v>
      </c>
      <c r="F205" s="36" t="s">
        <v>25</v>
      </c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8"/>
      <c r="T205" s="37"/>
      <c r="U205" s="38"/>
      <c r="V205" s="37"/>
      <c r="W205" s="37"/>
      <c r="X205" s="37"/>
      <c r="Y205" s="37"/>
      <c r="Z205" s="37"/>
      <c r="AA205" s="37"/>
      <c r="AB205" s="37"/>
      <c r="AC205" s="37"/>
      <c r="AD205" s="38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9">
        <f t="shared" ref="AP205:AP209" si="91">SUM(H205:AO205)</f>
        <v>0</v>
      </c>
      <c r="AQ205" s="68"/>
    </row>
    <row r="206" ht="15.75" customHeight="1">
      <c r="A206" s="1"/>
      <c r="B206" s="35"/>
      <c r="C206" s="35"/>
      <c r="D206" s="35"/>
      <c r="E206" s="33"/>
      <c r="F206" s="36" t="s">
        <v>94</v>
      </c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8"/>
      <c r="T206" s="37"/>
      <c r="U206" s="38"/>
      <c r="V206" s="37"/>
      <c r="W206" s="37"/>
      <c r="X206" s="37"/>
      <c r="Y206" s="37"/>
      <c r="Z206" s="37"/>
      <c r="AA206" s="37"/>
      <c r="AB206" s="37"/>
      <c r="AC206" s="37"/>
      <c r="AD206" s="38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9">
        <f t="shared" si="91"/>
        <v>0</v>
      </c>
      <c r="AQ206" s="68"/>
    </row>
    <row r="207" ht="15.75" customHeight="1">
      <c r="A207" s="51"/>
      <c r="B207" s="35"/>
      <c r="C207" s="35"/>
      <c r="D207" s="35"/>
      <c r="E207" s="47"/>
      <c r="F207" s="40" t="s">
        <v>26</v>
      </c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8"/>
      <c r="T207" s="49"/>
      <c r="U207" s="48"/>
      <c r="V207" s="49"/>
      <c r="W207" s="49"/>
      <c r="X207" s="49"/>
      <c r="Y207" s="49"/>
      <c r="Z207" s="49"/>
      <c r="AA207" s="49"/>
      <c r="AB207" s="49"/>
      <c r="AC207" s="49"/>
      <c r="AD207" s="48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8"/>
      <c r="AP207" s="50">
        <f t="shared" si="91"/>
        <v>0</v>
      </c>
      <c r="AQ207" s="73"/>
    </row>
    <row r="208" ht="15.75" customHeight="1">
      <c r="A208" s="1"/>
      <c r="B208" s="35"/>
      <c r="C208" s="35"/>
      <c r="D208" s="35"/>
      <c r="E208" s="70" t="s">
        <v>27</v>
      </c>
      <c r="F208" s="41" t="s">
        <v>28</v>
      </c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8"/>
      <c r="T208" s="37"/>
      <c r="U208" s="38"/>
      <c r="V208" s="37"/>
      <c r="W208" s="37"/>
      <c r="X208" s="37"/>
      <c r="Y208" s="37"/>
      <c r="Z208" s="37"/>
      <c r="AA208" s="37"/>
      <c r="AB208" s="37"/>
      <c r="AC208" s="37"/>
      <c r="AD208" s="38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9">
        <f t="shared" si="91"/>
        <v>0</v>
      </c>
      <c r="AQ208" s="68"/>
    </row>
    <row r="209" ht="15.75" customHeight="1">
      <c r="A209" s="1"/>
      <c r="B209" s="35"/>
      <c r="C209" s="35"/>
      <c r="D209" s="35"/>
      <c r="E209" s="71"/>
      <c r="F209" s="41" t="s">
        <v>29</v>
      </c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8"/>
      <c r="T209" s="37"/>
      <c r="U209" s="38"/>
      <c r="V209" s="37"/>
      <c r="W209" s="37"/>
      <c r="X209" s="37"/>
      <c r="Y209" s="37"/>
      <c r="Z209" s="37"/>
      <c r="AA209" s="37"/>
      <c r="AB209" s="37"/>
      <c r="AC209" s="37"/>
      <c r="AD209" s="38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9">
        <f t="shared" si="91"/>
        <v>0</v>
      </c>
      <c r="AQ209" s="68"/>
    </row>
    <row r="210" ht="15.75" customHeight="1">
      <c r="A210" s="1"/>
      <c r="B210" s="42"/>
      <c r="C210" s="42"/>
      <c r="D210" s="42"/>
      <c r="E210" s="72"/>
      <c r="F210" s="43" t="s">
        <v>30</v>
      </c>
      <c r="G210" s="44"/>
      <c r="H210" s="34">
        <f t="shared" ref="H210:AN210" si="92">H204+H205+H206-H207+H208-H209</f>
        <v>0</v>
      </c>
      <c r="I210" s="34">
        <f t="shared" si="92"/>
        <v>0</v>
      </c>
      <c r="J210" s="34">
        <f t="shared" si="92"/>
        <v>0</v>
      </c>
      <c r="K210" s="34">
        <f t="shared" si="92"/>
        <v>0</v>
      </c>
      <c r="L210" s="34">
        <f t="shared" si="92"/>
        <v>0</v>
      </c>
      <c r="M210" s="34">
        <f t="shared" si="92"/>
        <v>0</v>
      </c>
      <c r="N210" s="34">
        <f t="shared" si="92"/>
        <v>0</v>
      </c>
      <c r="O210" s="34">
        <f t="shared" si="92"/>
        <v>0</v>
      </c>
      <c r="P210" s="34">
        <f t="shared" si="92"/>
        <v>0</v>
      </c>
      <c r="Q210" s="34">
        <f t="shared" si="92"/>
        <v>0</v>
      </c>
      <c r="R210" s="34">
        <f t="shared" si="92"/>
        <v>0</v>
      </c>
      <c r="S210" s="34">
        <f t="shared" si="92"/>
        <v>0</v>
      </c>
      <c r="T210" s="34">
        <f t="shared" si="92"/>
        <v>0</v>
      </c>
      <c r="U210" s="34">
        <f t="shared" si="92"/>
        <v>0</v>
      </c>
      <c r="V210" s="34">
        <f t="shared" si="92"/>
        <v>0</v>
      </c>
      <c r="W210" s="34">
        <f t="shared" si="92"/>
        <v>0</v>
      </c>
      <c r="X210" s="34">
        <f t="shared" si="92"/>
        <v>0</v>
      </c>
      <c r="Y210" s="34">
        <f t="shared" si="92"/>
        <v>0</v>
      </c>
      <c r="Z210" s="34">
        <f t="shared" si="92"/>
        <v>0</v>
      </c>
      <c r="AA210" s="34">
        <f t="shared" si="92"/>
        <v>0</v>
      </c>
      <c r="AB210" s="34">
        <f t="shared" si="92"/>
        <v>0</v>
      </c>
      <c r="AC210" s="34">
        <f t="shared" si="92"/>
        <v>0</v>
      </c>
      <c r="AD210" s="34">
        <f t="shared" si="92"/>
        <v>0</v>
      </c>
      <c r="AE210" s="34">
        <f t="shared" si="92"/>
        <v>0</v>
      </c>
      <c r="AF210" s="34">
        <f t="shared" si="92"/>
        <v>0</v>
      </c>
      <c r="AG210" s="34">
        <f t="shared" si="92"/>
        <v>0</v>
      </c>
      <c r="AH210" s="34">
        <f t="shared" si="92"/>
        <v>0</v>
      </c>
      <c r="AI210" s="34">
        <f t="shared" si="92"/>
        <v>0</v>
      </c>
      <c r="AJ210" s="34">
        <f t="shared" si="92"/>
        <v>0</v>
      </c>
      <c r="AK210" s="34">
        <f t="shared" si="92"/>
        <v>0</v>
      </c>
      <c r="AL210" s="34">
        <f t="shared" si="92"/>
        <v>0</v>
      </c>
      <c r="AM210" s="34">
        <f t="shared" si="92"/>
        <v>0</v>
      </c>
      <c r="AN210" s="34">
        <f t="shared" si="92"/>
        <v>0</v>
      </c>
      <c r="AO210" s="34"/>
      <c r="AP210" s="45">
        <f>AO204</f>
        <v>0</v>
      </c>
      <c r="AQ210" s="68"/>
    </row>
    <row r="211" ht="15.75" customHeight="1">
      <c r="A211" s="1"/>
      <c r="B211" s="32"/>
      <c r="C211" s="32" t="s">
        <v>103</v>
      </c>
      <c r="D211" s="32" t="s">
        <v>104</v>
      </c>
      <c r="E211" s="69"/>
      <c r="F211" s="14" t="s">
        <v>23</v>
      </c>
      <c r="G211" s="44"/>
      <c r="H211" s="21">
        <v>0.0</v>
      </c>
      <c r="I211" s="21">
        <f t="shared" ref="I211:AO211" si="93">H217</f>
        <v>0</v>
      </c>
      <c r="J211" s="21">
        <f t="shared" si="93"/>
        <v>0</v>
      </c>
      <c r="K211" s="21">
        <f t="shared" si="93"/>
        <v>0</v>
      </c>
      <c r="L211" s="21">
        <f t="shared" si="93"/>
        <v>0</v>
      </c>
      <c r="M211" s="21">
        <f t="shared" si="93"/>
        <v>0</v>
      </c>
      <c r="N211" s="21">
        <f t="shared" si="93"/>
        <v>0</v>
      </c>
      <c r="O211" s="21">
        <f t="shared" si="93"/>
        <v>0</v>
      </c>
      <c r="P211" s="21">
        <f t="shared" si="93"/>
        <v>0</v>
      </c>
      <c r="Q211" s="21">
        <f t="shared" si="93"/>
        <v>0</v>
      </c>
      <c r="R211" s="21">
        <f t="shared" si="93"/>
        <v>0</v>
      </c>
      <c r="S211" s="21">
        <f t="shared" si="93"/>
        <v>0</v>
      </c>
      <c r="T211" s="21">
        <f t="shared" si="93"/>
        <v>0</v>
      </c>
      <c r="U211" s="21">
        <f t="shared" si="93"/>
        <v>0</v>
      </c>
      <c r="V211" s="21">
        <f t="shared" si="93"/>
        <v>0</v>
      </c>
      <c r="W211" s="21">
        <f t="shared" si="93"/>
        <v>0</v>
      </c>
      <c r="X211" s="21">
        <f t="shared" si="93"/>
        <v>0</v>
      </c>
      <c r="Y211" s="21">
        <f t="shared" si="93"/>
        <v>0</v>
      </c>
      <c r="Z211" s="21">
        <f t="shared" si="93"/>
        <v>0</v>
      </c>
      <c r="AA211" s="21">
        <f t="shared" si="93"/>
        <v>0</v>
      </c>
      <c r="AB211" s="21">
        <f t="shared" si="93"/>
        <v>0</v>
      </c>
      <c r="AC211" s="21">
        <f t="shared" si="93"/>
        <v>0</v>
      </c>
      <c r="AD211" s="21">
        <f t="shared" si="93"/>
        <v>0</v>
      </c>
      <c r="AE211" s="21">
        <f t="shared" si="93"/>
        <v>0</v>
      </c>
      <c r="AF211" s="21">
        <f t="shared" si="93"/>
        <v>0</v>
      </c>
      <c r="AG211" s="21">
        <f t="shared" si="93"/>
        <v>0</v>
      </c>
      <c r="AH211" s="21">
        <f t="shared" si="93"/>
        <v>0</v>
      </c>
      <c r="AI211" s="21">
        <f t="shared" si="93"/>
        <v>0</v>
      </c>
      <c r="AJ211" s="21">
        <f t="shared" si="93"/>
        <v>0</v>
      </c>
      <c r="AK211" s="21">
        <f t="shared" si="93"/>
        <v>0</v>
      </c>
      <c r="AL211" s="21">
        <f t="shared" si="93"/>
        <v>0</v>
      </c>
      <c r="AM211" s="21">
        <f t="shared" si="93"/>
        <v>0</v>
      </c>
      <c r="AN211" s="21">
        <f t="shared" si="93"/>
        <v>0</v>
      </c>
      <c r="AO211" s="21">
        <f t="shared" si="93"/>
        <v>0</v>
      </c>
      <c r="AP211" s="54"/>
      <c r="AQ211" s="1"/>
    </row>
    <row r="212" ht="15.75" customHeight="1">
      <c r="A212" s="1"/>
      <c r="B212" s="35"/>
      <c r="C212" s="35"/>
      <c r="D212" s="35"/>
      <c r="E212" s="33" t="s">
        <v>24</v>
      </c>
      <c r="F212" s="36" t="s">
        <v>25</v>
      </c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8"/>
      <c r="T212" s="37"/>
      <c r="U212" s="38"/>
      <c r="V212" s="37"/>
      <c r="W212" s="37"/>
      <c r="X212" s="37"/>
      <c r="Y212" s="37"/>
      <c r="Z212" s="37"/>
      <c r="AA212" s="37"/>
      <c r="AB212" s="37"/>
      <c r="AC212" s="37"/>
      <c r="AD212" s="38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9">
        <f t="shared" ref="AP212:AP216" si="94">SUM(H212:AO212)</f>
        <v>0</v>
      </c>
      <c r="AQ212" s="1"/>
    </row>
    <row r="213" ht="15.75" customHeight="1">
      <c r="A213" s="1"/>
      <c r="B213" s="35"/>
      <c r="C213" s="35"/>
      <c r="D213" s="35"/>
      <c r="E213" s="33"/>
      <c r="F213" s="36" t="s">
        <v>94</v>
      </c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8"/>
      <c r="T213" s="37"/>
      <c r="U213" s="38"/>
      <c r="V213" s="37"/>
      <c r="W213" s="37"/>
      <c r="X213" s="37"/>
      <c r="Y213" s="37"/>
      <c r="Z213" s="37"/>
      <c r="AA213" s="37"/>
      <c r="AB213" s="37"/>
      <c r="AC213" s="37"/>
      <c r="AD213" s="38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9">
        <f t="shared" si="94"/>
        <v>0</v>
      </c>
      <c r="AQ213" s="1"/>
    </row>
    <row r="214" ht="15.75" customHeight="1">
      <c r="A214" s="1"/>
      <c r="B214" s="35"/>
      <c r="C214" s="35"/>
      <c r="D214" s="35"/>
      <c r="E214" s="33"/>
      <c r="F214" s="40" t="s">
        <v>26</v>
      </c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8"/>
      <c r="T214" s="37"/>
      <c r="U214" s="38"/>
      <c r="V214" s="37"/>
      <c r="W214" s="37"/>
      <c r="X214" s="37"/>
      <c r="Y214" s="37"/>
      <c r="Z214" s="37"/>
      <c r="AA214" s="37"/>
      <c r="AB214" s="37"/>
      <c r="AC214" s="37"/>
      <c r="AD214" s="38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8"/>
      <c r="AP214" s="39">
        <f t="shared" si="94"/>
        <v>0</v>
      </c>
      <c r="AQ214" s="1"/>
    </row>
    <row r="215" ht="15.75" customHeight="1">
      <c r="A215" s="1"/>
      <c r="B215" s="35"/>
      <c r="C215" s="35"/>
      <c r="D215" s="35"/>
      <c r="E215" s="70" t="s">
        <v>27</v>
      </c>
      <c r="F215" s="41" t="s">
        <v>28</v>
      </c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8"/>
      <c r="T215" s="37"/>
      <c r="U215" s="38"/>
      <c r="V215" s="37"/>
      <c r="W215" s="37"/>
      <c r="X215" s="37"/>
      <c r="Y215" s="37"/>
      <c r="Z215" s="37"/>
      <c r="AA215" s="37"/>
      <c r="AB215" s="37"/>
      <c r="AC215" s="37"/>
      <c r="AD215" s="38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9">
        <f t="shared" si="94"/>
        <v>0</v>
      </c>
      <c r="AQ215" s="1"/>
    </row>
    <row r="216" ht="15.75" customHeight="1">
      <c r="A216" s="1"/>
      <c r="B216" s="35"/>
      <c r="C216" s="35"/>
      <c r="D216" s="35"/>
      <c r="E216" s="71"/>
      <c r="F216" s="41" t="s">
        <v>29</v>
      </c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8"/>
      <c r="T216" s="37"/>
      <c r="U216" s="38"/>
      <c r="V216" s="37"/>
      <c r="W216" s="37"/>
      <c r="X216" s="37"/>
      <c r="Y216" s="37"/>
      <c r="Z216" s="37"/>
      <c r="AA216" s="37"/>
      <c r="AB216" s="37"/>
      <c r="AC216" s="37"/>
      <c r="AD216" s="38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9">
        <f t="shared" si="94"/>
        <v>0</v>
      </c>
      <c r="AQ216" s="1"/>
    </row>
    <row r="217" ht="15.75" customHeight="1">
      <c r="A217" s="1"/>
      <c r="B217" s="42"/>
      <c r="C217" s="42"/>
      <c r="D217" s="42"/>
      <c r="E217" s="72"/>
      <c r="F217" s="43" t="s">
        <v>30</v>
      </c>
      <c r="G217" s="44"/>
      <c r="H217" s="34">
        <f t="shared" ref="H217:AN217" si="95">H211+H212+H213-H214+H215-H216</f>
        <v>0</v>
      </c>
      <c r="I217" s="34">
        <f t="shared" si="95"/>
        <v>0</v>
      </c>
      <c r="J217" s="34">
        <f t="shared" si="95"/>
        <v>0</v>
      </c>
      <c r="K217" s="34">
        <f t="shared" si="95"/>
        <v>0</v>
      </c>
      <c r="L217" s="34">
        <f t="shared" si="95"/>
        <v>0</v>
      </c>
      <c r="M217" s="34">
        <f t="shared" si="95"/>
        <v>0</v>
      </c>
      <c r="N217" s="34">
        <f t="shared" si="95"/>
        <v>0</v>
      </c>
      <c r="O217" s="34">
        <f t="shared" si="95"/>
        <v>0</v>
      </c>
      <c r="P217" s="34">
        <f t="shared" si="95"/>
        <v>0</v>
      </c>
      <c r="Q217" s="34">
        <f t="shared" si="95"/>
        <v>0</v>
      </c>
      <c r="R217" s="34">
        <f t="shared" si="95"/>
        <v>0</v>
      </c>
      <c r="S217" s="34">
        <f t="shared" si="95"/>
        <v>0</v>
      </c>
      <c r="T217" s="34">
        <f t="shared" si="95"/>
        <v>0</v>
      </c>
      <c r="U217" s="34">
        <f t="shared" si="95"/>
        <v>0</v>
      </c>
      <c r="V217" s="34">
        <f t="shared" si="95"/>
        <v>0</v>
      </c>
      <c r="W217" s="34">
        <f t="shared" si="95"/>
        <v>0</v>
      </c>
      <c r="X217" s="34">
        <f t="shared" si="95"/>
        <v>0</v>
      </c>
      <c r="Y217" s="34">
        <f t="shared" si="95"/>
        <v>0</v>
      </c>
      <c r="Z217" s="34">
        <f t="shared" si="95"/>
        <v>0</v>
      </c>
      <c r="AA217" s="34">
        <f t="shared" si="95"/>
        <v>0</v>
      </c>
      <c r="AB217" s="34">
        <f t="shared" si="95"/>
        <v>0</v>
      </c>
      <c r="AC217" s="34">
        <f t="shared" si="95"/>
        <v>0</v>
      </c>
      <c r="AD217" s="34">
        <f t="shared" si="95"/>
        <v>0</v>
      </c>
      <c r="AE217" s="34">
        <f t="shared" si="95"/>
        <v>0</v>
      </c>
      <c r="AF217" s="34">
        <f t="shared" si="95"/>
        <v>0</v>
      </c>
      <c r="AG217" s="34">
        <f t="shared" si="95"/>
        <v>0</v>
      </c>
      <c r="AH217" s="34">
        <f t="shared" si="95"/>
        <v>0</v>
      </c>
      <c r="AI217" s="34">
        <f t="shared" si="95"/>
        <v>0</v>
      </c>
      <c r="AJ217" s="34">
        <f t="shared" si="95"/>
        <v>0</v>
      </c>
      <c r="AK217" s="34">
        <f t="shared" si="95"/>
        <v>0</v>
      </c>
      <c r="AL217" s="34">
        <f t="shared" si="95"/>
        <v>0</v>
      </c>
      <c r="AM217" s="34">
        <f t="shared" si="95"/>
        <v>0</v>
      </c>
      <c r="AN217" s="34">
        <f t="shared" si="95"/>
        <v>0</v>
      </c>
      <c r="AO217" s="34"/>
      <c r="AP217" s="45">
        <f>AO211</f>
        <v>0</v>
      </c>
      <c r="AQ217" s="1"/>
    </row>
    <row r="218" ht="15.75" customHeight="1">
      <c r="A218" s="1"/>
      <c r="B218" s="32"/>
      <c r="C218" s="32" t="s">
        <v>105</v>
      </c>
      <c r="D218" s="32" t="s">
        <v>106</v>
      </c>
      <c r="E218" s="69"/>
      <c r="F218" s="14" t="s">
        <v>23</v>
      </c>
      <c r="G218" s="44"/>
      <c r="H218" s="21">
        <v>35.0</v>
      </c>
      <c r="I218" s="21">
        <f t="shared" ref="I218:AO218" si="96">H224</f>
        <v>35</v>
      </c>
      <c r="J218" s="21">
        <f t="shared" si="96"/>
        <v>35</v>
      </c>
      <c r="K218" s="21">
        <f t="shared" si="96"/>
        <v>35</v>
      </c>
      <c r="L218" s="21">
        <f t="shared" si="96"/>
        <v>35</v>
      </c>
      <c r="M218" s="21">
        <f t="shared" si="96"/>
        <v>35</v>
      </c>
      <c r="N218" s="21">
        <f t="shared" si="96"/>
        <v>35</v>
      </c>
      <c r="O218" s="21">
        <f t="shared" si="96"/>
        <v>35</v>
      </c>
      <c r="P218" s="21">
        <f t="shared" si="96"/>
        <v>35</v>
      </c>
      <c r="Q218" s="21">
        <f t="shared" si="96"/>
        <v>35</v>
      </c>
      <c r="R218" s="21">
        <f t="shared" si="96"/>
        <v>58</v>
      </c>
      <c r="S218" s="21">
        <f t="shared" si="96"/>
        <v>58</v>
      </c>
      <c r="T218" s="21">
        <f t="shared" si="96"/>
        <v>58</v>
      </c>
      <c r="U218" s="21">
        <f t="shared" si="96"/>
        <v>58</v>
      </c>
      <c r="V218" s="21">
        <f t="shared" si="96"/>
        <v>58</v>
      </c>
      <c r="W218" s="21">
        <f t="shared" si="96"/>
        <v>58</v>
      </c>
      <c r="X218" s="21">
        <f t="shared" si="96"/>
        <v>58</v>
      </c>
      <c r="Y218" s="21">
        <f t="shared" si="96"/>
        <v>58</v>
      </c>
      <c r="Z218" s="21">
        <f t="shared" si="96"/>
        <v>58</v>
      </c>
      <c r="AA218" s="21">
        <f t="shared" si="96"/>
        <v>58</v>
      </c>
      <c r="AB218" s="21">
        <f t="shared" si="96"/>
        <v>58</v>
      </c>
      <c r="AC218" s="21">
        <f t="shared" si="96"/>
        <v>58</v>
      </c>
      <c r="AD218" s="21">
        <f t="shared" si="96"/>
        <v>58</v>
      </c>
      <c r="AE218" s="21">
        <f t="shared" si="96"/>
        <v>58</v>
      </c>
      <c r="AF218" s="21">
        <f t="shared" si="96"/>
        <v>58</v>
      </c>
      <c r="AG218" s="21">
        <f t="shared" si="96"/>
        <v>58</v>
      </c>
      <c r="AH218" s="21">
        <f t="shared" si="96"/>
        <v>58</v>
      </c>
      <c r="AI218" s="21">
        <f t="shared" si="96"/>
        <v>58</v>
      </c>
      <c r="AJ218" s="21">
        <f t="shared" si="96"/>
        <v>58</v>
      </c>
      <c r="AK218" s="21">
        <f t="shared" si="96"/>
        <v>58</v>
      </c>
      <c r="AL218" s="21">
        <f t="shared" si="96"/>
        <v>58</v>
      </c>
      <c r="AM218" s="21">
        <f t="shared" si="96"/>
        <v>58</v>
      </c>
      <c r="AN218" s="21">
        <f t="shared" si="96"/>
        <v>58</v>
      </c>
      <c r="AO218" s="21">
        <f t="shared" si="96"/>
        <v>58</v>
      </c>
      <c r="AP218" s="54"/>
      <c r="AQ218" s="1"/>
    </row>
    <row r="219" ht="15.75" customHeight="1">
      <c r="A219" s="1"/>
      <c r="B219" s="35"/>
      <c r="C219" s="35"/>
      <c r="D219" s="35"/>
      <c r="E219" s="33" t="s">
        <v>24</v>
      </c>
      <c r="F219" s="36" t="s">
        <v>25</v>
      </c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>
        <v>23.0</v>
      </c>
      <c r="R219" s="37"/>
      <c r="S219" s="38"/>
      <c r="T219" s="37"/>
      <c r="U219" s="38"/>
      <c r="V219" s="37"/>
      <c r="W219" s="37"/>
      <c r="X219" s="37"/>
      <c r="Y219" s="37"/>
      <c r="Z219" s="37"/>
      <c r="AA219" s="37"/>
      <c r="AB219" s="37"/>
      <c r="AC219" s="37"/>
      <c r="AD219" s="38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9">
        <f t="shared" ref="AP219:AP223" si="97">SUM(H219:AO219)</f>
        <v>23</v>
      </c>
      <c r="AQ219" s="1"/>
    </row>
    <row r="220" ht="15.75" customHeight="1">
      <c r="A220" s="1"/>
      <c r="B220" s="35"/>
      <c r="C220" s="35"/>
      <c r="D220" s="35"/>
      <c r="E220" s="33"/>
      <c r="F220" s="36" t="s">
        <v>93</v>
      </c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8"/>
      <c r="T220" s="37"/>
      <c r="U220" s="38"/>
      <c r="V220" s="37"/>
      <c r="W220" s="37"/>
      <c r="X220" s="37"/>
      <c r="Y220" s="37"/>
      <c r="Z220" s="37"/>
      <c r="AA220" s="37"/>
      <c r="AB220" s="37"/>
      <c r="AC220" s="37"/>
      <c r="AD220" s="38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9">
        <f t="shared" si="97"/>
        <v>0</v>
      </c>
      <c r="AQ220" s="1"/>
    </row>
    <row r="221" ht="15.75" customHeight="1">
      <c r="A221" s="51"/>
      <c r="B221" s="35"/>
      <c r="C221" s="35"/>
      <c r="D221" s="35"/>
      <c r="E221" s="47"/>
      <c r="F221" s="40" t="s">
        <v>26</v>
      </c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8"/>
      <c r="T221" s="49"/>
      <c r="U221" s="48"/>
      <c r="V221" s="49"/>
      <c r="W221" s="49"/>
      <c r="X221" s="49"/>
      <c r="Y221" s="49"/>
      <c r="Z221" s="49"/>
      <c r="AA221" s="49"/>
      <c r="AB221" s="49"/>
      <c r="AC221" s="49"/>
      <c r="AD221" s="48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8"/>
      <c r="AP221" s="50">
        <f t="shared" si="97"/>
        <v>0</v>
      </c>
      <c r="AQ221" s="51"/>
    </row>
    <row r="222" ht="15.75" customHeight="1">
      <c r="A222" s="1"/>
      <c r="B222" s="35"/>
      <c r="C222" s="35"/>
      <c r="D222" s="35"/>
      <c r="E222" s="70" t="s">
        <v>27</v>
      </c>
      <c r="F222" s="41" t="s">
        <v>28</v>
      </c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8"/>
      <c r="T222" s="37"/>
      <c r="U222" s="38"/>
      <c r="V222" s="37"/>
      <c r="W222" s="37"/>
      <c r="X222" s="37"/>
      <c r="Y222" s="37"/>
      <c r="Z222" s="37"/>
      <c r="AA222" s="37"/>
      <c r="AB222" s="37"/>
      <c r="AC222" s="37"/>
      <c r="AD222" s="38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9">
        <f t="shared" si="97"/>
        <v>0</v>
      </c>
      <c r="AQ222" s="1"/>
    </row>
    <row r="223" ht="15.75" customHeight="1">
      <c r="A223" s="1"/>
      <c r="B223" s="35"/>
      <c r="C223" s="35"/>
      <c r="D223" s="35"/>
      <c r="E223" s="71"/>
      <c r="F223" s="41" t="s">
        <v>29</v>
      </c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8"/>
      <c r="T223" s="37"/>
      <c r="U223" s="38"/>
      <c r="V223" s="37"/>
      <c r="W223" s="37"/>
      <c r="X223" s="37"/>
      <c r="Y223" s="37"/>
      <c r="Z223" s="37"/>
      <c r="AA223" s="37"/>
      <c r="AB223" s="37"/>
      <c r="AC223" s="37"/>
      <c r="AD223" s="38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9">
        <f t="shared" si="97"/>
        <v>0</v>
      </c>
      <c r="AQ223" s="1"/>
    </row>
    <row r="224" ht="15.75" customHeight="1">
      <c r="A224" s="1"/>
      <c r="B224" s="42"/>
      <c r="C224" s="42"/>
      <c r="D224" s="42"/>
      <c r="E224" s="72"/>
      <c r="F224" s="43" t="s">
        <v>30</v>
      </c>
      <c r="G224" s="44"/>
      <c r="H224" s="34">
        <f t="shared" ref="H224:AN224" si="98">H218+H219+H220-H221+H222-H223</f>
        <v>35</v>
      </c>
      <c r="I224" s="34">
        <f t="shared" si="98"/>
        <v>35</v>
      </c>
      <c r="J224" s="34">
        <f t="shared" si="98"/>
        <v>35</v>
      </c>
      <c r="K224" s="34">
        <f t="shared" si="98"/>
        <v>35</v>
      </c>
      <c r="L224" s="34">
        <f t="shared" si="98"/>
        <v>35</v>
      </c>
      <c r="M224" s="34">
        <f t="shared" si="98"/>
        <v>35</v>
      </c>
      <c r="N224" s="34">
        <f t="shared" si="98"/>
        <v>35</v>
      </c>
      <c r="O224" s="34">
        <f t="shared" si="98"/>
        <v>35</v>
      </c>
      <c r="P224" s="34">
        <f t="shared" si="98"/>
        <v>35</v>
      </c>
      <c r="Q224" s="34">
        <f t="shared" si="98"/>
        <v>58</v>
      </c>
      <c r="R224" s="34">
        <f t="shared" si="98"/>
        <v>58</v>
      </c>
      <c r="S224" s="34">
        <f t="shared" si="98"/>
        <v>58</v>
      </c>
      <c r="T224" s="34">
        <f t="shared" si="98"/>
        <v>58</v>
      </c>
      <c r="U224" s="34">
        <f t="shared" si="98"/>
        <v>58</v>
      </c>
      <c r="V224" s="34">
        <f t="shared" si="98"/>
        <v>58</v>
      </c>
      <c r="W224" s="34">
        <f t="shared" si="98"/>
        <v>58</v>
      </c>
      <c r="X224" s="34">
        <f t="shared" si="98"/>
        <v>58</v>
      </c>
      <c r="Y224" s="34">
        <f t="shared" si="98"/>
        <v>58</v>
      </c>
      <c r="Z224" s="34">
        <f t="shared" si="98"/>
        <v>58</v>
      </c>
      <c r="AA224" s="34">
        <f t="shared" si="98"/>
        <v>58</v>
      </c>
      <c r="AB224" s="34">
        <f t="shared" si="98"/>
        <v>58</v>
      </c>
      <c r="AC224" s="34">
        <f t="shared" si="98"/>
        <v>58</v>
      </c>
      <c r="AD224" s="34">
        <f t="shared" si="98"/>
        <v>58</v>
      </c>
      <c r="AE224" s="34">
        <f t="shared" si="98"/>
        <v>58</v>
      </c>
      <c r="AF224" s="34">
        <f t="shared" si="98"/>
        <v>58</v>
      </c>
      <c r="AG224" s="34">
        <f t="shared" si="98"/>
        <v>58</v>
      </c>
      <c r="AH224" s="34">
        <f t="shared" si="98"/>
        <v>58</v>
      </c>
      <c r="AI224" s="34">
        <f t="shared" si="98"/>
        <v>58</v>
      </c>
      <c r="AJ224" s="34">
        <f t="shared" si="98"/>
        <v>58</v>
      </c>
      <c r="AK224" s="34">
        <f t="shared" si="98"/>
        <v>58</v>
      </c>
      <c r="AL224" s="34">
        <f t="shared" si="98"/>
        <v>58</v>
      </c>
      <c r="AM224" s="34">
        <f t="shared" si="98"/>
        <v>58</v>
      </c>
      <c r="AN224" s="34">
        <f t="shared" si="98"/>
        <v>58</v>
      </c>
      <c r="AO224" s="34"/>
      <c r="AP224" s="45">
        <f>AO218</f>
        <v>58</v>
      </c>
      <c r="AQ224" s="1"/>
    </row>
    <row r="225" ht="15.75" customHeight="1">
      <c r="A225" s="1"/>
      <c r="B225" s="32"/>
      <c r="C225" s="32" t="s">
        <v>107</v>
      </c>
      <c r="D225" s="32" t="s">
        <v>108</v>
      </c>
      <c r="E225" s="69"/>
      <c r="F225" s="14" t="s">
        <v>23</v>
      </c>
      <c r="G225" s="44"/>
      <c r="H225" s="21">
        <v>45.0</v>
      </c>
      <c r="I225" s="21">
        <f t="shared" ref="I225:AO225" si="99">H231</f>
        <v>45</v>
      </c>
      <c r="J225" s="21">
        <f t="shared" si="99"/>
        <v>45</v>
      </c>
      <c r="K225" s="21">
        <f t="shared" si="99"/>
        <v>45</v>
      </c>
      <c r="L225" s="21">
        <f t="shared" si="99"/>
        <v>45</v>
      </c>
      <c r="M225" s="21">
        <f t="shared" si="99"/>
        <v>45</v>
      </c>
      <c r="N225" s="21">
        <f t="shared" si="99"/>
        <v>45</v>
      </c>
      <c r="O225" s="21">
        <f t="shared" si="99"/>
        <v>45</v>
      </c>
      <c r="P225" s="21">
        <f t="shared" si="99"/>
        <v>45</v>
      </c>
      <c r="Q225" s="21">
        <f t="shared" si="99"/>
        <v>45</v>
      </c>
      <c r="R225" s="21">
        <f t="shared" si="99"/>
        <v>45</v>
      </c>
      <c r="S225" s="21">
        <f t="shared" si="99"/>
        <v>45</v>
      </c>
      <c r="T225" s="21">
        <f t="shared" si="99"/>
        <v>45</v>
      </c>
      <c r="U225" s="21">
        <f t="shared" si="99"/>
        <v>45</v>
      </c>
      <c r="V225" s="21">
        <f t="shared" si="99"/>
        <v>45</v>
      </c>
      <c r="W225" s="21">
        <f t="shared" si="99"/>
        <v>45</v>
      </c>
      <c r="X225" s="21">
        <f t="shared" si="99"/>
        <v>45</v>
      </c>
      <c r="Y225" s="21">
        <f t="shared" si="99"/>
        <v>45</v>
      </c>
      <c r="Z225" s="21">
        <f t="shared" si="99"/>
        <v>45</v>
      </c>
      <c r="AA225" s="21">
        <f t="shared" si="99"/>
        <v>45</v>
      </c>
      <c r="AB225" s="21">
        <f t="shared" si="99"/>
        <v>45</v>
      </c>
      <c r="AC225" s="21">
        <f t="shared" si="99"/>
        <v>45</v>
      </c>
      <c r="AD225" s="21">
        <f t="shared" si="99"/>
        <v>45</v>
      </c>
      <c r="AE225" s="21">
        <f t="shared" si="99"/>
        <v>45</v>
      </c>
      <c r="AF225" s="21">
        <f t="shared" si="99"/>
        <v>45</v>
      </c>
      <c r="AG225" s="21">
        <f t="shared" si="99"/>
        <v>45</v>
      </c>
      <c r="AH225" s="21">
        <f t="shared" si="99"/>
        <v>45</v>
      </c>
      <c r="AI225" s="21">
        <f t="shared" si="99"/>
        <v>45</v>
      </c>
      <c r="AJ225" s="21">
        <f t="shared" si="99"/>
        <v>45</v>
      </c>
      <c r="AK225" s="21">
        <f t="shared" si="99"/>
        <v>45</v>
      </c>
      <c r="AL225" s="21">
        <f t="shared" si="99"/>
        <v>45</v>
      </c>
      <c r="AM225" s="21">
        <f t="shared" si="99"/>
        <v>45</v>
      </c>
      <c r="AN225" s="21">
        <f t="shared" si="99"/>
        <v>45</v>
      </c>
      <c r="AO225" s="21">
        <f t="shared" si="99"/>
        <v>45</v>
      </c>
      <c r="AP225" s="54"/>
      <c r="AQ225" s="1"/>
    </row>
    <row r="226" ht="15.75" customHeight="1">
      <c r="A226" s="1"/>
      <c r="B226" s="35"/>
      <c r="C226" s="35"/>
      <c r="D226" s="35"/>
      <c r="E226" s="33" t="s">
        <v>24</v>
      </c>
      <c r="F226" s="36" t="s">
        <v>25</v>
      </c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8"/>
      <c r="T226" s="37"/>
      <c r="U226" s="38"/>
      <c r="V226" s="37"/>
      <c r="W226" s="37"/>
      <c r="X226" s="37"/>
      <c r="Y226" s="37"/>
      <c r="Z226" s="37"/>
      <c r="AA226" s="37"/>
      <c r="AB226" s="37"/>
      <c r="AC226" s="37"/>
      <c r="AD226" s="38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9">
        <f t="shared" ref="AP226:AP230" si="100">SUM(H226:AO226)</f>
        <v>0</v>
      </c>
      <c r="AQ226" s="1"/>
    </row>
    <row r="227" ht="15.75" customHeight="1">
      <c r="A227" s="1"/>
      <c r="B227" s="35"/>
      <c r="C227" s="35"/>
      <c r="D227" s="35"/>
      <c r="E227" s="33"/>
      <c r="F227" s="36" t="s">
        <v>93</v>
      </c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8"/>
      <c r="T227" s="37"/>
      <c r="U227" s="38"/>
      <c r="V227" s="37"/>
      <c r="W227" s="37"/>
      <c r="X227" s="37"/>
      <c r="Y227" s="37"/>
      <c r="Z227" s="37"/>
      <c r="AA227" s="37"/>
      <c r="AB227" s="37"/>
      <c r="AC227" s="37"/>
      <c r="AD227" s="38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9">
        <f t="shared" si="100"/>
        <v>0</v>
      </c>
      <c r="AQ227" s="1"/>
    </row>
    <row r="228" ht="15.75" customHeight="1">
      <c r="A228" s="51"/>
      <c r="B228" s="35"/>
      <c r="C228" s="35"/>
      <c r="D228" s="35"/>
      <c r="E228" s="47"/>
      <c r="F228" s="40" t="s">
        <v>26</v>
      </c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8"/>
      <c r="T228" s="49"/>
      <c r="U228" s="48"/>
      <c r="V228" s="49"/>
      <c r="W228" s="49"/>
      <c r="X228" s="49"/>
      <c r="Y228" s="49"/>
      <c r="Z228" s="49"/>
      <c r="AA228" s="49"/>
      <c r="AB228" s="49"/>
      <c r="AC228" s="49"/>
      <c r="AD228" s="48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8"/>
      <c r="AP228" s="50">
        <f t="shared" si="100"/>
        <v>0</v>
      </c>
      <c r="AQ228" s="51"/>
    </row>
    <row r="229" ht="15.75" customHeight="1">
      <c r="A229" s="1"/>
      <c r="B229" s="35"/>
      <c r="C229" s="35"/>
      <c r="D229" s="35"/>
      <c r="E229" s="70" t="s">
        <v>27</v>
      </c>
      <c r="F229" s="41" t="s">
        <v>28</v>
      </c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8"/>
      <c r="T229" s="37"/>
      <c r="U229" s="38"/>
      <c r="V229" s="37"/>
      <c r="W229" s="37"/>
      <c r="X229" s="37"/>
      <c r="Y229" s="37"/>
      <c r="Z229" s="37"/>
      <c r="AA229" s="37"/>
      <c r="AB229" s="37"/>
      <c r="AC229" s="37"/>
      <c r="AD229" s="38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9">
        <f t="shared" si="100"/>
        <v>0</v>
      </c>
      <c r="AQ229" s="1"/>
    </row>
    <row r="230" ht="15.75" customHeight="1">
      <c r="A230" s="1"/>
      <c r="B230" s="35"/>
      <c r="C230" s="35"/>
      <c r="D230" s="35"/>
      <c r="E230" s="71"/>
      <c r="F230" s="41" t="s">
        <v>29</v>
      </c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8"/>
      <c r="T230" s="37"/>
      <c r="U230" s="38"/>
      <c r="V230" s="37"/>
      <c r="W230" s="37"/>
      <c r="X230" s="37"/>
      <c r="Y230" s="37"/>
      <c r="Z230" s="37"/>
      <c r="AA230" s="37"/>
      <c r="AB230" s="37"/>
      <c r="AC230" s="37"/>
      <c r="AD230" s="38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9">
        <f t="shared" si="100"/>
        <v>0</v>
      </c>
      <c r="AQ230" s="1"/>
    </row>
    <row r="231" ht="15.75" customHeight="1">
      <c r="A231" s="1"/>
      <c r="B231" s="42"/>
      <c r="C231" s="42"/>
      <c r="D231" s="42"/>
      <c r="E231" s="72"/>
      <c r="F231" s="43" t="s">
        <v>30</v>
      </c>
      <c r="G231" s="44"/>
      <c r="H231" s="34">
        <f t="shared" ref="H231:AN231" si="101">H225+H226+H227-H228+H229-H230</f>
        <v>45</v>
      </c>
      <c r="I231" s="34">
        <f t="shared" si="101"/>
        <v>45</v>
      </c>
      <c r="J231" s="34">
        <f t="shared" si="101"/>
        <v>45</v>
      </c>
      <c r="K231" s="34">
        <f t="shared" si="101"/>
        <v>45</v>
      </c>
      <c r="L231" s="34">
        <f t="shared" si="101"/>
        <v>45</v>
      </c>
      <c r="M231" s="34">
        <f t="shared" si="101"/>
        <v>45</v>
      </c>
      <c r="N231" s="34">
        <f t="shared" si="101"/>
        <v>45</v>
      </c>
      <c r="O231" s="34">
        <f t="shared" si="101"/>
        <v>45</v>
      </c>
      <c r="P231" s="34">
        <f t="shared" si="101"/>
        <v>45</v>
      </c>
      <c r="Q231" s="34">
        <f t="shared" si="101"/>
        <v>45</v>
      </c>
      <c r="R231" s="34">
        <f t="shared" si="101"/>
        <v>45</v>
      </c>
      <c r="S231" s="34">
        <f t="shared" si="101"/>
        <v>45</v>
      </c>
      <c r="T231" s="34">
        <f t="shared" si="101"/>
        <v>45</v>
      </c>
      <c r="U231" s="34">
        <f t="shared" si="101"/>
        <v>45</v>
      </c>
      <c r="V231" s="34">
        <f t="shared" si="101"/>
        <v>45</v>
      </c>
      <c r="W231" s="34">
        <f t="shared" si="101"/>
        <v>45</v>
      </c>
      <c r="X231" s="34">
        <f t="shared" si="101"/>
        <v>45</v>
      </c>
      <c r="Y231" s="34">
        <f t="shared" si="101"/>
        <v>45</v>
      </c>
      <c r="Z231" s="34">
        <f t="shared" si="101"/>
        <v>45</v>
      </c>
      <c r="AA231" s="34">
        <f t="shared" si="101"/>
        <v>45</v>
      </c>
      <c r="AB231" s="34">
        <f t="shared" si="101"/>
        <v>45</v>
      </c>
      <c r="AC231" s="34">
        <f t="shared" si="101"/>
        <v>45</v>
      </c>
      <c r="AD231" s="34">
        <f t="shared" si="101"/>
        <v>45</v>
      </c>
      <c r="AE231" s="34">
        <f t="shared" si="101"/>
        <v>45</v>
      </c>
      <c r="AF231" s="34">
        <f t="shared" si="101"/>
        <v>45</v>
      </c>
      <c r="AG231" s="34">
        <f t="shared" si="101"/>
        <v>45</v>
      </c>
      <c r="AH231" s="34">
        <f t="shared" si="101"/>
        <v>45</v>
      </c>
      <c r="AI231" s="34">
        <f t="shared" si="101"/>
        <v>45</v>
      </c>
      <c r="AJ231" s="34">
        <f t="shared" si="101"/>
        <v>45</v>
      </c>
      <c r="AK231" s="34">
        <f t="shared" si="101"/>
        <v>45</v>
      </c>
      <c r="AL231" s="34">
        <f t="shared" si="101"/>
        <v>45</v>
      </c>
      <c r="AM231" s="34">
        <f t="shared" si="101"/>
        <v>45</v>
      </c>
      <c r="AN231" s="34">
        <f t="shared" si="101"/>
        <v>45</v>
      </c>
      <c r="AO231" s="34"/>
      <c r="AP231" s="45">
        <f>AO225</f>
        <v>45</v>
      </c>
      <c r="AQ231" s="1"/>
    </row>
    <row r="232" ht="15.75" customHeight="1">
      <c r="A232" s="1"/>
      <c r="B232" s="32"/>
      <c r="C232" s="32" t="s">
        <v>109</v>
      </c>
      <c r="D232" s="32" t="s">
        <v>110</v>
      </c>
      <c r="E232" s="69"/>
      <c r="F232" s="14" t="s">
        <v>23</v>
      </c>
      <c r="G232" s="44"/>
      <c r="H232" s="21">
        <v>19.0</v>
      </c>
      <c r="I232" s="21">
        <f t="shared" ref="I232:AO232" si="102">H238</f>
        <v>19</v>
      </c>
      <c r="J232" s="21">
        <f t="shared" si="102"/>
        <v>19</v>
      </c>
      <c r="K232" s="21">
        <f t="shared" si="102"/>
        <v>19</v>
      </c>
      <c r="L232" s="21">
        <f t="shared" si="102"/>
        <v>19</v>
      </c>
      <c r="M232" s="21">
        <f t="shared" si="102"/>
        <v>19</v>
      </c>
      <c r="N232" s="21">
        <f t="shared" si="102"/>
        <v>19</v>
      </c>
      <c r="O232" s="21">
        <f t="shared" si="102"/>
        <v>19</v>
      </c>
      <c r="P232" s="21">
        <f t="shared" si="102"/>
        <v>19</v>
      </c>
      <c r="Q232" s="21">
        <f t="shared" si="102"/>
        <v>19</v>
      </c>
      <c r="R232" s="21">
        <f t="shared" si="102"/>
        <v>19</v>
      </c>
      <c r="S232" s="21">
        <f t="shared" si="102"/>
        <v>19</v>
      </c>
      <c r="T232" s="21">
        <f t="shared" si="102"/>
        <v>19</v>
      </c>
      <c r="U232" s="21">
        <f t="shared" si="102"/>
        <v>19</v>
      </c>
      <c r="V232" s="21">
        <f t="shared" si="102"/>
        <v>19</v>
      </c>
      <c r="W232" s="21">
        <f t="shared" si="102"/>
        <v>19</v>
      </c>
      <c r="X232" s="21">
        <f t="shared" si="102"/>
        <v>19</v>
      </c>
      <c r="Y232" s="21">
        <f t="shared" si="102"/>
        <v>19</v>
      </c>
      <c r="Z232" s="21">
        <f t="shared" si="102"/>
        <v>19</v>
      </c>
      <c r="AA232" s="21">
        <f t="shared" si="102"/>
        <v>19</v>
      </c>
      <c r="AB232" s="21">
        <f t="shared" si="102"/>
        <v>19</v>
      </c>
      <c r="AC232" s="21">
        <f t="shared" si="102"/>
        <v>19</v>
      </c>
      <c r="AD232" s="21">
        <f t="shared" si="102"/>
        <v>19</v>
      </c>
      <c r="AE232" s="21">
        <f t="shared" si="102"/>
        <v>19</v>
      </c>
      <c r="AF232" s="21">
        <f t="shared" si="102"/>
        <v>19</v>
      </c>
      <c r="AG232" s="21">
        <f t="shared" si="102"/>
        <v>19</v>
      </c>
      <c r="AH232" s="21">
        <f t="shared" si="102"/>
        <v>19</v>
      </c>
      <c r="AI232" s="21">
        <f t="shared" si="102"/>
        <v>19</v>
      </c>
      <c r="AJ232" s="21">
        <f t="shared" si="102"/>
        <v>19</v>
      </c>
      <c r="AK232" s="21">
        <f t="shared" si="102"/>
        <v>19</v>
      </c>
      <c r="AL232" s="21">
        <f t="shared" si="102"/>
        <v>19</v>
      </c>
      <c r="AM232" s="21">
        <f t="shared" si="102"/>
        <v>19</v>
      </c>
      <c r="AN232" s="21">
        <f t="shared" si="102"/>
        <v>19</v>
      </c>
      <c r="AO232" s="21">
        <f t="shared" si="102"/>
        <v>19</v>
      </c>
      <c r="AP232" s="54"/>
      <c r="AQ232" s="1"/>
    </row>
    <row r="233" ht="15.75" customHeight="1">
      <c r="A233" s="1"/>
      <c r="B233" s="35"/>
      <c r="C233" s="35"/>
      <c r="D233" s="35"/>
      <c r="E233" s="33" t="s">
        <v>24</v>
      </c>
      <c r="F233" s="36" t="s">
        <v>25</v>
      </c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8"/>
      <c r="T233" s="37"/>
      <c r="U233" s="38"/>
      <c r="V233" s="37"/>
      <c r="W233" s="37"/>
      <c r="X233" s="37"/>
      <c r="Y233" s="37"/>
      <c r="Z233" s="37"/>
      <c r="AA233" s="37"/>
      <c r="AB233" s="37"/>
      <c r="AC233" s="37"/>
      <c r="AD233" s="38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9">
        <f t="shared" ref="AP233:AP237" si="103">SUM(H233:AO233)</f>
        <v>0</v>
      </c>
      <c r="AQ233" s="1"/>
    </row>
    <row r="234" ht="15.75" customHeight="1">
      <c r="A234" s="1"/>
      <c r="B234" s="35"/>
      <c r="C234" s="35"/>
      <c r="D234" s="35"/>
      <c r="E234" s="33"/>
      <c r="F234" s="36" t="s">
        <v>93</v>
      </c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8"/>
      <c r="T234" s="37"/>
      <c r="U234" s="38"/>
      <c r="V234" s="37"/>
      <c r="W234" s="37"/>
      <c r="X234" s="37"/>
      <c r="Y234" s="37"/>
      <c r="Z234" s="37"/>
      <c r="AA234" s="37"/>
      <c r="AB234" s="37"/>
      <c r="AC234" s="37"/>
      <c r="AD234" s="38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9">
        <f t="shared" si="103"/>
        <v>0</v>
      </c>
      <c r="AQ234" s="1"/>
    </row>
    <row r="235" ht="15.75" customHeight="1">
      <c r="A235" s="51"/>
      <c r="B235" s="35"/>
      <c r="C235" s="35"/>
      <c r="D235" s="35"/>
      <c r="E235" s="47"/>
      <c r="F235" s="40" t="s">
        <v>26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8"/>
      <c r="T235" s="49"/>
      <c r="U235" s="48"/>
      <c r="V235" s="49"/>
      <c r="W235" s="49"/>
      <c r="X235" s="49"/>
      <c r="Y235" s="49"/>
      <c r="Z235" s="49"/>
      <c r="AA235" s="49"/>
      <c r="AB235" s="49"/>
      <c r="AC235" s="49"/>
      <c r="AD235" s="48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8"/>
      <c r="AP235" s="50">
        <f t="shared" si="103"/>
        <v>0</v>
      </c>
      <c r="AQ235" s="51"/>
    </row>
    <row r="236" ht="15.75" customHeight="1">
      <c r="A236" s="1"/>
      <c r="B236" s="35"/>
      <c r="C236" s="35"/>
      <c r="D236" s="35"/>
      <c r="E236" s="70" t="s">
        <v>27</v>
      </c>
      <c r="F236" s="41" t="s">
        <v>28</v>
      </c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8"/>
      <c r="T236" s="37"/>
      <c r="U236" s="38"/>
      <c r="V236" s="37"/>
      <c r="W236" s="37"/>
      <c r="X236" s="37"/>
      <c r="Y236" s="37"/>
      <c r="Z236" s="37"/>
      <c r="AA236" s="37"/>
      <c r="AB236" s="37"/>
      <c r="AC236" s="37"/>
      <c r="AD236" s="38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9">
        <f t="shared" si="103"/>
        <v>0</v>
      </c>
      <c r="AQ236" s="1"/>
    </row>
    <row r="237" ht="15.75" customHeight="1">
      <c r="A237" s="1"/>
      <c r="B237" s="35"/>
      <c r="C237" s="35"/>
      <c r="D237" s="35"/>
      <c r="E237" s="71"/>
      <c r="F237" s="41" t="s">
        <v>29</v>
      </c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8"/>
      <c r="T237" s="37"/>
      <c r="U237" s="38"/>
      <c r="V237" s="37"/>
      <c r="W237" s="37"/>
      <c r="X237" s="37"/>
      <c r="Y237" s="37"/>
      <c r="Z237" s="37"/>
      <c r="AA237" s="37"/>
      <c r="AB237" s="37"/>
      <c r="AC237" s="37"/>
      <c r="AD237" s="38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9">
        <f t="shared" si="103"/>
        <v>0</v>
      </c>
      <c r="AQ237" s="1"/>
    </row>
    <row r="238" ht="15.75" customHeight="1">
      <c r="A238" s="1"/>
      <c r="B238" s="42"/>
      <c r="C238" s="42"/>
      <c r="D238" s="42"/>
      <c r="E238" s="72"/>
      <c r="F238" s="43" t="s">
        <v>30</v>
      </c>
      <c r="G238" s="44"/>
      <c r="H238" s="34">
        <f t="shared" ref="H238:AN238" si="104">H232+H233+H234-H235+H236-H237</f>
        <v>19</v>
      </c>
      <c r="I238" s="34">
        <f t="shared" si="104"/>
        <v>19</v>
      </c>
      <c r="J238" s="34">
        <f t="shared" si="104"/>
        <v>19</v>
      </c>
      <c r="K238" s="34">
        <f t="shared" si="104"/>
        <v>19</v>
      </c>
      <c r="L238" s="34">
        <f t="shared" si="104"/>
        <v>19</v>
      </c>
      <c r="M238" s="34">
        <f t="shared" si="104"/>
        <v>19</v>
      </c>
      <c r="N238" s="34">
        <f t="shared" si="104"/>
        <v>19</v>
      </c>
      <c r="O238" s="34">
        <f t="shared" si="104"/>
        <v>19</v>
      </c>
      <c r="P238" s="34">
        <f t="shared" si="104"/>
        <v>19</v>
      </c>
      <c r="Q238" s="34">
        <f t="shared" si="104"/>
        <v>19</v>
      </c>
      <c r="R238" s="34">
        <f t="shared" si="104"/>
        <v>19</v>
      </c>
      <c r="S238" s="34">
        <f t="shared" si="104"/>
        <v>19</v>
      </c>
      <c r="T238" s="34">
        <f t="shared" si="104"/>
        <v>19</v>
      </c>
      <c r="U238" s="34">
        <f t="shared" si="104"/>
        <v>19</v>
      </c>
      <c r="V238" s="34">
        <f t="shared" si="104"/>
        <v>19</v>
      </c>
      <c r="W238" s="34">
        <f t="shared" si="104"/>
        <v>19</v>
      </c>
      <c r="X238" s="34">
        <f t="shared" si="104"/>
        <v>19</v>
      </c>
      <c r="Y238" s="34">
        <f t="shared" si="104"/>
        <v>19</v>
      </c>
      <c r="Z238" s="34">
        <f t="shared" si="104"/>
        <v>19</v>
      </c>
      <c r="AA238" s="34">
        <f t="shared" si="104"/>
        <v>19</v>
      </c>
      <c r="AB238" s="34">
        <f t="shared" si="104"/>
        <v>19</v>
      </c>
      <c r="AC238" s="34">
        <f t="shared" si="104"/>
        <v>19</v>
      </c>
      <c r="AD238" s="34">
        <f t="shared" si="104"/>
        <v>19</v>
      </c>
      <c r="AE238" s="34">
        <f t="shared" si="104"/>
        <v>19</v>
      </c>
      <c r="AF238" s="34">
        <f t="shared" si="104"/>
        <v>19</v>
      </c>
      <c r="AG238" s="34">
        <f t="shared" si="104"/>
        <v>19</v>
      </c>
      <c r="AH238" s="34">
        <f t="shared" si="104"/>
        <v>19</v>
      </c>
      <c r="AI238" s="34">
        <f t="shared" si="104"/>
        <v>19</v>
      </c>
      <c r="AJ238" s="34">
        <f t="shared" si="104"/>
        <v>19</v>
      </c>
      <c r="AK238" s="34">
        <f t="shared" si="104"/>
        <v>19</v>
      </c>
      <c r="AL238" s="34">
        <f t="shared" si="104"/>
        <v>19</v>
      </c>
      <c r="AM238" s="34">
        <f t="shared" si="104"/>
        <v>19</v>
      </c>
      <c r="AN238" s="34">
        <f t="shared" si="104"/>
        <v>19</v>
      </c>
      <c r="AO238" s="34"/>
      <c r="AP238" s="45">
        <f>AO232</f>
        <v>19</v>
      </c>
      <c r="AQ238" s="1"/>
    </row>
    <row r="239" ht="15.75" customHeight="1">
      <c r="A239" s="1"/>
      <c r="B239" s="32"/>
      <c r="C239" s="32" t="s">
        <v>111</v>
      </c>
      <c r="D239" s="32" t="s">
        <v>33</v>
      </c>
      <c r="E239" s="69"/>
      <c r="F239" s="14" t="s">
        <v>23</v>
      </c>
      <c r="G239" s="44"/>
      <c r="H239" s="21">
        <v>13.0</v>
      </c>
      <c r="I239" s="21">
        <f t="shared" ref="I239:AO239" si="105">H245</f>
        <v>13</v>
      </c>
      <c r="J239" s="21">
        <f t="shared" si="105"/>
        <v>13</v>
      </c>
      <c r="K239" s="21">
        <f t="shared" si="105"/>
        <v>13</v>
      </c>
      <c r="L239" s="21">
        <f t="shared" si="105"/>
        <v>13</v>
      </c>
      <c r="M239" s="21">
        <f t="shared" si="105"/>
        <v>13</v>
      </c>
      <c r="N239" s="21">
        <f t="shared" si="105"/>
        <v>13</v>
      </c>
      <c r="O239" s="21">
        <f t="shared" si="105"/>
        <v>13</v>
      </c>
      <c r="P239" s="21">
        <f t="shared" si="105"/>
        <v>13</v>
      </c>
      <c r="Q239" s="21">
        <f t="shared" si="105"/>
        <v>13</v>
      </c>
      <c r="R239" s="21">
        <f t="shared" si="105"/>
        <v>13</v>
      </c>
      <c r="S239" s="21">
        <f t="shared" si="105"/>
        <v>13</v>
      </c>
      <c r="T239" s="21">
        <f t="shared" si="105"/>
        <v>13</v>
      </c>
      <c r="U239" s="21">
        <f t="shared" si="105"/>
        <v>13</v>
      </c>
      <c r="V239" s="21">
        <f t="shared" si="105"/>
        <v>13</v>
      </c>
      <c r="W239" s="21">
        <f t="shared" si="105"/>
        <v>13</v>
      </c>
      <c r="X239" s="21">
        <f t="shared" si="105"/>
        <v>13</v>
      </c>
      <c r="Y239" s="21">
        <f t="shared" si="105"/>
        <v>13</v>
      </c>
      <c r="Z239" s="21">
        <f t="shared" si="105"/>
        <v>13</v>
      </c>
      <c r="AA239" s="21">
        <f t="shared" si="105"/>
        <v>13</v>
      </c>
      <c r="AB239" s="21">
        <f t="shared" si="105"/>
        <v>13</v>
      </c>
      <c r="AC239" s="21">
        <f t="shared" si="105"/>
        <v>13</v>
      </c>
      <c r="AD239" s="21">
        <f t="shared" si="105"/>
        <v>13</v>
      </c>
      <c r="AE239" s="21">
        <f t="shared" si="105"/>
        <v>13</v>
      </c>
      <c r="AF239" s="21">
        <f t="shared" si="105"/>
        <v>13</v>
      </c>
      <c r="AG239" s="21">
        <f t="shared" si="105"/>
        <v>13</v>
      </c>
      <c r="AH239" s="21">
        <f t="shared" si="105"/>
        <v>13</v>
      </c>
      <c r="AI239" s="21">
        <f t="shared" si="105"/>
        <v>13</v>
      </c>
      <c r="AJ239" s="21">
        <f t="shared" si="105"/>
        <v>13</v>
      </c>
      <c r="AK239" s="21">
        <f t="shared" si="105"/>
        <v>13</v>
      </c>
      <c r="AL239" s="21">
        <f t="shared" si="105"/>
        <v>13</v>
      </c>
      <c r="AM239" s="21">
        <f t="shared" si="105"/>
        <v>13</v>
      </c>
      <c r="AN239" s="21">
        <f t="shared" si="105"/>
        <v>13</v>
      </c>
      <c r="AO239" s="21">
        <f t="shared" si="105"/>
        <v>13</v>
      </c>
      <c r="AP239" s="54"/>
      <c r="AQ239" s="1"/>
    </row>
    <row r="240" ht="15.75" customHeight="1">
      <c r="A240" s="1"/>
      <c r="B240" s="35"/>
      <c r="C240" s="35"/>
      <c r="D240" s="35"/>
      <c r="E240" s="33" t="s">
        <v>24</v>
      </c>
      <c r="F240" s="36" t="s">
        <v>25</v>
      </c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8"/>
      <c r="T240" s="37"/>
      <c r="U240" s="38"/>
      <c r="V240" s="37"/>
      <c r="W240" s="37"/>
      <c r="X240" s="37"/>
      <c r="Y240" s="37"/>
      <c r="Z240" s="37"/>
      <c r="AA240" s="37"/>
      <c r="AB240" s="37"/>
      <c r="AC240" s="37"/>
      <c r="AD240" s="38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9">
        <f t="shared" ref="AP240:AP244" si="106">SUM(H240:AO240)</f>
        <v>0</v>
      </c>
      <c r="AQ240" s="1"/>
    </row>
    <row r="241" ht="15.75" customHeight="1">
      <c r="A241" s="1"/>
      <c r="B241" s="35"/>
      <c r="C241" s="35"/>
      <c r="D241" s="35"/>
      <c r="E241" s="33"/>
      <c r="F241" s="36" t="s">
        <v>93</v>
      </c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8"/>
      <c r="T241" s="37"/>
      <c r="U241" s="38"/>
      <c r="V241" s="37"/>
      <c r="W241" s="37"/>
      <c r="X241" s="37"/>
      <c r="Y241" s="37"/>
      <c r="Z241" s="37"/>
      <c r="AA241" s="37"/>
      <c r="AB241" s="37"/>
      <c r="AC241" s="37"/>
      <c r="AD241" s="38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9">
        <f t="shared" si="106"/>
        <v>0</v>
      </c>
      <c r="AQ241" s="1"/>
    </row>
    <row r="242" ht="15.75" customHeight="1">
      <c r="A242" s="51"/>
      <c r="B242" s="35"/>
      <c r="C242" s="35"/>
      <c r="D242" s="35"/>
      <c r="E242" s="47"/>
      <c r="F242" s="40" t="s">
        <v>26</v>
      </c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8"/>
      <c r="T242" s="49"/>
      <c r="U242" s="48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8"/>
      <c r="AP242" s="50">
        <f t="shared" si="106"/>
        <v>0</v>
      </c>
      <c r="AQ242" s="51"/>
    </row>
    <row r="243" ht="15.75" customHeight="1">
      <c r="A243" s="1"/>
      <c r="B243" s="35"/>
      <c r="C243" s="35"/>
      <c r="D243" s="35"/>
      <c r="E243" s="70" t="s">
        <v>27</v>
      </c>
      <c r="F243" s="41" t="s">
        <v>28</v>
      </c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8"/>
      <c r="T243" s="37"/>
      <c r="U243" s="38"/>
      <c r="V243" s="37"/>
      <c r="W243" s="37"/>
      <c r="X243" s="37"/>
      <c r="Y243" s="37"/>
      <c r="Z243" s="37"/>
      <c r="AA243" s="37"/>
      <c r="AB243" s="37"/>
      <c r="AC243" s="37"/>
      <c r="AD243" s="38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9">
        <f t="shared" si="106"/>
        <v>0</v>
      </c>
      <c r="AQ243" s="1"/>
    </row>
    <row r="244" ht="15.75" customHeight="1">
      <c r="A244" s="1"/>
      <c r="B244" s="35"/>
      <c r="C244" s="35"/>
      <c r="D244" s="35"/>
      <c r="E244" s="71"/>
      <c r="F244" s="41" t="s">
        <v>29</v>
      </c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8"/>
      <c r="T244" s="37"/>
      <c r="U244" s="38"/>
      <c r="V244" s="37"/>
      <c r="W244" s="37"/>
      <c r="X244" s="37"/>
      <c r="Y244" s="37"/>
      <c r="Z244" s="37"/>
      <c r="AA244" s="37"/>
      <c r="AB244" s="37"/>
      <c r="AC244" s="37"/>
      <c r="AD244" s="38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9">
        <f t="shared" si="106"/>
        <v>0</v>
      </c>
      <c r="AQ244" s="1"/>
    </row>
    <row r="245" ht="15.75" customHeight="1">
      <c r="A245" s="1"/>
      <c r="B245" s="42"/>
      <c r="C245" s="42"/>
      <c r="D245" s="42"/>
      <c r="E245" s="72"/>
      <c r="F245" s="43" t="s">
        <v>30</v>
      </c>
      <c r="G245" s="44"/>
      <c r="H245" s="34">
        <f t="shared" ref="H245:AN245" si="107">H239+H240+H241-H242+H243-H244</f>
        <v>13</v>
      </c>
      <c r="I245" s="34">
        <f t="shared" si="107"/>
        <v>13</v>
      </c>
      <c r="J245" s="34">
        <f t="shared" si="107"/>
        <v>13</v>
      </c>
      <c r="K245" s="34">
        <f t="shared" si="107"/>
        <v>13</v>
      </c>
      <c r="L245" s="34">
        <f t="shared" si="107"/>
        <v>13</v>
      </c>
      <c r="M245" s="34">
        <f t="shared" si="107"/>
        <v>13</v>
      </c>
      <c r="N245" s="34">
        <f t="shared" si="107"/>
        <v>13</v>
      </c>
      <c r="O245" s="34">
        <f t="shared" si="107"/>
        <v>13</v>
      </c>
      <c r="P245" s="34">
        <f t="shared" si="107"/>
        <v>13</v>
      </c>
      <c r="Q245" s="34">
        <f t="shared" si="107"/>
        <v>13</v>
      </c>
      <c r="R245" s="34">
        <f t="shared" si="107"/>
        <v>13</v>
      </c>
      <c r="S245" s="34">
        <f t="shared" si="107"/>
        <v>13</v>
      </c>
      <c r="T245" s="34">
        <f t="shared" si="107"/>
        <v>13</v>
      </c>
      <c r="U245" s="34">
        <f t="shared" si="107"/>
        <v>13</v>
      </c>
      <c r="V245" s="34">
        <f t="shared" si="107"/>
        <v>13</v>
      </c>
      <c r="W245" s="34">
        <f t="shared" si="107"/>
        <v>13</v>
      </c>
      <c r="X245" s="34">
        <f t="shared" si="107"/>
        <v>13</v>
      </c>
      <c r="Y245" s="34">
        <f t="shared" si="107"/>
        <v>13</v>
      </c>
      <c r="Z245" s="34">
        <f t="shared" si="107"/>
        <v>13</v>
      </c>
      <c r="AA245" s="34">
        <f t="shared" si="107"/>
        <v>13</v>
      </c>
      <c r="AB245" s="34">
        <f t="shared" si="107"/>
        <v>13</v>
      </c>
      <c r="AC245" s="34">
        <f t="shared" si="107"/>
        <v>13</v>
      </c>
      <c r="AD245" s="34">
        <f t="shared" si="107"/>
        <v>13</v>
      </c>
      <c r="AE245" s="34">
        <f t="shared" si="107"/>
        <v>13</v>
      </c>
      <c r="AF245" s="34">
        <f t="shared" si="107"/>
        <v>13</v>
      </c>
      <c r="AG245" s="34">
        <f t="shared" si="107"/>
        <v>13</v>
      </c>
      <c r="AH245" s="34">
        <f t="shared" si="107"/>
        <v>13</v>
      </c>
      <c r="AI245" s="34">
        <f t="shared" si="107"/>
        <v>13</v>
      </c>
      <c r="AJ245" s="34">
        <f t="shared" si="107"/>
        <v>13</v>
      </c>
      <c r="AK245" s="34">
        <f t="shared" si="107"/>
        <v>13</v>
      </c>
      <c r="AL245" s="34">
        <f t="shared" si="107"/>
        <v>13</v>
      </c>
      <c r="AM245" s="34">
        <f t="shared" si="107"/>
        <v>13</v>
      </c>
      <c r="AN245" s="34">
        <f t="shared" si="107"/>
        <v>13</v>
      </c>
      <c r="AO245" s="34"/>
      <c r="AP245" s="45">
        <f>AO239</f>
        <v>13</v>
      </c>
      <c r="AQ245" s="1"/>
    </row>
    <row r="246" ht="15.75" customHeight="1">
      <c r="A246" s="1"/>
      <c r="B246" s="32"/>
      <c r="C246" s="32" t="s">
        <v>112</v>
      </c>
      <c r="D246" s="32" t="s">
        <v>106</v>
      </c>
      <c r="E246" s="69"/>
      <c r="F246" s="14" t="s">
        <v>23</v>
      </c>
      <c r="G246" s="44"/>
      <c r="H246" s="21">
        <v>67.0</v>
      </c>
      <c r="I246" s="21">
        <f t="shared" ref="I246:AO246" si="108">H252</f>
        <v>67</v>
      </c>
      <c r="J246" s="21">
        <f t="shared" si="108"/>
        <v>26</v>
      </c>
      <c r="K246" s="21">
        <f t="shared" si="108"/>
        <v>26</v>
      </c>
      <c r="L246" s="21">
        <f t="shared" si="108"/>
        <v>26</v>
      </c>
      <c r="M246" s="21">
        <f t="shared" si="108"/>
        <v>0</v>
      </c>
      <c r="N246" s="21">
        <f t="shared" si="108"/>
        <v>0</v>
      </c>
      <c r="O246" s="21">
        <f t="shared" si="108"/>
        <v>0</v>
      </c>
      <c r="P246" s="21">
        <f t="shared" si="108"/>
        <v>0</v>
      </c>
      <c r="Q246" s="21">
        <f t="shared" si="108"/>
        <v>0</v>
      </c>
      <c r="R246" s="21">
        <f t="shared" si="108"/>
        <v>0</v>
      </c>
      <c r="S246" s="21">
        <f t="shared" si="108"/>
        <v>0</v>
      </c>
      <c r="T246" s="21">
        <f t="shared" si="108"/>
        <v>0</v>
      </c>
      <c r="U246" s="21">
        <f t="shared" si="108"/>
        <v>0</v>
      </c>
      <c r="V246" s="21">
        <f t="shared" si="108"/>
        <v>0</v>
      </c>
      <c r="W246" s="21">
        <f t="shared" si="108"/>
        <v>0</v>
      </c>
      <c r="X246" s="21">
        <f t="shared" si="108"/>
        <v>0</v>
      </c>
      <c r="Y246" s="21">
        <f t="shared" si="108"/>
        <v>0</v>
      </c>
      <c r="Z246" s="21">
        <f t="shared" si="108"/>
        <v>0</v>
      </c>
      <c r="AA246" s="21">
        <f t="shared" si="108"/>
        <v>0</v>
      </c>
      <c r="AB246" s="21">
        <f t="shared" si="108"/>
        <v>0</v>
      </c>
      <c r="AC246" s="21">
        <f t="shared" si="108"/>
        <v>0</v>
      </c>
      <c r="AD246" s="21">
        <f t="shared" si="108"/>
        <v>0</v>
      </c>
      <c r="AE246" s="21">
        <f t="shared" si="108"/>
        <v>0</v>
      </c>
      <c r="AF246" s="21">
        <f t="shared" si="108"/>
        <v>0</v>
      </c>
      <c r="AG246" s="21">
        <f t="shared" si="108"/>
        <v>0</v>
      </c>
      <c r="AH246" s="21">
        <f t="shared" si="108"/>
        <v>0</v>
      </c>
      <c r="AI246" s="21">
        <f t="shared" si="108"/>
        <v>0</v>
      </c>
      <c r="AJ246" s="21">
        <f t="shared" si="108"/>
        <v>0</v>
      </c>
      <c r="AK246" s="21">
        <f t="shared" si="108"/>
        <v>0</v>
      </c>
      <c r="AL246" s="21">
        <f t="shared" si="108"/>
        <v>0</v>
      </c>
      <c r="AM246" s="21">
        <f t="shared" si="108"/>
        <v>0</v>
      </c>
      <c r="AN246" s="21">
        <f t="shared" si="108"/>
        <v>0</v>
      </c>
      <c r="AO246" s="21">
        <f t="shared" si="108"/>
        <v>0</v>
      </c>
      <c r="AP246" s="54"/>
      <c r="AQ246" s="1"/>
    </row>
    <row r="247" ht="15.75" customHeight="1">
      <c r="A247" s="1"/>
      <c r="B247" s="35"/>
      <c r="C247" s="35"/>
      <c r="D247" s="35"/>
      <c r="E247" s="33" t="s">
        <v>24</v>
      </c>
      <c r="F247" s="36" t="s">
        <v>25</v>
      </c>
      <c r="G247" s="37"/>
      <c r="H247" s="37"/>
      <c r="I247" s="37">
        <v>26.0</v>
      </c>
      <c r="J247" s="37"/>
      <c r="K247" s="37"/>
      <c r="L247" s="37"/>
      <c r="M247" s="37"/>
      <c r="N247" s="37"/>
      <c r="O247" s="37"/>
      <c r="P247" s="37"/>
      <c r="Q247" s="37"/>
      <c r="R247" s="37"/>
      <c r="S247" s="38"/>
      <c r="T247" s="37"/>
      <c r="U247" s="38"/>
      <c r="V247" s="37"/>
      <c r="W247" s="37"/>
      <c r="X247" s="37"/>
      <c r="Y247" s="37"/>
      <c r="Z247" s="37"/>
      <c r="AA247" s="37"/>
      <c r="AB247" s="37"/>
      <c r="AC247" s="37"/>
      <c r="AD247" s="38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9">
        <f t="shared" ref="AP247:AP251" si="109">SUM(H247:AO247)</f>
        <v>26</v>
      </c>
      <c r="AQ247" s="1"/>
    </row>
    <row r="248" ht="15.75" customHeight="1">
      <c r="A248" s="1"/>
      <c r="B248" s="35"/>
      <c r="C248" s="35"/>
      <c r="D248" s="35"/>
      <c r="E248" s="33"/>
      <c r="F248" s="36" t="s">
        <v>93</v>
      </c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8"/>
      <c r="T248" s="37"/>
      <c r="U248" s="38"/>
      <c r="V248" s="37"/>
      <c r="W248" s="37"/>
      <c r="X248" s="37"/>
      <c r="Y248" s="37"/>
      <c r="Z248" s="37"/>
      <c r="AA248" s="37"/>
      <c r="AB248" s="37"/>
      <c r="AC248" s="37"/>
      <c r="AD248" s="38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9">
        <f t="shared" si="109"/>
        <v>0</v>
      </c>
      <c r="AQ248" s="1"/>
    </row>
    <row r="249" ht="15.75" customHeight="1">
      <c r="A249" s="51"/>
      <c r="B249" s="35"/>
      <c r="C249" s="35"/>
      <c r="D249" s="35"/>
      <c r="E249" s="47"/>
      <c r="F249" s="40" t="s">
        <v>26</v>
      </c>
      <c r="G249" s="49"/>
      <c r="H249" s="49"/>
      <c r="I249" s="49">
        <v>67.0</v>
      </c>
      <c r="J249" s="49"/>
      <c r="K249" s="49"/>
      <c r="L249" s="49">
        <v>26.0</v>
      </c>
      <c r="M249" s="49"/>
      <c r="N249" s="49"/>
      <c r="O249" s="49"/>
      <c r="P249" s="49"/>
      <c r="Q249" s="49"/>
      <c r="R249" s="49"/>
      <c r="S249" s="48"/>
      <c r="T249" s="49"/>
      <c r="U249" s="48"/>
      <c r="V249" s="49"/>
      <c r="W249" s="49"/>
      <c r="X249" s="49"/>
      <c r="Y249" s="49"/>
      <c r="Z249" s="49"/>
      <c r="AA249" s="49"/>
      <c r="AB249" s="49"/>
      <c r="AC249" s="49"/>
      <c r="AD249" s="48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8"/>
      <c r="AP249" s="50">
        <f t="shared" si="109"/>
        <v>93</v>
      </c>
      <c r="AQ249" s="51"/>
    </row>
    <row r="250" ht="15.75" customHeight="1">
      <c r="A250" s="1"/>
      <c r="B250" s="35"/>
      <c r="C250" s="35"/>
      <c r="D250" s="35"/>
      <c r="E250" s="70" t="s">
        <v>27</v>
      </c>
      <c r="F250" s="41" t="s">
        <v>28</v>
      </c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8"/>
      <c r="T250" s="37"/>
      <c r="U250" s="38"/>
      <c r="V250" s="37"/>
      <c r="W250" s="37"/>
      <c r="X250" s="37"/>
      <c r="Y250" s="37"/>
      <c r="Z250" s="37"/>
      <c r="AA250" s="37"/>
      <c r="AB250" s="37"/>
      <c r="AC250" s="37"/>
      <c r="AD250" s="38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9">
        <f t="shared" si="109"/>
        <v>0</v>
      </c>
      <c r="AQ250" s="1"/>
    </row>
    <row r="251" ht="15.75" customHeight="1">
      <c r="A251" s="1"/>
      <c r="B251" s="35"/>
      <c r="C251" s="35"/>
      <c r="D251" s="35"/>
      <c r="E251" s="71"/>
      <c r="F251" s="41" t="s">
        <v>29</v>
      </c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8"/>
      <c r="T251" s="37"/>
      <c r="U251" s="38"/>
      <c r="V251" s="37"/>
      <c r="W251" s="37"/>
      <c r="X251" s="37"/>
      <c r="Y251" s="37"/>
      <c r="Z251" s="37"/>
      <c r="AA251" s="37"/>
      <c r="AB251" s="37"/>
      <c r="AC251" s="37"/>
      <c r="AD251" s="38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9">
        <f t="shared" si="109"/>
        <v>0</v>
      </c>
      <c r="AQ251" s="1"/>
    </row>
    <row r="252" ht="15.75" customHeight="1">
      <c r="A252" s="1"/>
      <c r="B252" s="42"/>
      <c r="C252" s="42"/>
      <c r="D252" s="42"/>
      <c r="E252" s="72"/>
      <c r="F252" s="43" t="s">
        <v>30</v>
      </c>
      <c r="G252" s="44"/>
      <c r="H252" s="34">
        <f t="shared" ref="H252:AN252" si="110">H246+H247+H248-H249+H250-H251</f>
        <v>67</v>
      </c>
      <c r="I252" s="34">
        <f t="shared" si="110"/>
        <v>26</v>
      </c>
      <c r="J252" s="34">
        <f t="shared" si="110"/>
        <v>26</v>
      </c>
      <c r="K252" s="34">
        <f t="shared" si="110"/>
        <v>26</v>
      </c>
      <c r="L252" s="34">
        <f t="shared" si="110"/>
        <v>0</v>
      </c>
      <c r="M252" s="34">
        <f t="shared" si="110"/>
        <v>0</v>
      </c>
      <c r="N252" s="34">
        <f t="shared" si="110"/>
        <v>0</v>
      </c>
      <c r="O252" s="34">
        <f t="shared" si="110"/>
        <v>0</v>
      </c>
      <c r="P252" s="34">
        <f t="shared" si="110"/>
        <v>0</v>
      </c>
      <c r="Q252" s="34">
        <f t="shared" si="110"/>
        <v>0</v>
      </c>
      <c r="R252" s="34">
        <f t="shared" si="110"/>
        <v>0</v>
      </c>
      <c r="S252" s="34">
        <f t="shared" si="110"/>
        <v>0</v>
      </c>
      <c r="T252" s="34">
        <f t="shared" si="110"/>
        <v>0</v>
      </c>
      <c r="U252" s="34">
        <f t="shared" si="110"/>
        <v>0</v>
      </c>
      <c r="V252" s="34">
        <f t="shared" si="110"/>
        <v>0</v>
      </c>
      <c r="W252" s="34">
        <f t="shared" si="110"/>
        <v>0</v>
      </c>
      <c r="X252" s="34">
        <f t="shared" si="110"/>
        <v>0</v>
      </c>
      <c r="Y252" s="34">
        <f t="shared" si="110"/>
        <v>0</v>
      </c>
      <c r="Z252" s="34">
        <f t="shared" si="110"/>
        <v>0</v>
      </c>
      <c r="AA252" s="34">
        <f t="shared" si="110"/>
        <v>0</v>
      </c>
      <c r="AB252" s="34">
        <f t="shared" si="110"/>
        <v>0</v>
      </c>
      <c r="AC252" s="34">
        <f t="shared" si="110"/>
        <v>0</v>
      </c>
      <c r="AD252" s="34">
        <f t="shared" si="110"/>
        <v>0</v>
      </c>
      <c r="AE252" s="34">
        <f t="shared" si="110"/>
        <v>0</v>
      </c>
      <c r="AF252" s="34">
        <f t="shared" si="110"/>
        <v>0</v>
      </c>
      <c r="AG252" s="34">
        <f t="shared" si="110"/>
        <v>0</v>
      </c>
      <c r="AH252" s="34">
        <f t="shared" si="110"/>
        <v>0</v>
      </c>
      <c r="AI252" s="34">
        <f t="shared" si="110"/>
        <v>0</v>
      </c>
      <c r="AJ252" s="34">
        <f t="shared" si="110"/>
        <v>0</v>
      </c>
      <c r="AK252" s="34">
        <f t="shared" si="110"/>
        <v>0</v>
      </c>
      <c r="AL252" s="34">
        <f t="shared" si="110"/>
        <v>0</v>
      </c>
      <c r="AM252" s="34">
        <f t="shared" si="110"/>
        <v>0</v>
      </c>
      <c r="AN252" s="34">
        <f t="shared" si="110"/>
        <v>0</v>
      </c>
      <c r="AO252" s="34"/>
      <c r="AP252" s="45">
        <f>AO246</f>
        <v>0</v>
      </c>
      <c r="AQ252" s="1"/>
    </row>
    <row r="253" ht="15.75" customHeight="1">
      <c r="A253" s="1"/>
      <c r="B253" s="32"/>
      <c r="C253" s="32" t="s">
        <v>113</v>
      </c>
      <c r="D253" s="32" t="s">
        <v>114</v>
      </c>
      <c r="E253" s="13"/>
      <c r="F253" s="14" t="s">
        <v>23</v>
      </c>
      <c r="G253" s="44"/>
      <c r="H253" s="21">
        <v>0.0</v>
      </c>
      <c r="I253" s="21">
        <f t="shared" ref="I253:AO253" si="111">H259</f>
        <v>0</v>
      </c>
      <c r="J253" s="21">
        <f t="shared" si="111"/>
        <v>0</v>
      </c>
      <c r="K253" s="21">
        <f t="shared" si="111"/>
        <v>0</v>
      </c>
      <c r="L253" s="21">
        <f t="shared" si="111"/>
        <v>0</v>
      </c>
      <c r="M253" s="21">
        <f t="shared" si="111"/>
        <v>0</v>
      </c>
      <c r="N253" s="21">
        <f t="shared" si="111"/>
        <v>0</v>
      </c>
      <c r="O253" s="21">
        <f t="shared" si="111"/>
        <v>0</v>
      </c>
      <c r="P253" s="21">
        <f t="shared" si="111"/>
        <v>0</v>
      </c>
      <c r="Q253" s="21">
        <f t="shared" si="111"/>
        <v>0</v>
      </c>
      <c r="R253" s="21">
        <f t="shared" si="111"/>
        <v>0</v>
      </c>
      <c r="S253" s="21">
        <f t="shared" si="111"/>
        <v>0</v>
      </c>
      <c r="T253" s="21">
        <f t="shared" si="111"/>
        <v>0</v>
      </c>
      <c r="U253" s="21">
        <f t="shared" si="111"/>
        <v>0</v>
      </c>
      <c r="V253" s="21">
        <f t="shared" si="111"/>
        <v>0</v>
      </c>
      <c r="W253" s="21">
        <f t="shared" si="111"/>
        <v>0</v>
      </c>
      <c r="X253" s="21">
        <f t="shared" si="111"/>
        <v>0</v>
      </c>
      <c r="Y253" s="21">
        <f t="shared" si="111"/>
        <v>0</v>
      </c>
      <c r="Z253" s="21">
        <f t="shared" si="111"/>
        <v>0</v>
      </c>
      <c r="AA253" s="21">
        <f t="shared" si="111"/>
        <v>0</v>
      </c>
      <c r="AB253" s="21">
        <f t="shared" si="111"/>
        <v>0</v>
      </c>
      <c r="AC253" s="21">
        <f t="shared" si="111"/>
        <v>0</v>
      </c>
      <c r="AD253" s="21">
        <f t="shared" si="111"/>
        <v>0</v>
      </c>
      <c r="AE253" s="21">
        <f t="shared" si="111"/>
        <v>0</v>
      </c>
      <c r="AF253" s="21">
        <f t="shared" si="111"/>
        <v>0</v>
      </c>
      <c r="AG253" s="21">
        <f t="shared" si="111"/>
        <v>0</v>
      </c>
      <c r="AH253" s="21">
        <f t="shared" si="111"/>
        <v>0</v>
      </c>
      <c r="AI253" s="21">
        <f t="shared" si="111"/>
        <v>0</v>
      </c>
      <c r="AJ253" s="21">
        <f t="shared" si="111"/>
        <v>0</v>
      </c>
      <c r="AK253" s="21">
        <f t="shared" si="111"/>
        <v>0</v>
      </c>
      <c r="AL253" s="21">
        <f t="shared" si="111"/>
        <v>0</v>
      </c>
      <c r="AM253" s="21">
        <f t="shared" si="111"/>
        <v>0</v>
      </c>
      <c r="AN253" s="21">
        <f t="shared" si="111"/>
        <v>0</v>
      </c>
      <c r="AO253" s="21">
        <f t="shared" si="111"/>
        <v>0</v>
      </c>
      <c r="AP253" s="54"/>
      <c r="AQ253" s="1"/>
    </row>
    <row r="254" ht="15.75" customHeight="1">
      <c r="A254" s="1"/>
      <c r="B254" s="35"/>
      <c r="C254" s="35"/>
      <c r="D254" s="35"/>
      <c r="E254" s="33" t="s">
        <v>24</v>
      </c>
      <c r="F254" s="36" t="s">
        <v>25</v>
      </c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8"/>
      <c r="T254" s="37"/>
      <c r="U254" s="38"/>
      <c r="V254" s="37"/>
      <c r="W254" s="37"/>
      <c r="X254" s="37"/>
      <c r="Y254" s="37"/>
      <c r="Z254" s="37"/>
      <c r="AA254" s="37"/>
      <c r="AB254" s="37"/>
      <c r="AC254" s="37"/>
      <c r="AD254" s="38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9">
        <f t="shared" ref="AP254:AP258" si="112">SUM(H254:AO254)</f>
        <v>0</v>
      </c>
      <c r="AQ254" s="1"/>
    </row>
    <row r="255" ht="15.75" customHeight="1">
      <c r="A255" s="1"/>
      <c r="B255" s="35"/>
      <c r="C255" s="35"/>
      <c r="D255" s="35"/>
      <c r="E255" s="33"/>
      <c r="F255" s="36" t="s">
        <v>94</v>
      </c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8"/>
      <c r="T255" s="37"/>
      <c r="U255" s="38"/>
      <c r="V255" s="37"/>
      <c r="W255" s="37"/>
      <c r="X255" s="37"/>
      <c r="Y255" s="37"/>
      <c r="Z255" s="37"/>
      <c r="AA255" s="37"/>
      <c r="AB255" s="37"/>
      <c r="AC255" s="37"/>
      <c r="AD255" s="38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9">
        <f t="shared" si="112"/>
        <v>0</v>
      </c>
      <c r="AQ255" s="1"/>
    </row>
    <row r="256" ht="15.75" customHeight="1">
      <c r="A256" s="1"/>
      <c r="B256" s="35"/>
      <c r="C256" s="35"/>
      <c r="D256" s="35"/>
      <c r="E256" s="33"/>
      <c r="F256" s="40" t="s">
        <v>26</v>
      </c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8"/>
      <c r="T256" s="37"/>
      <c r="U256" s="38"/>
      <c r="V256" s="37"/>
      <c r="W256" s="37"/>
      <c r="X256" s="37"/>
      <c r="Y256" s="37"/>
      <c r="Z256" s="37"/>
      <c r="AA256" s="37"/>
      <c r="AB256" s="37"/>
      <c r="AC256" s="37"/>
      <c r="AD256" s="38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8"/>
      <c r="AP256" s="39">
        <f t="shared" si="112"/>
        <v>0</v>
      </c>
      <c r="AQ256" s="1"/>
    </row>
    <row r="257" ht="15.75" customHeight="1">
      <c r="A257" s="1"/>
      <c r="B257" s="35"/>
      <c r="C257" s="35"/>
      <c r="D257" s="35"/>
      <c r="E257" s="33" t="s">
        <v>27</v>
      </c>
      <c r="F257" s="41" t="s">
        <v>28</v>
      </c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8"/>
      <c r="T257" s="37"/>
      <c r="U257" s="38"/>
      <c r="V257" s="37"/>
      <c r="W257" s="37"/>
      <c r="X257" s="37"/>
      <c r="Y257" s="37"/>
      <c r="Z257" s="37"/>
      <c r="AA257" s="37"/>
      <c r="AB257" s="37"/>
      <c r="AC257" s="37"/>
      <c r="AD257" s="38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9">
        <f t="shared" si="112"/>
        <v>0</v>
      </c>
      <c r="AQ257" s="1"/>
    </row>
    <row r="258" ht="15.75" customHeight="1">
      <c r="A258" s="1"/>
      <c r="B258" s="35"/>
      <c r="C258" s="35"/>
      <c r="D258" s="35"/>
      <c r="E258" s="33"/>
      <c r="F258" s="41" t="s">
        <v>29</v>
      </c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8"/>
      <c r="T258" s="37"/>
      <c r="U258" s="38"/>
      <c r="V258" s="37"/>
      <c r="W258" s="37"/>
      <c r="X258" s="37"/>
      <c r="Y258" s="37"/>
      <c r="Z258" s="37"/>
      <c r="AA258" s="37"/>
      <c r="AB258" s="37"/>
      <c r="AC258" s="37"/>
      <c r="AD258" s="38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9">
        <f t="shared" si="112"/>
        <v>0</v>
      </c>
      <c r="AQ258" s="1"/>
    </row>
    <row r="259" ht="15.75" customHeight="1">
      <c r="A259" s="1"/>
      <c r="B259" s="42"/>
      <c r="C259" s="42"/>
      <c r="D259" s="42"/>
      <c r="E259" s="74"/>
      <c r="F259" s="43" t="s">
        <v>30</v>
      </c>
      <c r="G259" s="44"/>
      <c r="H259" s="34">
        <f t="shared" ref="H259:AN259" si="113">H253+H254+H255-H256+H257-H258</f>
        <v>0</v>
      </c>
      <c r="I259" s="34">
        <f t="shared" si="113"/>
        <v>0</v>
      </c>
      <c r="J259" s="34">
        <f t="shared" si="113"/>
        <v>0</v>
      </c>
      <c r="K259" s="34">
        <f t="shared" si="113"/>
        <v>0</v>
      </c>
      <c r="L259" s="34">
        <f t="shared" si="113"/>
        <v>0</v>
      </c>
      <c r="M259" s="34">
        <f t="shared" si="113"/>
        <v>0</v>
      </c>
      <c r="N259" s="34">
        <f t="shared" si="113"/>
        <v>0</v>
      </c>
      <c r="O259" s="34">
        <f t="shared" si="113"/>
        <v>0</v>
      </c>
      <c r="P259" s="34">
        <f t="shared" si="113"/>
        <v>0</v>
      </c>
      <c r="Q259" s="34">
        <f t="shared" si="113"/>
        <v>0</v>
      </c>
      <c r="R259" s="34">
        <f t="shared" si="113"/>
        <v>0</v>
      </c>
      <c r="S259" s="34">
        <f t="shared" si="113"/>
        <v>0</v>
      </c>
      <c r="T259" s="34">
        <f t="shared" si="113"/>
        <v>0</v>
      </c>
      <c r="U259" s="34">
        <f t="shared" si="113"/>
        <v>0</v>
      </c>
      <c r="V259" s="34">
        <f t="shared" si="113"/>
        <v>0</v>
      </c>
      <c r="W259" s="34">
        <f t="shared" si="113"/>
        <v>0</v>
      </c>
      <c r="X259" s="34">
        <f t="shared" si="113"/>
        <v>0</v>
      </c>
      <c r="Y259" s="34">
        <f t="shared" si="113"/>
        <v>0</v>
      </c>
      <c r="Z259" s="34">
        <f t="shared" si="113"/>
        <v>0</v>
      </c>
      <c r="AA259" s="34">
        <f t="shared" si="113"/>
        <v>0</v>
      </c>
      <c r="AB259" s="34">
        <f t="shared" si="113"/>
        <v>0</v>
      </c>
      <c r="AC259" s="34">
        <f t="shared" si="113"/>
        <v>0</v>
      </c>
      <c r="AD259" s="34">
        <f t="shared" si="113"/>
        <v>0</v>
      </c>
      <c r="AE259" s="34">
        <f t="shared" si="113"/>
        <v>0</v>
      </c>
      <c r="AF259" s="34">
        <f t="shared" si="113"/>
        <v>0</v>
      </c>
      <c r="AG259" s="34">
        <f t="shared" si="113"/>
        <v>0</v>
      </c>
      <c r="AH259" s="34">
        <f t="shared" si="113"/>
        <v>0</v>
      </c>
      <c r="AI259" s="34">
        <f t="shared" si="113"/>
        <v>0</v>
      </c>
      <c r="AJ259" s="34">
        <f t="shared" si="113"/>
        <v>0</v>
      </c>
      <c r="AK259" s="34">
        <f t="shared" si="113"/>
        <v>0</v>
      </c>
      <c r="AL259" s="34">
        <f t="shared" si="113"/>
        <v>0</v>
      </c>
      <c r="AM259" s="34">
        <f t="shared" si="113"/>
        <v>0</v>
      </c>
      <c r="AN259" s="34">
        <f t="shared" si="113"/>
        <v>0</v>
      </c>
      <c r="AO259" s="34"/>
      <c r="AP259" s="75">
        <f>AO253</f>
        <v>0</v>
      </c>
      <c r="AQ259" s="1"/>
    </row>
    <row r="260" ht="15.75" customHeight="1">
      <c r="A260" s="1"/>
      <c r="B260" s="32"/>
      <c r="C260" s="32" t="s">
        <v>115</v>
      </c>
      <c r="D260" s="32" t="s">
        <v>116</v>
      </c>
      <c r="E260" s="13"/>
      <c r="F260" s="14" t="s">
        <v>23</v>
      </c>
      <c r="G260" s="44"/>
      <c r="H260" s="21">
        <v>0.0</v>
      </c>
      <c r="I260" s="21">
        <f t="shared" ref="I260:AO260" si="114">H266</f>
        <v>0</v>
      </c>
      <c r="J260" s="21">
        <f t="shared" si="114"/>
        <v>0</v>
      </c>
      <c r="K260" s="21">
        <f t="shared" si="114"/>
        <v>0</v>
      </c>
      <c r="L260" s="21">
        <f t="shared" si="114"/>
        <v>0</v>
      </c>
      <c r="M260" s="21">
        <f t="shared" si="114"/>
        <v>0</v>
      </c>
      <c r="N260" s="21">
        <f t="shared" si="114"/>
        <v>0</v>
      </c>
      <c r="O260" s="21">
        <f t="shared" si="114"/>
        <v>0</v>
      </c>
      <c r="P260" s="21">
        <f t="shared" si="114"/>
        <v>0</v>
      </c>
      <c r="Q260" s="21">
        <f t="shared" si="114"/>
        <v>0</v>
      </c>
      <c r="R260" s="21">
        <f t="shared" si="114"/>
        <v>0</v>
      </c>
      <c r="S260" s="21">
        <f t="shared" si="114"/>
        <v>0</v>
      </c>
      <c r="T260" s="21">
        <f t="shared" si="114"/>
        <v>0</v>
      </c>
      <c r="U260" s="21">
        <f t="shared" si="114"/>
        <v>0</v>
      </c>
      <c r="V260" s="21">
        <f t="shared" si="114"/>
        <v>0</v>
      </c>
      <c r="W260" s="21">
        <f t="shared" si="114"/>
        <v>0</v>
      </c>
      <c r="X260" s="21">
        <f t="shared" si="114"/>
        <v>0</v>
      </c>
      <c r="Y260" s="21">
        <f t="shared" si="114"/>
        <v>0</v>
      </c>
      <c r="Z260" s="21">
        <f t="shared" si="114"/>
        <v>0</v>
      </c>
      <c r="AA260" s="21">
        <f t="shared" si="114"/>
        <v>0</v>
      </c>
      <c r="AB260" s="21">
        <f t="shared" si="114"/>
        <v>0</v>
      </c>
      <c r="AC260" s="21">
        <f t="shared" si="114"/>
        <v>0</v>
      </c>
      <c r="AD260" s="21">
        <f t="shared" si="114"/>
        <v>0</v>
      </c>
      <c r="AE260" s="21">
        <f t="shared" si="114"/>
        <v>0</v>
      </c>
      <c r="AF260" s="21">
        <f t="shared" si="114"/>
        <v>0</v>
      </c>
      <c r="AG260" s="21">
        <f t="shared" si="114"/>
        <v>0</v>
      </c>
      <c r="AH260" s="21">
        <f t="shared" si="114"/>
        <v>0</v>
      </c>
      <c r="AI260" s="21">
        <f t="shared" si="114"/>
        <v>0</v>
      </c>
      <c r="AJ260" s="21">
        <f t="shared" si="114"/>
        <v>0</v>
      </c>
      <c r="AK260" s="21">
        <f t="shared" si="114"/>
        <v>0</v>
      </c>
      <c r="AL260" s="21">
        <f t="shared" si="114"/>
        <v>0</v>
      </c>
      <c r="AM260" s="21">
        <f t="shared" si="114"/>
        <v>0</v>
      </c>
      <c r="AN260" s="21">
        <f t="shared" si="114"/>
        <v>0</v>
      </c>
      <c r="AO260" s="21">
        <f t="shared" si="114"/>
        <v>0</v>
      </c>
      <c r="AP260" s="54"/>
      <c r="AQ260" s="1"/>
    </row>
    <row r="261" ht="15.75" customHeight="1">
      <c r="A261" s="1"/>
      <c r="B261" s="35"/>
      <c r="C261" s="35"/>
      <c r="D261" s="35"/>
      <c r="E261" s="33" t="s">
        <v>24</v>
      </c>
      <c r="F261" s="36" t="s">
        <v>25</v>
      </c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8"/>
      <c r="T261" s="37"/>
      <c r="U261" s="38"/>
      <c r="V261" s="37"/>
      <c r="W261" s="37"/>
      <c r="X261" s="37"/>
      <c r="Y261" s="37"/>
      <c r="Z261" s="37"/>
      <c r="AA261" s="37"/>
      <c r="AB261" s="37"/>
      <c r="AC261" s="37"/>
      <c r="AD261" s="38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9">
        <f t="shared" ref="AP261:AP265" si="115">SUM(H261:AO261)</f>
        <v>0</v>
      </c>
      <c r="AQ261" s="1"/>
    </row>
    <row r="262" ht="15.75" customHeight="1">
      <c r="A262" s="1"/>
      <c r="B262" s="35"/>
      <c r="C262" s="35"/>
      <c r="D262" s="35"/>
      <c r="E262" s="33"/>
      <c r="F262" s="36" t="s">
        <v>94</v>
      </c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8"/>
      <c r="T262" s="37"/>
      <c r="U262" s="38"/>
      <c r="V262" s="37"/>
      <c r="W262" s="37"/>
      <c r="X262" s="37"/>
      <c r="Y262" s="37"/>
      <c r="Z262" s="37"/>
      <c r="AA262" s="37"/>
      <c r="AB262" s="37"/>
      <c r="AC262" s="37"/>
      <c r="AD262" s="38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9">
        <f t="shared" si="115"/>
        <v>0</v>
      </c>
      <c r="AQ262" s="1"/>
    </row>
    <row r="263" ht="15.75" customHeight="1">
      <c r="A263" s="1"/>
      <c r="B263" s="35"/>
      <c r="C263" s="35"/>
      <c r="D263" s="35"/>
      <c r="E263" s="33"/>
      <c r="F263" s="40" t="s">
        <v>26</v>
      </c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8"/>
      <c r="T263" s="37"/>
      <c r="U263" s="38"/>
      <c r="V263" s="37"/>
      <c r="W263" s="37"/>
      <c r="X263" s="37"/>
      <c r="Y263" s="37"/>
      <c r="Z263" s="37"/>
      <c r="AA263" s="37"/>
      <c r="AB263" s="37"/>
      <c r="AC263" s="37"/>
      <c r="AD263" s="38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8"/>
      <c r="AP263" s="39">
        <f t="shared" si="115"/>
        <v>0</v>
      </c>
      <c r="AQ263" s="1"/>
    </row>
    <row r="264" ht="15.75" customHeight="1">
      <c r="A264" s="1"/>
      <c r="B264" s="35"/>
      <c r="C264" s="35"/>
      <c r="D264" s="35"/>
      <c r="E264" s="33" t="s">
        <v>27</v>
      </c>
      <c r="F264" s="41" t="s">
        <v>28</v>
      </c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8"/>
      <c r="T264" s="37"/>
      <c r="U264" s="38"/>
      <c r="V264" s="37"/>
      <c r="W264" s="37"/>
      <c r="X264" s="37"/>
      <c r="Y264" s="37"/>
      <c r="Z264" s="37"/>
      <c r="AA264" s="37"/>
      <c r="AB264" s="37"/>
      <c r="AC264" s="37"/>
      <c r="AD264" s="38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9">
        <f t="shared" si="115"/>
        <v>0</v>
      </c>
      <c r="AQ264" s="1"/>
    </row>
    <row r="265" ht="15.75" customHeight="1">
      <c r="A265" s="1"/>
      <c r="B265" s="35"/>
      <c r="C265" s="35"/>
      <c r="D265" s="35"/>
      <c r="E265" s="33"/>
      <c r="F265" s="41" t="s">
        <v>29</v>
      </c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8"/>
      <c r="T265" s="37"/>
      <c r="U265" s="38"/>
      <c r="V265" s="37"/>
      <c r="W265" s="37"/>
      <c r="X265" s="37"/>
      <c r="Y265" s="37"/>
      <c r="Z265" s="37"/>
      <c r="AA265" s="37"/>
      <c r="AB265" s="37"/>
      <c r="AC265" s="37"/>
      <c r="AD265" s="38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9">
        <f t="shared" si="115"/>
        <v>0</v>
      </c>
      <c r="AQ265" s="1"/>
    </row>
    <row r="266" ht="15.75" customHeight="1">
      <c r="A266" s="1"/>
      <c r="B266" s="42"/>
      <c r="C266" s="42"/>
      <c r="D266" s="42"/>
      <c r="E266" s="74"/>
      <c r="F266" s="43" t="s">
        <v>30</v>
      </c>
      <c r="G266" s="44"/>
      <c r="H266" s="34">
        <f t="shared" ref="H266:AN266" si="116">H260+H261+H262-H263+H264-H265</f>
        <v>0</v>
      </c>
      <c r="I266" s="34">
        <f t="shared" si="116"/>
        <v>0</v>
      </c>
      <c r="J266" s="34">
        <f t="shared" si="116"/>
        <v>0</v>
      </c>
      <c r="K266" s="34">
        <f t="shared" si="116"/>
        <v>0</v>
      </c>
      <c r="L266" s="34">
        <f t="shared" si="116"/>
        <v>0</v>
      </c>
      <c r="M266" s="34">
        <f t="shared" si="116"/>
        <v>0</v>
      </c>
      <c r="N266" s="34">
        <f t="shared" si="116"/>
        <v>0</v>
      </c>
      <c r="O266" s="34">
        <f t="shared" si="116"/>
        <v>0</v>
      </c>
      <c r="P266" s="34">
        <f t="shared" si="116"/>
        <v>0</v>
      </c>
      <c r="Q266" s="34">
        <f t="shared" si="116"/>
        <v>0</v>
      </c>
      <c r="R266" s="34">
        <f t="shared" si="116"/>
        <v>0</v>
      </c>
      <c r="S266" s="34">
        <f t="shared" si="116"/>
        <v>0</v>
      </c>
      <c r="T266" s="34">
        <f t="shared" si="116"/>
        <v>0</v>
      </c>
      <c r="U266" s="34">
        <f t="shared" si="116"/>
        <v>0</v>
      </c>
      <c r="V266" s="34">
        <f t="shared" si="116"/>
        <v>0</v>
      </c>
      <c r="W266" s="34">
        <f t="shared" si="116"/>
        <v>0</v>
      </c>
      <c r="X266" s="34">
        <f t="shared" si="116"/>
        <v>0</v>
      </c>
      <c r="Y266" s="34">
        <f t="shared" si="116"/>
        <v>0</v>
      </c>
      <c r="Z266" s="34">
        <f t="shared" si="116"/>
        <v>0</v>
      </c>
      <c r="AA266" s="34">
        <f t="shared" si="116"/>
        <v>0</v>
      </c>
      <c r="AB266" s="34">
        <f t="shared" si="116"/>
        <v>0</v>
      </c>
      <c r="AC266" s="34">
        <f t="shared" si="116"/>
        <v>0</v>
      </c>
      <c r="AD266" s="34">
        <f t="shared" si="116"/>
        <v>0</v>
      </c>
      <c r="AE266" s="34">
        <f t="shared" si="116"/>
        <v>0</v>
      </c>
      <c r="AF266" s="34">
        <f t="shared" si="116"/>
        <v>0</v>
      </c>
      <c r="AG266" s="34">
        <f t="shared" si="116"/>
        <v>0</v>
      </c>
      <c r="AH266" s="34">
        <f t="shared" si="116"/>
        <v>0</v>
      </c>
      <c r="AI266" s="34">
        <f t="shared" si="116"/>
        <v>0</v>
      </c>
      <c r="AJ266" s="34">
        <f t="shared" si="116"/>
        <v>0</v>
      </c>
      <c r="AK266" s="34">
        <f t="shared" si="116"/>
        <v>0</v>
      </c>
      <c r="AL266" s="34">
        <f t="shared" si="116"/>
        <v>0</v>
      </c>
      <c r="AM266" s="34">
        <f t="shared" si="116"/>
        <v>0</v>
      </c>
      <c r="AN266" s="34">
        <f t="shared" si="116"/>
        <v>0</v>
      </c>
      <c r="AO266" s="34"/>
      <c r="AP266" s="75">
        <f>AO260</f>
        <v>0</v>
      </c>
      <c r="AQ266" s="1"/>
    </row>
    <row r="267" ht="15.75" customHeight="1">
      <c r="A267" s="1"/>
      <c r="B267" s="70"/>
      <c r="C267" s="32" t="s">
        <v>117</v>
      </c>
      <c r="D267" s="32" t="s">
        <v>33</v>
      </c>
      <c r="E267" s="76"/>
      <c r="F267" s="14" t="s">
        <v>23</v>
      </c>
      <c r="G267" s="44"/>
      <c r="H267" s="34">
        <v>0.0</v>
      </c>
      <c r="I267" s="34">
        <f t="shared" ref="I267:AN267" si="117">H273</f>
        <v>0</v>
      </c>
      <c r="J267" s="34">
        <f t="shared" si="117"/>
        <v>0</v>
      </c>
      <c r="K267" s="34">
        <f t="shared" si="117"/>
        <v>0</v>
      </c>
      <c r="L267" s="34">
        <f t="shared" si="117"/>
        <v>0</v>
      </c>
      <c r="M267" s="34">
        <f t="shared" si="117"/>
        <v>0</v>
      </c>
      <c r="N267" s="34">
        <f t="shared" si="117"/>
        <v>0</v>
      </c>
      <c r="O267" s="34">
        <f t="shared" si="117"/>
        <v>0</v>
      </c>
      <c r="P267" s="34">
        <f t="shared" si="117"/>
        <v>0</v>
      </c>
      <c r="Q267" s="34">
        <f t="shared" si="117"/>
        <v>0</v>
      </c>
      <c r="R267" s="34">
        <f t="shared" si="117"/>
        <v>0</v>
      </c>
      <c r="S267" s="34">
        <f t="shared" si="117"/>
        <v>0</v>
      </c>
      <c r="T267" s="34">
        <f t="shared" si="117"/>
        <v>0</v>
      </c>
      <c r="U267" s="34">
        <f t="shared" si="117"/>
        <v>0</v>
      </c>
      <c r="V267" s="34">
        <f t="shared" si="117"/>
        <v>0</v>
      </c>
      <c r="W267" s="34">
        <f t="shared" si="117"/>
        <v>0</v>
      </c>
      <c r="X267" s="34">
        <f t="shared" si="117"/>
        <v>0</v>
      </c>
      <c r="Y267" s="34">
        <f t="shared" si="117"/>
        <v>0</v>
      </c>
      <c r="Z267" s="34">
        <f t="shared" si="117"/>
        <v>0</v>
      </c>
      <c r="AA267" s="34">
        <f t="shared" si="117"/>
        <v>0</v>
      </c>
      <c r="AB267" s="34">
        <f t="shared" si="117"/>
        <v>0</v>
      </c>
      <c r="AC267" s="34">
        <f t="shared" si="117"/>
        <v>0</v>
      </c>
      <c r="AD267" s="34">
        <f t="shared" si="117"/>
        <v>0</v>
      </c>
      <c r="AE267" s="34">
        <f t="shared" si="117"/>
        <v>0</v>
      </c>
      <c r="AF267" s="34">
        <f t="shared" si="117"/>
        <v>0</v>
      </c>
      <c r="AG267" s="34">
        <f t="shared" si="117"/>
        <v>0</v>
      </c>
      <c r="AH267" s="34">
        <f t="shared" si="117"/>
        <v>0</v>
      </c>
      <c r="AI267" s="34">
        <f t="shared" si="117"/>
        <v>0</v>
      </c>
      <c r="AJ267" s="34">
        <f t="shared" si="117"/>
        <v>0</v>
      </c>
      <c r="AK267" s="34">
        <f t="shared" si="117"/>
        <v>0</v>
      </c>
      <c r="AL267" s="34">
        <f t="shared" si="117"/>
        <v>0</v>
      </c>
      <c r="AM267" s="34">
        <f t="shared" si="117"/>
        <v>0</v>
      </c>
      <c r="AN267" s="34">
        <f t="shared" si="117"/>
        <v>0</v>
      </c>
      <c r="AO267" s="34"/>
      <c r="AP267" s="45"/>
      <c r="AQ267" s="1"/>
    </row>
    <row r="268" ht="15.75" customHeight="1">
      <c r="A268" s="1"/>
      <c r="B268" s="70"/>
      <c r="C268" s="35"/>
      <c r="D268" s="35"/>
      <c r="E268" s="76"/>
      <c r="F268" s="36" t="s">
        <v>25</v>
      </c>
      <c r="G268" s="4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77">
        <f t="shared" ref="AP268:AP272" si="118">SUM(H268:AO268)</f>
        <v>0</v>
      </c>
      <c r="AQ268" s="1"/>
    </row>
    <row r="269" ht="15.75" customHeight="1">
      <c r="A269" s="1"/>
      <c r="B269" s="70"/>
      <c r="C269" s="35"/>
      <c r="D269" s="35"/>
      <c r="E269" s="76"/>
      <c r="F269" s="36" t="s">
        <v>118</v>
      </c>
      <c r="G269" s="4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77">
        <f t="shared" si="118"/>
        <v>0</v>
      </c>
      <c r="AQ269" s="1"/>
    </row>
    <row r="270" ht="15.75" customHeight="1">
      <c r="A270" s="51"/>
      <c r="B270" s="78"/>
      <c r="C270" s="35"/>
      <c r="D270" s="35"/>
      <c r="E270" s="47"/>
      <c r="F270" s="40" t="s">
        <v>26</v>
      </c>
      <c r="G270" s="66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50">
        <f t="shared" si="118"/>
        <v>0</v>
      </c>
      <c r="AQ270" s="51"/>
    </row>
    <row r="271" ht="15.75" customHeight="1">
      <c r="A271" s="1"/>
      <c r="B271" s="70"/>
      <c r="C271" s="35"/>
      <c r="D271" s="35"/>
      <c r="E271" s="76"/>
      <c r="F271" s="41" t="s">
        <v>28</v>
      </c>
      <c r="G271" s="4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77">
        <f t="shared" si="118"/>
        <v>0</v>
      </c>
      <c r="AQ271" s="1"/>
    </row>
    <row r="272" ht="15.75" customHeight="1">
      <c r="A272" s="1"/>
      <c r="B272" s="70"/>
      <c r="C272" s="35"/>
      <c r="D272" s="35"/>
      <c r="E272" s="76"/>
      <c r="F272" s="41" t="s">
        <v>29</v>
      </c>
      <c r="G272" s="4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77">
        <f t="shared" si="118"/>
        <v>0</v>
      </c>
      <c r="AQ272" s="1"/>
    </row>
    <row r="273" ht="15.75" customHeight="1">
      <c r="A273" s="1"/>
      <c r="B273" s="70"/>
      <c r="C273" s="42"/>
      <c r="D273" s="42"/>
      <c r="E273" s="76"/>
      <c r="F273" s="43" t="s">
        <v>30</v>
      </c>
      <c r="G273" s="44"/>
      <c r="H273" s="34">
        <f t="shared" ref="H273:AN273" si="119">H267+H268+H269-H270+H271-H272</f>
        <v>0</v>
      </c>
      <c r="I273" s="34">
        <f t="shared" si="119"/>
        <v>0</v>
      </c>
      <c r="J273" s="34">
        <f t="shared" si="119"/>
        <v>0</v>
      </c>
      <c r="K273" s="34">
        <f t="shared" si="119"/>
        <v>0</v>
      </c>
      <c r="L273" s="34">
        <f t="shared" si="119"/>
        <v>0</v>
      </c>
      <c r="M273" s="34">
        <f t="shared" si="119"/>
        <v>0</v>
      </c>
      <c r="N273" s="34">
        <f t="shared" si="119"/>
        <v>0</v>
      </c>
      <c r="O273" s="34">
        <f t="shared" si="119"/>
        <v>0</v>
      </c>
      <c r="P273" s="34">
        <f t="shared" si="119"/>
        <v>0</v>
      </c>
      <c r="Q273" s="34">
        <f t="shared" si="119"/>
        <v>0</v>
      </c>
      <c r="R273" s="34">
        <f t="shared" si="119"/>
        <v>0</v>
      </c>
      <c r="S273" s="34">
        <f t="shared" si="119"/>
        <v>0</v>
      </c>
      <c r="T273" s="34">
        <f t="shared" si="119"/>
        <v>0</v>
      </c>
      <c r="U273" s="34">
        <f t="shared" si="119"/>
        <v>0</v>
      </c>
      <c r="V273" s="34">
        <f t="shared" si="119"/>
        <v>0</v>
      </c>
      <c r="W273" s="34">
        <f t="shared" si="119"/>
        <v>0</v>
      </c>
      <c r="X273" s="34">
        <f t="shared" si="119"/>
        <v>0</v>
      </c>
      <c r="Y273" s="34">
        <f t="shared" si="119"/>
        <v>0</v>
      </c>
      <c r="Z273" s="34">
        <f t="shared" si="119"/>
        <v>0</v>
      </c>
      <c r="AA273" s="34">
        <f t="shared" si="119"/>
        <v>0</v>
      </c>
      <c r="AB273" s="34">
        <f t="shared" si="119"/>
        <v>0</v>
      </c>
      <c r="AC273" s="34">
        <f t="shared" si="119"/>
        <v>0</v>
      </c>
      <c r="AD273" s="34">
        <f t="shared" si="119"/>
        <v>0</v>
      </c>
      <c r="AE273" s="34">
        <f t="shared" si="119"/>
        <v>0</v>
      </c>
      <c r="AF273" s="34">
        <f t="shared" si="119"/>
        <v>0</v>
      </c>
      <c r="AG273" s="34">
        <f t="shared" si="119"/>
        <v>0</v>
      </c>
      <c r="AH273" s="34">
        <f t="shared" si="119"/>
        <v>0</v>
      </c>
      <c r="AI273" s="34">
        <f t="shared" si="119"/>
        <v>0</v>
      </c>
      <c r="AJ273" s="34">
        <f t="shared" si="119"/>
        <v>0</v>
      </c>
      <c r="AK273" s="34">
        <f t="shared" si="119"/>
        <v>0</v>
      </c>
      <c r="AL273" s="34">
        <f t="shared" si="119"/>
        <v>0</v>
      </c>
      <c r="AM273" s="34">
        <f t="shared" si="119"/>
        <v>0</v>
      </c>
      <c r="AN273" s="34">
        <f t="shared" si="119"/>
        <v>0</v>
      </c>
      <c r="AO273" s="34"/>
      <c r="AP273" s="75" t="str">
        <f>AO267</f>
        <v/>
      </c>
      <c r="AQ273" s="1"/>
    </row>
    <row r="274" ht="15.0" customHeight="1">
      <c r="A274" s="1"/>
      <c r="B274" s="32"/>
      <c r="C274" s="32" t="s">
        <v>119</v>
      </c>
      <c r="D274" s="32" t="s">
        <v>116</v>
      </c>
      <c r="E274" s="13"/>
      <c r="F274" s="14" t="s">
        <v>23</v>
      </c>
      <c r="G274" s="44"/>
      <c r="H274" s="21">
        <v>149.0</v>
      </c>
      <c r="I274" s="21">
        <f t="shared" ref="I274:AO274" si="120">H280</f>
        <v>149</v>
      </c>
      <c r="J274" s="21">
        <f t="shared" si="120"/>
        <v>95</v>
      </c>
      <c r="K274" s="21">
        <f t="shared" si="120"/>
        <v>108</v>
      </c>
      <c r="L274" s="21">
        <f t="shared" si="120"/>
        <v>108</v>
      </c>
      <c r="M274" s="21">
        <f t="shared" si="120"/>
        <v>167</v>
      </c>
      <c r="N274" s="21">
        <f t="shared" si="120"/>
        <v>167</v>
      </c>
      <c r="O274" s="21">
        <f t="shared" si="120"/>
        <v>167</v>
      </c>
      <c r="P274" s="21">
        <f t="shared" si="120"/>
        <v>117</v>
      </c>
      <c r="Q274" s="21">
        <f t="shared" si="120"/>
        <v>117</v>
      </c>
      <c r="R274" s="21">
        <f t="shared" si="120"/>
        <v>117</v>
      </c>
      <c r="S274" s="21">
        <f t="shared" si="120"/>
        <v>69</v>
      </c>
      <c r="T274" s="21">
        <f t="shared" si="120"/>
        <v>10</v>
      </c>
      <c r="U274" s="21">
        <f t="shared" si="120"/>
        <v>10</v>
      </c>
      <c r="V274" s="21">
        <f t="shared" si="120"/>
        <v>10</v>
      </c>
      <c r="W274" s="21">
        <f t="shared" si="120"/>
        <v>10</v>
      </c>
      <c r="X274" s="21">
        <f t="shared" si="120"/>
        <v>10</v>
      </c>
      <c r="Y274" s="21">
        <f t="shared" si="120"/>
        <v>10</v>
      </c>
      <c r="Z274" s="21">
        <f t="shared" si="120"/>
        <v>10</v>
      </c>
      <c r="AA274" s="21">
        <f t="shared" si="120"/>
        <v>10</v>
      </c>
      <c r="AB274" s="21">
        <f t="shared" si="120"/>
        <v>10</v>
      </c>
      <c r="AC274" s="21">
        <f t="shared" si="120"/>
        <v>10</v>
      </c>
      <c r="AD274" s="21">
        <f t="shared" si="120"/>
        <v>10</v>
      </c>
      <c r="AE274" s="21">
        <f t="shared" si="120"/>
        <v>10</v>
      </c>
      <c r="AF274" s="21">
        <f t="shared" si="120"/>
        <v>10</v>
      </c>
      <c r="AG274" s="21">
        <f t="shared" si="120"/>
        <v>10</v>
      </c>
      <c r="AH274" s="21">
        <f t="shared" si="120"/>
        <v>10</v>
      </c>
      <c r="AI274" s="21">
        <f t="shared" si="120"/>
        <v>10</v>
      </c>
      <c r="AJ274" s="21">
        <f t="shared" si="120"/>
        <v>10</v>
      </c>
      <c r="AK274" s="21">
        <f t="shared" si="120"/>
        <v>10</v>
      </c>
      <c r="AL274" s="21">
        <f t="shared" si="120"/>
        <v>10</v>
      </c>
      <c r="AM274" s="21">
        <f t="shared" si="120"/>
        <v>10</v>
      </c>
      <c r="AN274" s="21">
        <f t="shared" si="120"/>
        <v>10</v>
      </c>
      <c r="AO274" s="21">
        <f t="shared" si="120"/>
        <v>10</v>
      </c>
      <c r="AP274" s="54"/>
      <c r="AQ274" s="1"/>
    </row>
    <row r="275" ht="15.0" customHeight="1">
      <c r="A275" s="1"/>
      <c r="B275" s="35"/>
      <c r="C275" s="35"/>
      <c r="D275" s="35"/>
      <c r="E275" s="33" t="s">
        <v>24</v>
      </c>
      <c r="F275" s="36" t="s">
        <v>25</v>
      </c>
      <c r="G275" s="37"/>
      <c r="H275" s="37"/>
      <c r="I275" s="37">
        <v>6.0</v>
      </c>
      <c r="J275" s="37">
        <v>13.0</v>
      </c>
      <c r="K275" s="37"/>
      <c r="L275" s="37">
        <v>59.0</v>
      </c>
      <c r="M275" s="37"/>
      <c r="N275" s="37"/>
      <c r="O275" s="37"/>
      <c r="P275" s="37"/>
      <c r="Q275" s="37"/>
      <c r="R275" s="37"/>
      <c r="S275" s="37"/>
      <c r="T275" s="37"/>
      <c r="U275" s="38"/>
      <c r="V275" s="37"/>
      <c r="W275" s="37"/>
      <c r="X275" s="37"/>
      <c r="Y275" s="37"/>
      <c r="Z275" s="37"/>
      <c r="AA275" s="37"/>
      <c r="AB275" s="37"/>
      <c r="AC275" s="37"/>
      <c r="AD275" s="38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9">
        <f t="shared" ref="AP275:AP279" si="121">SUM(H275:AO275)</f>
        <v>78</v>
      </c>
      <c r="AQ275" s="1"/>
    </row>
    <row r="276" ht="15.0" customHeight="1">
      <c r="A276" s="1"/>
      <c r="B276" s="35"/>
      <c r="C276" s="35"/>
      <c r="D276" s="35"/>
      <c r="E276" s="33"/>
      <c r="F276" s="36" t="s">
        <v>118</v>
      </c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8"/>
      <c r="T276" s="37"/>
      <c r="U276" s="38"/>
      <c r="V276" s="37"/>
      <c r="W276" s="37"/>
      <c r="X276" s="37"/>
      <c r="Y276" s="37"/>
      <c r="Z276" s="37"/>
      <c r="AA276" s="37"/>
      <c r="AB276" s="37"/>
      <c r="AC276" s="37"/>
      <c r="AD276" s="38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9">
        <f t="shared" si="121"/>
        <v>0</v>
      </c>
      <c r="AQ276" s="1"/>
    </row>
    <row r="277" ht="15.0" customHeight="1">
      <c r="A277" s="51"/>
      <c r="B277" s="35"/>
      <c r="C277" s="35"/>
      <c r="D277" s="35"/>
      <c r="E277" s="47"/>
      <c r="F277" s="40" t="s">
        <v>26</v>
      </c>
      <c r="G277" s="49"/>
      <c r="H277" s="49"/>
      <c r="I277" s="49">
        <v>60.0</v>
      </c>
      <c r="J277" s="49"/>
      <c r="K277" s="49"/>
      <c r="L277" s="49"/>
      <c r="M277" s="49"/>
      <c r="N277" s="49"/>
      <c r="O277" s="49">
        <v>50.0</v>
      </c>
      <c r="P277" s="49"/>
      <c r="Q277" s="49"/>
      <c r="R277" s="49">
        <v>48.0</v>
      </c>
      <c r="S277" s="49">
        <v>59.0</v>
      </c>
      <c r="T277" s="49"/>
      <c r="U277" s="48"/>
      <c r="V277" s="49"/>
      <c r="W277" s="49"/>
      <c r="X277" s="49"/>
      <c r="Y277" s="49"/>
      <c r="Z277" s="49"/>
      <c r="AA277" s="49"/>
      <c r="AB277" s="49"/>
      <c r="AC277" s="49"/>
      <c r="AD277" s="48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8"/>
      <c r="AP277" s="50">
        <f t="shared" si="121"/>
        <v>217</v>
      </c>
      <c r="AQ277" s="51"/>
    </row>
    <row r="278" ht="15.0" customHeight="1">
      <c r="A278" s="1"/>
      <c r="B278" s="35"/>
      <c r="C278" s="35"/>
      <c r="D278" s="35"/>
      <c r="E278" s="33" t="s">
        <v>27</v>
      </c>
      <c r="F278" s="41" t="s">
        <v>28</v>
      </c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8"/>
      <c r="T278" s="37"/>
      <c r="U278" s="38"/>
      <c r="V278" s="37"/>
      <c r="W278" s="37"/>
      <c r="X278" s="37"/>
      <c r="Y278" s="37"/>
      <c r="Z278" s="37"/>
      <c r="AA278" s="37"/>
      <c r="AB278" s="37"/>
      <c r="AC278" s="37"/>
      <c r="AD278" s="38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9">
        <f t="shared" si="121"/>
        <v>0</v>
      </c>
      <c r="AQ278" s="1"/>
    </row>
    <row r="279" ht="15.0" customHeight="1">
      <c r="A279" s="1"/>
      <c r="B279" s="35"/>
      <c r="C279" s="35"/>
      <c r="D279" s="35"/>
      <c r="E279" s="33"/>
      <c r="F279" s="41" t="s">
        <v>29</v>
      </c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8"/>
      <c r="T279" s="37"/>
      <c r="U279" s="38"/>
      <c r="V279" s="37"/>
      <c r="W279" s="37"/>
      <c r="X279" s="37"/>
      <c r="Y279" s="37"/>
      <c r="Z279" s="37"/>
      <c r="AA279" s="37"/>
      <c r="AB279" s="37"/>
      <c r="AC279" s="37"/>
      <c r="AD279" s="38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9">
        <f t="shared" si="121"/>
        <v>0</v>
      </c>
      <c r="AQ279" s="1"/>
    </row>
    <row r="280" ht="14.25" customHeight="1">
      <c r="A280" s="1"/>
      <c r="B280" s="42"/>
      <c r="C280" s="42"/>
      <c r="D280" s="42"/>
      <c r="E280" s="74"/>
      <c r="F280" s="43" t="s">
        <v>30</v>
      </c>
      <c r="G280" s="44"/>
      <c r="H280" s="34">
        <f t="shared" ref="H280:AN280" si="122">H274+H275+H276-H277+H278-H279</f>
        <v>149</v>
      </c>
      <c r="I280" s="34">
        <f t="shared" si="122"/>
        <v>95</v>
      </c>
      <c r="J280" s="34">
        <f t="shared" si="122"/>
        <v>108</v>
      </c>
      <c r="K280" s="34">
        <f t="shared" si="122"/>
        <v>108</v>
      </c>
      <c r="L280" s="34">
        <f t="shared" si="122"/>
        <v>167</v>
      </c>
      <c r="M280" s="34">
        <f t="shared" si="122"/>
        <v>167</v>
      </c>
      <c r="N280" s="34">
        <f t="shared" si="122"/>
        <v>167</v>
      </c>
      <c r="O280" s="34">
        <f t="shared" si="122"/>
        <v>117</v>
      </c>
      <c r="P280" s="34">
        <f t="shared" si="122"/>
        <v>117</v>
      </c>
      <c r="Q280" s="34">
        <f t="shared" si="122"/>
        <v>117</v>
      </c>
      <c r="R280" s="34">
        <f t="shared" si="122"/>
        <v>69</v>
      </c>
      <c r="S280" s="34">
        <f t="shared" si="122"/>
        <v>10</v>
      </c>
      <c r="T280" s="34">
        <f t="shared" si="122"/>
        <v>10</v>
      </c>
      <c r="U280" s="34">
        <f t="shared" si="122"/>
        <v>10</v>
      </c>
      <c r="V280" s="34">
        <f t="shared" si="122"/>
        <v>10</v>
      </c>
      <c r="W280" s="34">
        <f t="shared" si="122"/>
        <v>10</v>
      </c>
      <c r="X280" s="34">
        <f t="shared" si="122"/>
        <v>10</v>
      </c>
      <c r="Y280" s="34">
        <f t="shared" si="122"/>
        <v>10</v>
      </c>
      <c r="Z280" s="34">
        <f t="shared" si="122"/>
        <v>10</v>
      </c>
      <c r="AA280" s="34">
        <f t="shared" si="122"/>
        <v>10</v>
      </c>
      <c r="AB280" s="34">
        <f t="shared" si="122"/>
        <v>10</v>
      </c>
      <c r="AC280" s="34">
        <f t="shared" si="122"/>
        <v>10</v>
      </c>
      <c r="AD280" s="34">
        <f t="shared" si="122"/>
        <v>10</v>
      </c>
      <c r="AE280" s="34">
        <f t="shared" si="122"/>
        <v>10</v>
      </c>
      <c r="AF280" s="34">
        <f t="shared" si="122"/>
        <v>10</v>
      </c>
      <c r="AG280" s="34">
        <f t="shared" si="122"/>
        <v>10</v>
      </c>
      <c r="AH280" s="34">
        <f t="shared" si="122"/>
        <v>10</v>
      </c>
      <c r="AI280" s="34">
        <f t="shared" si="122"/>
        <v>10</v>
      </c>
      <c r="AJ280" s="34">
        <f t="shared" si="122"/>
        <v>10</v>
      </c>
      <c r="AK280" s="34">
        <f t="shared" si="122"/>
        <v>10</v>
      </c>
      <c r="AL280" s="34">
        <f t="shared" si="122"/>
        <v>10</v>
      </c>
      <c r="AM280" s="34">
        <f t="shared" si="122"/>
        <v>10</v>
      </c>
      <c r="AN280" s="34">
        <f t="shared" si="122"/>
        <v>10</v>
      </c>
      <c r="AO280" s="34"/>
      <c r="AP280" s="75">
        <f>AO274</f>
        <v>10</v>
      </c>
      <c r="AQ280" s="1"/>
    </row>
    <row r="281" ht="15.75" customHeight="1">
      <c r="A281" s="1"/>
      <c r="B281" s="32"/>
      <c r="C281" s="32" t="s">
        <v>120</v>
      </c>
      <c r="D281" s="32" t="s">
        <v>121</v>
      </c>
      <c r="E281" s="13"/>
      <c r="F281" s="14" t="s">
        <v>23</v>
      </c>
      <c r="G281" s="44"/>
      <c r="H281" s="21" t="str">
        <f t="shared" ref="H281:AO281" si="123">G287</f>
        <v/>
      </c>
      <c r="I281" s="21">
        <f t="shared" si="123"/>
        <v>0</v>
      </c>
      <c r="J281" s="21">
        <f t="shared" si="123"/>
        <v>0</v>
      </c>
      <c r="K281" s="21">
        <f t="shared" si="123"/>
        <v>0</v>
      </c>
      <c r="L281" s="21">
        <f t="shared" si="123"/>
        <v>0</v>
      </c>
      <c r="M281" s="21">
        <f t="shared" si="123"/>
        <v>0</v>
      </c>
      <c r="N281" s="21">
        <f t="shared" si="123"/>
        <v>0</v>
      </c>
      <c r="O281" s="21">
        <f t="shared" si="123"/>
        <v>0</v>
      </c>
      <c r="P281" s="21">
        <f t="shared" si="123"/>
        <v>0</v>
      </c>
      <c r="Q281" s="21">
        <f t="shared" si="123"/>
        <v>0</v>
      </c>
      <c r="R281" s="21">
        <f t="shared" si="123"/>
        <v>0</v>
      </c>
      <c r="S281" s="21">
        <f t="shared" si="123"/>
        <v>0</v>
      </c>
      <c r="T281" s="21">
        <f t="shared" si="123"/>
        <v>0</v>
      </c>
      <c r="U281" s="21">
        <f t="shared" si="123"/>
        <v>0</v>
      </c>
      <c r="V281" s="21">
        <f t="shared" si="123"/>
        <v>0</v>
      </c>
      <c r="W281" s="21">
        <f t="shared" si="123"/>
        <v>0</v>
      </c>
      <c r="X281" s="21">
        <f t="shared" si="123"/>
        <v>0</v>
      </c>
      <c r="Y281" s="21">
        <f t="shared" si="123"/>
        <v>0</v>
      </c>
      <c r="Z281" s="21">
        <f t="shared" si="123"/>
        <v>0</v>
      </c>
      <c r="AA281" s="21">
        <f t="shared" si="123"/>
        <v>0</v>
      </c>
      <c r="AB281" s="21">
        <f t="shared" si="123"/>
        <v>0</v>
      </c>
      <c r="AC281" s="21">
        <f t="shared" si="123"/>
        <v>0</v>
      </c>
      <c r="AD281" s="21">
        <f t="shared" si="123"/>
        <v>0</v>
      </c>
      <c r="AE281" s="21">
        <f t="shared" si="123"/>
        <v>0</v>
      </c>
      <c r="AF281" s="21">
        <f t="shared" si="123"/>
        <v>0</v>
      </c>
      <c r="AG281" s="21">
        <f t="shared" si="123"/>
        <v>0</v>
      </c>
      <c r="AH281" s="21">
        <f t="shared" si="123"/>
        <v>0</v>
      </c>
      <c r="AI281" s="21">
        <f t="shared" si="123"/>
        <v>0</v>
      </c>
      <c r="AJ281" s="21">
        <f t="shared" si="123"/>
        <v>0</v>
      </c>
      <c r="AK281" s="21">
        <f t="shared" si="123"/>
        <v>0</v>
      </c>
      <c r="AL281" s="21">
        <f t="shared" si="123"/>
        <v>0</v>
      </c>
      <c r="AM281" s="21">
        <f t="shared" si="123"/>
        <v>0</v>
      </c>
      <c r="AN281" s="21">
        <f t="shared" si="123"/>
        <v>0</v>
      </c>
      <c r="AO281" s="21">
        <f t="shared" si="123"/>
        <v>0</v>
      </c>
      <c r="AP281" s="54"/>
      <c r="AQ281" s="1"/>
    </row>
    <row r="282" ht="15.0" customHeight="1">
      <c r="A282" s="1"/>
      <c r="B282" s="35"/>
      <c r="C282" s="35"/>
      <c r="D282" s="35"/>
      <c r="E282" s="33" t="s">
        <v>24</v>
      </c>
      <c r="F282" s="36" t="s">
        <v>25</v>
      </c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8"/>
      <c r="T282" s="37"/>
      <c r="U282" s="38"/>
      <c r="V282" s="37"/>
      <c r="W282" s="37"/>
      <c r="X282" s="37"/>
      <c r="Y282" s="37"/>
      <c r="Z282" s="37"/>
      <c r="AA282" s="37"/>
      <c r="AB282" s="37"/>
      <c r="AC282" s="37"/>
      <c r="AD282" s="38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9">
        <f t="shared" ref="AP282:AP286" si="124">SUM(H282:AO282)</f>
        <v>0</v>
      </c>
      <c r="AQ282" s="1"/>
    </row>
    <row r="283" ht="15.0" customHeight="1">
      <c r="A283" s="1"/>
      <c r="B283" s="35"/>
      <c r="C283" s="35"/>
      <c r="D283" s="35"/>
      <c r="E283" s="33"/>
      <c r="F283" s="36" t="s">
        <v>94</v>
      </c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8"/>
      <c r="T283" s="37"/>
      <c r="U283" s="38"/>
      <c r="V283" s="37"/>
      <c r="W283" s="37"/>
      <c r="X283" s="37"/>
      <c r="Y283" s="37"/>
      <c r="Z283" s="37"/>
      <c r="AA283" s="37"/>
      <c r="AB283" s="37"/>
      <c r="AC283" s="37"/>
      <c r="AD283" s="38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9">
        <f t="shared" si="124"/>
        <v>0</v>
      </c>
      <c r="AQ283" s="1"/>
    </row>
    <row r="284" ht="15.0" customHeight="1">
      <c r="A284" s="1"/>
      <c r="B284" s="35"/>
      <c r="C284" s="35"/>
      <c r="D284" s="35"/>
      <c r="E284" s="33"/>
      <c r="F284" s="40" t="s">
        <v>26</v>
      </c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8"/>
      <c r="T284" s="37"/>
      <c r="U284" s="38"/>
      <c r="V284" s="37"/>
      <c r="W284" s="37"/>
      <c r="X284" s="37"/>
      <c r="Y284" s="37"/>
      <c r="Z284" s="37"/>
      <c r="AA284" s="37"/>
      <c r="AB284" s="37"/>
      <c r="AC284" s="37"/>
      <c r="AD284" s="38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8"/>
      <c r="AP284" s="39">
        <f t="shared" si="124"/>
        <v>0</v>
      </c>
      <c r="AQ284" s="1"/>
    </row>
    <row r="285" ht="15.0" customHeight="1">
      <c r="A285" s="1"/>
      <c r="B285" s="35"/>
      <c r="C285" s="35"/>
      <c r="D285" s="35"/>
      <c r="E285" s="33" t="s">
        <v>27</v>
      </c>
      <c r="F285" s="41" t="s">
        <v>28</v>
      </c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8"/>
      <c r="T285" s="37"/>
      <c r="U285" s="38"/>
      <c r="V285" s="37"/>
      <c r="W285" s="37"/>
      <c r="X285" s="37"/>
      <c r="Y285" s="37"/>
      <c r="Z285" s="37"/>
      <c r="AA285" s="37"/>
      <c r="AB285" s="37"/>
      <c r="AC285" s="37"/>
      <c r="AD285" s="38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9">
        <f t="shared" si="124"/>
        <v>0</v>
      </c>
      <c r="AQ285" s="1"/>
    </row>
    <row r="286" ht="15.75" customHeight="1">
      <c r="A286" s="1"/>
      <c r="B286" s="35"/>
      <c r="C286" s="35"/>
      <c r="D286" s="35"/>
      <c r="E286" s="33"/>
      <c r="F286" s="41" t="s">
        <v>29</v>
      </c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8"/>
      <c r="T286" s="37"/>
      <c r="U286" s="38"/>
      <c r="V286" s="37"/>
      <c r="W286" s="37"/>
      <c r="X286" s="37"/>
      <c r="Y286" s="37"/>
      <c r="Z286" s="37"/>
      <c r="AA286" s="37"/>
      <c r="AB286" s="37"/>
      <c r="AC286" s="37"/>
      <c r="AD286" s="38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9">
        <f t="shared" si="124"/>
        <v>0</v>
      </c>
      <c r="AQ286" s="1"/>
    </row>
    <row r="287" ht="15.75" customHeight="1">
      <c r="A287" s="80"/>
      <c r="B287" s="42"/>
      <c r="C287" s="42"/>
      <c r="D287" s="42"/>
      <c r="E287" s="74"/>
      <c r="F287" s="43" t="s">
        <v>30</v>
      </c>
      <c r="G287" s="44"/>
      <c r="H287" s="34">
        <f t="shared" ref="H287:AN287" si="125">H281+H282+H283-H284+H285-H286</f>
        <v>0</v>
      </c>
      <c r="I287" s="34">
        <f t="shared" si="125"/>
        <v>0</v>
      </c>
      <c r="J287" s="34">
        <f t="shared" si="125"/>
        <v>0</v>
      </c>
      <c r="K287" s="34">
        <f t="shared" si="125"/>
        <v>0</v>
      </c>
      <c r="L287" s="34">
        <f t="shared" si="125"/>
        <v>0</v>
      </c>
      <c r="M287" s="34">
        <f t="shared" si="125"/>
        <v>0</v>
      </c>
      <c r="N287" s="34">
        <f t="shared" si="125"/>
        <v>0</v>
      </c>
      <c r="O287" s="34">
        <f t="shared" si="125"/>
        <v>0</v>
      </c>
      <c r="P287" s="34">
        <f t="shared" si="125"/>
        <v>0</v>
      </c>
      <c r="Q287" s="34">
        <f t="shared" si="125"/>
        <v>0</v>
      </c>
      <c r="R287" s="34">
        <f t="shared" si="125"/>
        <v>0</v>
      </c>
      <c r="S287" s="34">
        <f t="shared" si="125"/>
        <v>0</v>
      </c>
      <c r="T287" s="34">
        <f t="shared" si="125"/>
        <v>0</v>
      </c>
      <c r="U287" s="34">
        <f t="shared" si="125"/>
        <v>0</v>
      </c>
      <c r="V287" s="34">
        <f t="shared" si="125"/>
        <v>0</v>
      </c>
      <c r="W287" s="34">
        <f t="shared" si="125"/>
        <v>0</v>
      </c>
      <c r="X287" s="34">
        <f t="shared" si="125"/>
        <v>0</v>
      </c>
      <c r="Y287" s="34">
        <f t="shared" si="125"/>
        <v>0</v>
      </c>
      <c r="Z287" s="34">
        <f t="shared" si="125"/>
        <v>0</v>
      </c>
      <c r="AA287" s="34">
        <f t="shared" si="125"/>
        <v>0</v>
      </c>
      <c r="AB287" s="34">
        <f t="shared" si="125"/>
        <v>0</v>
      </c>
      <c r="AC287" s="34">
        <f t="shared" si="125"/>
        <v>0</v>
      </c>
      <c r="AD287" s="34">
        <f t="shared" si="125"/>
        <v>0</v>
      </c>
      <c r="AE287" s="34">
        <f t="shared" si="125"/>
        <v>0</v>
      </c>
      <c r="AF287" s="34">
        <f t="shared" si="125"/>
        <v>0</v>
      </c>
      <c r="AG287" s="34">
        <f t="shared" si="125"/>
        <v>0</v>
      </c>
      <c r="AH287" s="34">
        <f t="shared" si="125"/>
        <v>0</v>
      </c>
      <c r="AI287" s="34">
        <f t="shared" si="125"/>
        <v>0</v>
      </c>
      <c r="AJ287" s="34">
        <f t="shared" si="125"/>
        <v>0</v>
      </c>
      <c r="AK287" s="34">
        <f t="shared" si="125"/>
        <v>0</v>
      </c>
      <c r="AL287" s="34">
        <f t="shared" si="125"/>
        <v>0</v>
      </c>
      <c r="AM287" s="34">
        <f t="shared" si="125"/>
        <v>0</v>
      </c>
      <c r="AN287" s="34">
        <f t="shared" si="125"/>
        <v>0</v>
      </c>
      <c r="AO287" s="34"/>
      <c r="AP287" s="75">
        <f>AO281</f>
        <v>0</v>
      </c>
      <c r="AQ287" s="80"/>
    </row>
    <row r="288" ht="15.75" customHeight="1">
      <c r="A288" s="80"/>
      <c r="B288" s="70"/>
      <c r="C288" s="57" t="s">
        <v>122</v>
      </c>
      <c r="D288" s="32" t="s">
        <v>123</v>
      </c>
      <c r="E288" s="17"/>
      <c r="F288" s="14" t="s">
        <v>23</v>
      </c>
      <c r="G288" s="44"/>
      <c r="H288" s="34">
        <v>1.0</v>
      </c>
      <c r="I288" s="34">
        <f t="shared" ref="I288:AO288" si="126">H293</f>
        <v>1</v>
      </c>
      <c r="J288" s="34">
        <f t="shared" si="126"/>
        <v>1</v>
      </c>
      <c r="K288" s="34">
        <f t="shared" si="126"/>
        <v>1</v>
      </c>
      <c r="L288" s="34">
        <f t="shared" si="126"/>
        <v>1</v>
      </c>
      <c r="M288" s="34">
        <f t="shared" si="126"/>
        <v>1</v>
      </c>
      <c r="N288" s="34">
        <f t="shared" si="126"/>
        <v>1</v>
      </c>
      <c r="O288" s="34">
        <f t="shared" si="126"/>
        <v>1</v>
      </c>
      <c r="P288" s="34">
        <f t="shared" si="126"/>
        <v>1</v>
      </c>
      <c r="Q288" s="34">
        <f t="shared" si="126"/>
        <v>1</v>
      </c>
      <c r="R288" s="34">
        <f t="shared" si="126"/>
        <v>16</v>
      </c>
      <c r="S288" s="34">
        <f t="shared" si="126"/>
        <v>16</v>
      </c>
      <c r="T288" s="34">
        <f t="shared" si="126"/>
        <v>16</v>
      </c>
      <c r="U288" s="34">
        <f t="shared" si="126"/>
        <v>16</v>
      </c>
      <c r="V288" s="34">
        <f t="shared" si="126"/>
        <v>16</v>
      </c>
      <c r="W288" s="34">
        <f t="shared" si="126"/>
        <v>16</v>
      </c>
      <c r="X288" s="34">
        <f t="shared" si="126"/>
        <v>16</v>
      </c>
      <c r="Y288" s="34">
        <f t="shared" si="126"/>
        <v>16</v>
      </c>
      <c r="Z288" s="34">
        <f t="shared" si="126"/>
        <v>16</v>
      </c>
      <c r="AA288" s="34">
        <f t="shared" si="126"/>
        <v>1</v>
      </c>
      <c r="AB288" s="34">
        <f t="shared" si="126"/>
        <v>1</v>
      </c>
      <c r="AC288" s="34">
        <f t="shared" si="126"/>
        <v>1</v>
      </c>
      <c r="AD288" s="34">
        <f t="shared" si="126"/>
        <v>1</v>
      </c>
      <c r="AE288" s="34">
        <f t="shared" si="126"/>
        <v>1</v>
      </c>
      <c r="AF288" s="34">
        <f t="shared" si="126"/>
        <v>1</v>
      </c>
      <c r="AG288" s="34">
        <f t="shared" si="126"/>
        <v>1</v>
      </c>
      <c r="AH288" s="34">
        <f t="shared" si="126"/>
        <v>1</v>
      </c>
      <c r="AI288" s="34">
        <f t="shared" si="126"/>
        <v>1</v>
      </c>
      <c r="AJ288" s="34">
        <f t="shared" si="126"/>
        <v>1</v>
      </c>
      <c r="AK288" s="34">
        <f t="shared" si="126"/>
        <v>1</v>
      </c>
      <c r="AL288" s="34">
        <f t="shared" si="126"/>
        <v>1</v>
      </c>
      <c r="AM288" s="34">
        <f t="shared" si="126"/>
        <v>1</v>
      </c>
      <c r="AN288" s="34">
        <f t="shared" si="126"/>
        <v>1</v>
      </c>
      <c r="AO288" s="34">
        <f t="shared" si="126"/>
        <v>1</v>
      </c>
      <c r="AP288" s="54"/>
      <c r="AQ288" s="80"/>
    </row>
    <row r="289" ht="15.75" customHeight="1">
      <c r="A289" s="80"/>
      <c r="B289" s="70"/>
      <c r="C289" s="35"/>
      <c r="D289" s="35"/>
      <c r="E289" s="69" t="s">
        <v>24</v>
      </c>
      <c r="F289" s="36" t="s">
        <v>25</v>
      </c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>
        <v>15.0</v>
      </c>
      <c r="R289" s="37"/>
      <c r="S289" s="38"/>
      <c r="T289" s="37"/>
      <c r="U289" s="38"/>
      <c r="V289" s="37"/>
      <c r="W289" s="37"/>
      <c r="X289" s="37"/>
      <c r="Y289" s="37"/>
      <c r="Z289" s="37"/>
      <c r="AA289" s="37"/>
      <c r="AB289" s="37"/>
      <c r="AC289" s="37"/>
      <c r="AD289" s="38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9">
        <f t="shared" ref="AP289:AP292" si="127">SUM(H289:AO289)</f>
        <v>15</v>
      </c>
      <c r="AQ289" s="80"/>
    </row>
    <row r="290" ht="15.75" customHeight="1">
      <c r="A290" s="51"/>
      <c r="B290" s="78"/>
      <c r="C290" s="35"/>
      <c r="D290" s="35"/>
      <c r="E290" s="81"/>
      <c r="F290" s="40" t="s">
        <v>26</v>
      </c>
      <c r="G290" s="49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>
        <v>15.0</v>
      </c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9"/>
      <c r="AP290" s="50">
        <f t="shared" si="127"/>
        <v>15</v>
      </c>
      <c r="AQ290" s="51"/>
    </row>
    <row r="291" ht="15.75" customHeight="1">
      <c r="A291" s="80"/>
      <c r="B291" s="70"/>
      <c r="C291" s="35"/>
      <c r="D291" s="35"/>
      <c r="E291" s="69" t="s">
        <v>27</v>
      </c>
      <c r="F291" s="41" t="s">
        <v>28</v>
      </c>
      <c r="G291" s="37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7"/>
      <c r="AP291" s="39">
        <f t="shared" si="127"/>
        <v>0</v>
      </c>
      <c r="AQ291" s="80"/>
    </row>
    <row r="292" ht="15.75" customHeight="1">
      <c r="A292" s="80"/>
      <c r="B292" s="70"/>
      <c r="C292" s="35"/>
      <c r="D292" s="35"/>
      <c r="E292" s="69"/>
      <c r="F292" s="41" t="s">
        <v>29</v>
      </c>
      <c r="G292" s="37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7"/>
      <c r="AP292" s="39">
        <f t="shared" si="127"/>
        <v>0</v>
      </c>
      <c r="AQ292" s="80"/>
    </row>
    <row r="293" ht="15.75" customHeight="1">
      <c r="A293" s="80"/>
      <c r="B293" s="70"/>
      <c r="C293" s="42"/>
      <c r="D293" s="42"/>
      <c r="E293" s="82"/>
      <c r="F293" s="43" t="s">
        <v>30</v>
      </c>
      <c r="G293" s="44"/>
      <c r="H293" s="34">
        <f t="shared" ref="H293:AN293" si="128">H288+H289-H290+H291-H292</f>
        <v>1</v>
      </c>
      <c r="I293" s="34">
        <f t="shared" si="128"/>
        <v>1</v>
      </c>
      <c r="J293" s="34">
        <f t="shared" si="128"/>
        <v>1</v>
      </c>
      <c r="K293" s="34">
        <f t="shared" si="128"/>
        <v>1</v>
      </c>
      <c r="L293" s="34">
        <f t="shared" si="128"/>
        <v>1</v>
      </c>
      <c r="M293" s="34">
        <f t="shared" si="128"/>
        <v>1</v>
      </c>
      <c r="N293" s="34">
        <f t="shared" si="128"/>
        <v>1</v>
      </c>
      <c r="O293" s="34">
        <f t="shared" si="128"/>
        <v>1</v>
      </c>
      <c r="P293" s="34">
        <f t="shared" si="128"/>
        <v>1</v>
      </c>
      <c r="Q293" s="34">
        <f t="shared" si="128"/>
        <v>16</v>
      </c>
      <c r="R293" s="34">
        <f t="shared" si="128"/>
        <v>16</v>
      </c>
      <c r="S293" s="34">
        <f t="shared" si="128"/>
        <v>16</v>
      </c>
      <c r="T293" s="34">
        <f t="shared" si="128"/>
        <v>16</v>
      </c>
      <c r="U293" s="34">
        <f t="shared" si="128"/>
        <v>16</v>
      </c>
      <c r="V293" s="34">
        <f t="shared" si="128"/>
        <v>16</v>
      </c>
      <c r="W293" s="34">
        <f t="shared" si="128"/>
        <v>16</v>
      </c>
      <c r="X293" s="34">
        <f t="shared" si="128"/>
        <v>16</v>
      </c>
      <c r="Y293" s="34">
        <f t="shared" si="128"/>
        <v>16</v>
      </c>
      <c r="Z293" s="34">
        <f t="shared" si="128"/>
        <v>1</v>
      </c>
      <c r="AA293" s="34">
        <f t="shared" si="128"/>
        <v>1</v>
      </c>
      <c r="AB293" s="34">
        <f t="shared" si="128"/>
        <v>1</v>
      </c>
      <c r="AC293" s="34">
        <f t="shared" si="128"/>
        <v>1</v>
      </c>
      <c r="AD293" s="34">
        <f t="shared" si="128"/>
        <v>1</v>
      </c>
      <c r="AE293" s="34">
        <f t="shared" si="128"/>
        <v>1</v>
      </c>
      <c r="AF293" s="34">
        <f t="shared" si="128"/>
        <v>1</v>
      </c>
      <c r="AG293" s="34">
        <f t="shared" si="128"/>
        <v>1</v>
      </c>
      <c r="AH293" s="34">
        <f t="shared" si="128"/>
        <v>1</v>
      </c>
      <c r="AI293" s="34">
        <f t="shared" si="128"/>
        <v>1</v>
      </c>
      <c r="AJ293" s="34">
        <f t="shared" si="128"/>
        <v>1</v>
      </c>
      <c r="AK293" s="34">
        <f t="shared" si="128"/>
        <v>1</v>
      </c>
      <c r="AL293" s="34">
        <f t="shared" si="128"/>
        <v>1</v>
      </c>
      <c r="AM293" s="34">
        <f t="shared" si="128"/>
        <v>1</v>
      </c>
      <c r="AN293" s="34">
        <f t="shared" si="128"/>
        <v>1</v>
      </c>
      <c r="AO293" s="34"/>
      <c r="AP293" s="45">
        <f>AO288</f>
        <v>1</v>
      </c>
      <c r="AQ293" s="80"/>
    </row>
    <row r="294" ht="15.75" customHeight="1">
      <c r="A294" s="80"/>
      <c r="B294" s="70"/>
      <c r="C294" s="32" t="s">
        <v>124</v>
      </c>
      <c r="D294" s="32" t="s">
        <v>123</v>
      </c>
      <c r="E294" s="17"/>
      <c r="F294" s="14" t="s">
        <v>23</v>
      </c>
      <c r="G294" s="44"/>
      <c r="H294" s="34">
        <v>5.0</v>
      </c>
      <c r="I294" s="34">
        <f t="shared" ref="I294:AO294" si="129">H299</f>
        <v>5</v>
      </c>
      <c r="J294" s="34">
        <f t="shared" si="129"/>
        <v>5</v>
      </c>
      <c r="K294" s="34">
        <f t="shared" si="129"/>
        <v>5</v>
      </c>
      <c r="L294" s="34">
        <f t="shared" si="129"/>
        <v>5</v>
      </c>
      <c r="M294" s="34">
        <f t="shared" si="129"/>
        <v>5</v>
      </c>
      <c r="N294" s="34">
        <f t="shared" si="129"/>
        <v>5</v>
      </c>
      <c r="O294" s="34">
        <f t="shared" si="129"/>
        <v>5</v>
      </c>
      <c r="P294" s="34">
        <f t="shared" si="129"/>
        <v>5</v>
      </c>
      <c r="Q294" s="34">
        <f t="shared" si="129"/>
        <v>5</v>
      </c>
      <c r="R294" s="34">
        <f t="shared" si="129"/>
        <v>5</v>
      </c>
      <c r="S294" s="34">
        <f t="shared" si="129"/>
        <v>5</v>
      </c>
      <c r="T294" s="34">
        <f t="shared" si="129"/>
        <v>5</v>
      </c>
      <c r="U294" s="34">
        <f t="shared" si="129"/>
        <v>5</v>
      </c>
      <c r="V294" s="34">
        <f t="shared" si="129"/>
        <v>5</v>
      </c>
      <c r="W294" s="34">
        <f t="shared" si="129"/>
        <v>5</v>
      </c>
      <c r="X294" s="34">
        <f t="shared" si="129"/>
        <v>5</v>
      </c>
      <c r="Y294" s="34">
        <f t="shared" si="129"/>
        <v>5</v>
      </c>
      <c r="Z294" s="34">
        <f t="shared" si="129"/>
        <v>5</v>
      </c>
      <c r="AA294" s="34">
        <f t="shared" si="129"/>
        <v>5</v>
      </c>
      <c r="AB294" s="34">
        <f t="shared" si="129"/>
        <v>5</v>
      </c>
      <c r="AC294" s="34">
        <f t="shared" si="129"/>
        <v>5</v>
      </c>
      <c r="AD294" s="34">
        <f t="shared" si="129"/>
        <v>5</v>
      </c>
      <c r="AE294" s="34">
        <f t="shared" si="129"/>
        <v>5</v>
      </c>
      <c r="AF294" s="34">
        <f t="shared" si="129"/>
        <v>5</v>
      </c>
      <c r="AG294" s="34">
        <f t="shared" si="129"/>
        <v>5</v>
      </c>
      <c r="AH294" s="34">
        <f t="shared" si="129"/>
        <v>5</v>
      </c>
      <c r="AI294" s="34">
        <f t="shared" si="129"/>
        <v>5</v>
      </c>
      <c r="AJ294" s="34">
        <f t="shared" si="129"/>
        <v>5</v>
      </c>
      <c r="AK294" s="34">
        <f t="shared" si="129"/>
        <v>5</v>
      </c>
      <c r="AL294" s="34">
        <f t="shared" si="129"/>
        <v>5</v>
      </c>
      <c r="AM294" s="34">
        <f t="shared" si="129"/>
        <v>5</v>
      </c>
      <c r="AN294" s="34">
        <f t="shared" si="129"/>
        <v>5</v>
      </c>
      <c r="AO294" s="34">
        <f t="shared" si="129"/>
        <v>5</v>
      </c>
      <c r="AP294" s="54"/>
      <c r="AQ294" s="80"/>
    </row>
    <row r="295" ht="15.75" customHeight="1">
      <c r="A295" s="80"/>
      <c r="B295" s="70"/>
      <c r="C295" s="35"/>
      <c r="D295" s="35"/>
      <c r="E295" s="69" t="s">
        <v>24</v>
      </c>
      <c r="F295" s="36" t="s">
        <v>25</v>
      </c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8"/>
      <c r="T295" s="37"/>
      <c r="U295" s="38"/>
      <c r="V295" s="37"/>
      <c r="W295" s="37"/>
      <c r="X295" s="37"/>
      <c r="Y295" s="37"/>
      <c r="Z295" s="37"/>
      <c r="AA295" s="37"/>
      <c r="AB295" s="37"/>
      <c r="AC295" s="37"/>
      <c r="AD295" s="38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9">
        <f t="shared" ref="AP295:AP298" si="130">SUM(H295:AO295)</f>
        <v>0</v>
      </c>
      <c r="AQ295" s="80"/>
    </row>
    <row r="296" ht="15.75" customHeight="1">
      <c r="A296" s="51"/>
      <c r="B296" s="78"/>
      <c r="C296" s="35"/>
      <c r="D296" s="35"/>
      <c r="E296" s="81"/>
      <c r="F296" s="40" t="s">
        <v>26</v>
      </c>
      <c r="G296" s="49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9"/>
      <c r="AP296" s="50">
        <f t="shared" si="130"/>
        <v>0</v>
      </c>
      <c r="AQ296" s="51"/>
    </row>
    <row r="297" ht="15.75" customHeight="1">
      <c r="A297" s="80"/>
      <c r="B297" s="70"/>
      <c r="C297" s="35"/>
      <c r="D297" s="35"/>
      <c r="E297" s="69" t="s">
        <v>27</v>
      </c>
      <c r="F297" s="41" t="s">
        <v>28</v>
      </c>
      <c r="G297" s="37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7"/>
      <c r="AP297" s="39">
        <f t="shared" si="130"/>
        <v>0</v>
      </c>
      <c r="AQ297" s="80"/>
    </row>
    <row r="298" ht="15.75" customHeight="1">
      <c r="A298" s="80"/>
      <c r="B298" s="70"/>
      <c r="C298" s="35"/>
      <c r="D298" s="35"/>
      <c r="E298" s="69"/>
      <c r="F298" s="41" t="s">
        <v>29</v>
      </c>
      <c r="G298" s="37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7"/>
      <c r="AP298" s="39">
        <f t="shared" si="130"/>
        <v>0</v>
      </c>
      <c r="AQ298" s="80"/>
    </row>
    <row r="299" ht="15.75" customHeight="1">
      <c r="A299" s="80"/>
      <c r="B299" s="70"/>
      <c r="C299" s="42"/>
      <c r="D299" s="42"/>
      <c r="E299" s="82"/>
      <c r="F299" s="43" t="s">
        <v>30</v>
      </c>
      <c r="G299" s="44"/>
      <c r="H299" s="34">
        <f t="shared" ref="H299:AN299" si="131">H294+H295-H296+H297-H298</f>
        <v>5</v>
      </c>
      <c r="I299" s="34">
        <f t="shared" si="131"/>
        <v>5</v>
      </c>
      <c r="J299" s="34">
        <f t="shared" si="131"/>
        <v>5</v>
      </c>
      <c r="K299" s="34">
        <f t="shared" si="131"/>
        <v>5</v>
      </c>
      <c r="L299" s="34">
        <f t="shared" si="131"/>
        <v>5</v>
      </c>
      <c r="M299" s="34">
        <f t="shared" si="131"/>
        <v>5</v>
      </c>
      <c r="N299" s="34">
        <f t="shared" si="131"/>
        <v>5</v>
      </c>
      <c r="O299" s="34">
        <f t="shared" si="131"/>
        <v>5</v>
      </c>
      <c r="P299" s="34">
        <f t="shared" si="131"/>
        <v>5</v>
      </c>
      <c r="Q299" s="34">
        <f t="shared" si="131"/>
        <v>5</v>
      </c>
      <c r="R299" s="34">
        <f t="shared" si="131"/>
        <v>5</v>
      </c>
      <c r="S299" s="34">
        <f t="shared" si="131"/>
        <v>5</v>
      </c>
      <c r="T299" s="34">
        <f t="shared" si="131"/>
        <v>5</v>
      </c>
      <c r="U299" s="34">
        <f t="shared" si="131"/>
        <v>5</v>
      </c>
      <c r="V299" s="34">
        <f t="shared" si="131"/>
        <v>5</v>
      </c>
      <c r="W299" s="34">
        <f t="shared" si="131"/>
        <v>5</v>
      </c>
      <c r="X299" s="34">
        <f t="shared" si="131"/>
        <v>5</v>
      </c>
      <c r="Y299" s="34">
        <f t="shared" si="131"/>
        <v>5</v>
      </c>
      <c r="Z299" s="34">
        <f t="shared" si="131"/>
        <v>5</v>
      </c>
      <c r="AA299" s="34">
        <f t="shared" si="131"/>
        <v>5</v>
      </c>
      <c r="AB299" s="34">
        <f t="shared" si="131"/>
        <v>5</v>
      </c>
      <c r="AC299" s="34">
        <f t="shared" si="131"/>
        <v>5</v>
      </c>
      <c r="AD299" s="34">
        <f t="shared" si="131"/>
        <v>5</v>
      </c>
      <c r="AE299" s="34">
        <f t="shared" si="131"/>
        <v>5</v>
      </c>
      <c r="AF299" s="34">
        <f t="shared" si="131"/>
        <v>5</v>
      </c>
      <c r="AG299" s="34">
        <f t="shared" si="131"/>
        <v>5</v>
      </c>
      <c r="AH299" s="34">
        <f t="shared" si="131"/>
        <v>5</v>
      </c>
      <c r="AI299" s="34">
        <f t="shared" si="131"/>
        <v>5</v>
      </c>
      <c r="AJ299" s="34">
        <f t="shared" si="131"/>
        <v>5</v>
      </c>
      <c r="AK299" s="34">
        <f t="shared" si="131"/>
        <v>5</v>
      </c>
      <c r="AL299" s="34">
        <f t="shared" si="131"/>
        <v>5</v>
      </c>
      <c r="AM299" s="34">
        <f t="shared" si="131"/>
        <v>5</v>
      </c>
      <c r="AN299" s="34">
        <f t="shared" si="131"/>
        <v>5</v>
      </c>
      <c r="AO299" s="34"/>
      <c r="AP299" s="45">
        <f>AO294</f>
        <v>5</v>
      </c>
      <c r="AQ299" s="80"/>
    </row>
    <row r="300" ht="15.75" customHeight="1">
      <c r="A300" s="80"/>
      <c r="B300" s="70"/>
      <c r="C300" s="32" t="s">
        <v>125</v>
      </c>
      <c r="D300" s="32" t="s">
        <v>126</v>
      </c>
      <c r="E300" s="17"/>
      <c r="F300" s="14" t="s">
        <v>23</v>
      </c>
      <c r="G300" s="44"/>
      <c r="H300" s="34">
        <v>0.0</v>
      </c>
      <c r="I300" s="34">
        <f t="shared" ref="I300:AO300" si="132">H305</f>
        <v>0</v>
      </c>
      <c r="J300" s="34">
        <f t="shared" si="132"/>
        <v>0</v>
      </c>
      <c r="K300" s="34">
        <f t="shared" si="132"/>
        <v>0</v>
      </c>
      <c r="L300" s="34">
        <f t="shared" si="132"/>
        <v>0</v>
      </c>
      <c r="M300" s="34">
        <f t="shared" si="132"/>
        <v>0</v>
      </c>
      <c r="N300" s="34">
        <f t="shared" si="132"/>
        <v>0</v>
      </c>
      <c r="O300" s="34">
        <f t="shared" si="132"/>
        <v>0</v>
      </c>
      <c r="P300" s="34">
        <f t="shared" si="132"/>
        <v>0</v>
      </c>
      <c r="Q300" s="34">
        <f t="shared" si="132"/>
        <v>0</v>
      </c>
      <c r="R300" s="34">
        <f t="shared" si="132"/>
        <v>0</v>
      </c>
      <c r="S300" s="34">
        <f t="shared" si="132"/>
        <v>0</v>
      </c>
      <c r="T300" s="34">
        <f t="shared" si="132"/>
        <v>0</v>
      </c>
      <c r="U300" s="34">
        <f t="shared" si="132"/>
        <v>0</v>
      </c>
      <c r="V300" s="34">
        <f t="shared" si="132"/>
        <v>0</v>
      </c>
      <c r="W300" s="34">
        <f t="shared" si="132"/>
        <v>0</v>
      </c>
      <c r="X300" s="34">
        <f t="shared" si="132"/>
        <v>0</v>
      </c>
      <c r="Y300" s="34">
        <f t="shared" si="132"/>
        <v>0</v>
      </c>
      <c r="Z300" s="34">
        <f t="shared" si="132"/>
        <v>0</v>
      </c>
      <c r="AA300" s="34">
        <f t="shared" si="132"/>
        <v>0</v>
      </c>
      <c r="AB300" s="34">
        <f t="shared" si="132"/>
        <v>0</v>
      </c>
      <c r="AC300" s="34">
        <f t="shared" si="132"/>
        <v>0</v>
      </c>
      <c r="AD300" s="34">
        <f t="shared" si="132"/>
        <v>0</v>
      </c>
      <c r="AE300" s="34">
        <f t="shared" si="132"/>
        <v>0</v>
      </c>
      <c r="AF300" s="34">
        <f t="shared" si="132"/>
        <v>0</v>
      </c>
      <c r="AG300" s="34">
        <f t="shared" si="132"/>
        <v>0</v>
      </c>
      <c r="AH300" s="34">
        <f t="shared" si="132"/>
        <v>0</v>
      </c>
      <c r="AI300" s="34">
        <f t="shared" si="132"/>
        <v>0</v>
      </c>
      <c r="AJ300" s="34">
        <f t="shared" si="132"/>
        <v>0</v>
      </c>
      <c r="AK300" s="34">
        <f t="shared" si="132"/>
        <v>0</v>
      </c>
      <c r="AL300" s="34">
        <f t="shared" si="132"/>
        <v>0</v>
      </c>
      <c r="AM300" s="34">
        <f t="shared" si="132"/>
        <v>0</v>
      </c>
      <c r="AN300" s="34">
        <f t="shared" si="132"/>
        <v>0</v>
      </c>
      <c r="AO300" s="34">
        <f t="shared" si="132"/>
        <v>0</v>
      </c>
      <c r="AP300" s="54"/>
      <c r="AQ300" s="80"/>
    </row>
    <row r="301" ht="15.75" customHeight="1">
      <c r="A301" s="80"/>
      <c r="B301" s="70"/>
      <c r="C301" s="35"/>
      <c r="D301" s="35"/>
      <c r="E301" s="69" t="s">
        <v>24</v>
      </c>
      <c r="F301" s="36" t="s">
        <v>25</v>
      </c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8"/>
      <c r="T301" s="37"/>
      <c r="U301" s="38"/>
      <c r="V301" s="37"/>
      <c r="W301" s="37"/>
      <c r="X301" s="37"/>
      <c r="Y301" s="37"/>
      <c r="Z301" s="37"/>
      <c r="AA301" s="37"/>
      <c r="AB301" s="37"/>
      <c r="AC301" s="37"/>
      <c r="AD301" s="38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9">
        <f t="shared" ref="AP301:AP304" si="133">SUM(H301:AO301)</f>
        <v>0</v>
      </c>
      <c r="AQ301" s="80"/>
    </row>
    <row r="302" ht="15.75" customHeight="1">
      <c r="A302" s="80"/>
      <c r="B302" s="70"/>
      <c r="C302" s="35"/>
      <c r="D302" s="35"/>
      <c r="E302" s="69"/>
      <c r="F302" s="40" t="s">
        <v>26</v>
      </c>
      <c r="G302" s="37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7"/>
      <c r="AP302" s="39">
        <f t="shared" si="133"/>
        <v>0</v>
      </c>
      <c r="AQ302" s="80"/>
    </row>
    <row r="303" ht="15.75" customHeight="1">
      <c r="A303" s="80"/>
      <c r="B303" s="70"/>
      <c r="C303" s="35"/>
      <c r="D303" s="35"/>
      <c r="E303" s="69" t="s">
        <v>27</v>
      </c>
      <c r="F303" s="41" t="s">
        <v>28</v>
      </c>
      <c r="G303" s="37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7"/>
      <c r="AP303" s="39">
        <f t="shared" si="133"/>
        <v>0</v>
      </c>
      <c r="AQ303" s="80"/>
    </row>
    <row r="304" ht="15.75" customHeight="1">
      <c r="A304" s="80"/>
      <c r="B304" s="70"/>
      <c r="C304" s="35"/>
      <c r="D304" s="35"/>
      <c r="E304" s="69"/>
      <c r="F304" s="41" t="s">
        <v>29</v>
      </c>
      <c r="G304" s="37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7"/>
      <c r="AP304" s="39">
        <f t="shared" si="133"/>
        <v>0</v>
      </c>
      <c r="AQ304" s="80"/>
    </row>
    <row r="305" ht="15.75" customHeight="1">
      <c r="A305" s="80"/>
      <c r="B305" s="70"/>
      <c r="C305" s="42"/>
      <c r="D305" s="42"/>
      <c r="E305" s="82"/>
      <c r="F305" s="43" t="s">
        <v>30</v>
      </c>
      <c r="G305" s="44"/>
      <c r="H305" s="34">
        <f t="shared" ref="H305:AN305" si="134">H300+H301-H302+H303-H304</f>
        <v>0</v>
      </c>
      <c r="I305" s="34">
        <f t="shared" si="134"/>
        <v>0</v>
      </c>
      <c r="J305" s="34">
        <f t="shared" si="134"/>
        <v>0</v>
      </c>
      <c r="K305" s="34">
        <f t="shared" si="134"/>
        <v>0</v>
      </c>
      <c r="L305" s="34">
        <f t="shared" si="134"/>
        <v>0</v>
      </c>
      <c r="M305" s="34">
        <f t="shared" si="134"/>
        <v>0</v>
      </c>
      <c r="N305" s="34">
        <f t="shared" si="134"/>
        <v>0</v>
      </c>
      <c r="O305" s="34">
        <f t="shared" si="134"/>
        <v>0</v>
      </c>
      <c r="P305" s="34">
        <f t="shared" si="134"/>
        <v>0</v>
      </c>
      <c r="Q305" s="34">
        <f t="shared" si="134"/>
        <v>0</v>
      </c>
      <c r="R305" s="34">
        <f t="shared" si="134"/>
        <v>0</v>
      </c>
      <c r="S305" s="34">
        <f t="shared" si="134"/>
        <v>0</v>
      </c>
      <c r="T305" s="34">
        <f t="shared" si="134"/>
        <v>0</v>
      </c>
      <c r="U305" s="34">
        <f t="shared" si="134"/>
        <v>0</v>
      </c>
      <c r="V305" s="34">
        <f t="shared" si="134"/>
        <v>0</v>
      </c>
      <c r="W305" s="34">
        <f t="shared" si="134"/>
        <v>0</v>
      </c>
      <c r="X305" s="34">
        <f t="shared" si="134"/>
        <v>0</v>
      </c>
      <c r="Y305" s="34">
        <f t="shared" si="134"/>
        <v>0</v>
      </c>
      <c r="Z305" s="34">
        <f t="shared" si="134"/>
        <v>0</v>
      </c>
      <c r="AA305" s="34">
        <f t="shared" si="134"/>
        <v>0</v>
      </c>
      <c r="AB305" s="34">
        <f t="shared" si="134"/>
        <v>0</v>
      </c>
      <c r="AC305" s="34">
        <f t="shared" si="134"/>
        <v>0</v>
      </c>
      <c r="AD305" s="34">
        <f t="shared" si="134"/>
        <v>0</v>
      </c>
      <c r="AE305" s="34">
        <f t="shared" si="134"/>
        <v>0</v>
      </c>
      <c r="AF305" s="34">
        <f t="shared" si="134"/>
        <v>0</v>
      </c>
      <c r="AG305" s="34">
        <f t="shared" si="134"/>
        <v>0</v>
      </c>
      <c r="AH305" s="34">
        <f t="shared" si="134"/>
        <v>0</v>
      </c>
      <c r="AI305" s="34">
        <f t="shared" si="134"/>
        <v>0</v>
      </c>
      <c r="AJ305" s="34">
        <f t="shared" si="134"/>
        <v>0</v>
      </c>
      <c r="AK305" s="34">
        <f t="shared" si="134"/>
        <v>0</v>
      </c>
      <c r="AL305" s="34">
        <f t="shared" si="134"/>
        <v>0</v>
      </c>
      <c r="AM305" s="34">
        <f t="shared" si="134"/>
        <v>0</v>
      </c>
      <c r="AN305" s="34">
        <f t="shared" si="134"/>
        <v>0</v>
      </c>
      <c r="AO305" s="34"/>
      <c r="AP305" s="45">
        <f>AO300</f>
        <v>0</v>
      </c>
      <c r="AQ305" s="80"/>
    </row>
    <row r="306" ht="15.75" customHeight="1">
      <c r="A306" s="1"/>
      <c r="B306" s="32"/>
      <c r="C306" s="32" t="s">
        <v>127</v>
      </c>
      <c r="D306" s="32"/>
      <c r="E306" s="17"/>
      <c r="F306" s="14" t="s">
        <v>23</v>
      </c>
      <c r="G306" s="44"/>
      <c r="H306" s="34">
        <v>0.0</v>
      </c>
      <c r="I306" s="34">
        <f t="shared" ref="I306:AO306" si="135">H311</f>
        <v>0</v>
      </c>
      <c r="J306" s="34">
        <f t="shared" si="135"/>
        <v>0</v>
      </c>
      <c r="K306" s="34">
        <f t="shared" si="135"/>
        <v>0</v>
      </c>
      <c r="L306" s="34">
        <f t="shared" si="135"/>
        <v>0</v>
      </c>
      <c r="M306" s="34">
        <f t="shared" si="135"/>
        <v>0</v>
      </c>
      <c r="N306" s="34">
        <f t="shared" si="135"/>
        <v>0</v>
      </c>
      <c r="O306" s="34">
        <f t="shared" si="135"/>
        <v>0</v>
      </c>
      <c r="P306" s="34">
        <f t="shared" si="135"/>
        <v>0</v>
      </c>
      <c r="Q306" s="34">
        <f t="shared" si="135"/>
        <v>0</v>
      </c>
      <c r="R306" s="34">
        <f t="shared" si="135"/>
        <v>0</v>
      </c>
      <c r="S306" s="34">
        <f t="shared" si="135"/>
        <v>0</v>
      </c>
      <c r="T306" s="34">
        <f t="shared" si="135"/>
        <v>0</v>
      </c>
      <c r="U306" s="34">
        <f t="shared" si="135"/>
        <v>0</v>
      </c>
      <c r="V306" s="34">
        <f t="shared" si="135"/>
        <v>0</v>
      </c>
      <c r="W306" s="34">
        <f t="shared" si="135"/>
        <v>0</v>
      </c>
      <c r="X306" s="34">
        <f t="shared" si="135"/>
        <v>0</v>
      </c>
      <c r="Y306" s="34">
        <f t="shared" si="135"/>
        <v>0</v>
      </c>
      <c r="Z306" s="34">
        <f t="shared" si="135"/>
        <v>-50</v>
      </c>
      <c r="AA306" s="34">
        <f t="shared" si="135"/>
        <v>-50</v>
      </c>
      <c r="AB306" s="34">
        <f t="shared" si="135"/>
        <v>-50</v>
      </c>
      <c r="AC306" s="34">
        <f t="shared" si="135"/>
        <v>-50</v>
      </c>
      <c r="AD306" s="34">
        <f t="shared" si="135"/>
        <v>-50</v>
      </c>
      <c r="AE306" s="34">
        <f t="shared" si="135"/>
        <v>-50</v>
      </c>
      <c r="AF306" s="34">
        <f t="shared" si="135"/>
        <v>-50</v>
      </c>
      <c r="AG306" s="34">
        <f t="shared" si="135"/>
        <v>-50</v>
      </c>
      <c r="AH306" s="34">
        <f t="shared" si="135"/>
        <v>-50</v>
      </c>
      <c r="AI306" s="34">
        <f t="shared" si="135"/>
        <v>-50</v>
      </c>
      <c r="AJ306" s="34">
        <f t="shared" si="135"/>
        <v>-50</v>
      </c>
      <c r="AK306" s="34">
        <f t="shared" si="135"/>
        <v>-50</v>
      </c>
      <c r="AL306" s="34">
        <f t="shared" si="135"/>
        <v>-50</v>
      </c>
      <c r="AM306" s="34">
        <f t="shared" si="135"/>
        <v>-50</v>
      </c>
      <c r="AN306" s="34">
        <f t="shared" si="135"/>
        <v>-50</v>
      </c>
      <c r="AO306" s="34">
        <f t="shared" si="135"/>
        <v>-50</v>
      </c>
      <c r="AP306" s="54"/>
      <c r="AQ306" s="1"/>
    </row>
    <row r="307" ht="15.75" customHeight="1">
      <c r="A307" s="1"/>
      <c r="B307" s="35"/>
      <c r="C307" s="35"/>
      <c r="D307" s="35"/>
      <c r="E307" s="69" t="s">
        <v>24</v>
      </c>
      <c r="F307" s="36" t="s">
        <v>25</v>
      </c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8"/>
      <c r="T307" s="37"/>
      <c r="U307" s="38"/>
      <c r="V307" s="37"/>
      <c r="W307" s="37"/>
      <c r="X307" s="37"/>
      <c r="Y307" s="37"/>
      <c r="Z307" s="37"/>
      <c r="AA307" s="37"/>
      <c r="AB307" s="37"/>
      <c r="AC307" s="37"/>
      <c r="AD307" s="38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9">
        <f t="shared" ref="AP307:AP310" si="136">SUM(H307:AO307)</f>
        <v>0</v>
      </c>
      <c r="AQ307" s="1"/>
    </row>
    <row r="308" ht="15.75" customHeight="1">
      <c r="A308" s="1"/>
      <c r="B308" s="35"/>
      <c r="C308" s="35"/>
      <c r="D308" s="35"/>
      <c r="E308" s="69"/>
      <c r="F308" s="40" t="s">
        <v>26</v>
      </c>
      <c r="G308" s="37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>
        <v>50.0</v>
      </c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7"/>
      <c r="AP308" s="39">
        <f t="shared" si="136"/>
        <v>50</v>
      </c>
      <c r="AQ308" s="1"/>
    </row>
    <row r="309" ht="15.75" customHeight="1">
      <c r="A309" s="1"/>
      <c r="B309" s="35"/>
      <c r="C309" s="35"/>
      <c r="D309" s="35"/>
      <c r="E309" s="69" t="s">
        <v>27</v>
      </c>
      <c r="F309" s="41" t="s">
        <v>28</v>
      </c>
      <c r="G309" s="37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7"/>
      <c r="AP309" s="39">
        <f t="shared" si="136"/>
        <v>0</v>
      </c>
      <c r="AQ309" s="1"/>
    </row>
    <row r="310" ht="15.75" customHeight="1">
      <c r="A310" s="1"/>
      <c r="B310" s="35"/>
      <c r="C310" s="35"/>
      <c r="D310" s="35"/>
      <c r="E310" s="69"/>
      <c r="F310" s="41" t="s">
        <v>29</v>
      </c>
      <c r="G310" s="37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7"/>
      <c r="AP310" s="39">
        <f t="shared" si="136"/>
        <v>0</v>
      </c>
      <c r="AQ310" s="1"/>
    </row>
    <row r="311" ht="15.75" customHeight="1">
      <c r="A311" s="1"/>
      <c r="B311" s="42"/>
      <c r="C311" s="42"/>
      <c r="D311" s="42"/>
      <c r="E311" s="82"/>
      <c r="F311" s="43" t="s">
        <v>30</v>
      </c>
      <c r="G311" s="44"/>
      <c r="H311" s="34">
        <f t="shared" ref="H311:AN311" si="137">H306+H307-H308+H309-H310</f>
        <v>0</v>
      </c>
      <c r="I311" s="34">
        <f t="shared" si="137"/>
        <v>0</v>
      </c>
      <c r="J311" s="34">
        <f t="shared" si="137"/>
        <v>0</v>
      </c>
      <c r="K311" s="34">
        <f t="shared" si="137"/>
        <v>0</v>
      </c>
      <c r="L311" s="34">
        <f t="shared" si="137"/>
        <v>0</v>
      </c>
      <c r="M311" s="34">
        <f t="shared" si="137"/>
        <v>0</v>
      </c>
      <c r="N311" s="34">
        <f t="shared" si="137"/>
        <v>0</v>
      </c>
      <c r="O311" s="34">
        <f t="shared" si="137"/>
        <v>0</v>
      </c>
      <c r="P311" s="34">
        <f t="shared" si="137"/>
        <v>0</v>
      </c>
      <c r="Q311" s="34">
        <f t="shared" si="137"/>
        <v>0</v>
      </c>
      <c r="R311" s="34">
        <f t="shared" si="137"/>
        <v>0</v>
      </c>
      <c r="S311" s="34">
        <f t="shared" si="137"/>
        <v>0</v>
      </c>
      <c r="T311" s="34">
        <f t="shared" si="137"/>
        <v>0</v>
      </c>
      <c r="U311" s="34">
        <f t="shared" si="137"/>
        <v>0</v>
      </c>
      <c r="V311" s="34">
        <f t="shared" si="137"/>
        <v>0</v>
      </c>
      <c r="W311" s="34">
        <f t="shared" si="137"/>
        <v>0</v>
      </c>
      <c r="X311" s="34">
        <f t="shared" si="137"/>
        <v>0</v>
      </c>
      <c r="Y311" s="34">
        <f t="shared" si="137"/>
        <v>-50</v>
      </c>
      <c r="Z311" s="34">
        <f t="shared" si="137"/>
        <v>-50</v>
      </c>
      <c r="AA311" s="34">
        <f t="shared" si="137"/>
        <v>-50</v>
      </c>
      <c r="AB311" s="34">
        <f t="shared" si="137"/>
        <v>-50</v>
      </c>
      <c r="AC311" s="34">
        <f t="shared" si="137"/>
        <v>-50</v>
      </c>
      <c r="AD311" s="34">
        <f t="shared" si="137"/>
        <v>-50</v>
      </c>
      <c r="AE311" s="34">
        <f t="shared" si="137"/>
        <v>-50</v>
      </c>
      <c r="AF311" s="34">
        <f t="shared" si="137"/>
        <v>-50</v>
      </c>
      <c r="AG311" s="34">
        <f t="shared" si="137"/>
        <v>-50</v>
      </c>
      <c r="AH311" s="34">
        <f t="shared" si="137"/>
        <v>-50</v>
      </c>
      <c r="AI311" s="34">
        <f t="shared" si="137"/>
        <v>-50</v>
      </c>
      <c r="AJ311" s="34">
        <f t="shared" si="137"/>
        <v>-50</v>
      </c>
      <c r="AK311" s="34">
        <f t="shared" si="137"/>
        <v>-50</v>
      </c>
      <c r="AL311" s="34">
        <f t="shared" si="137"/>
        <v>-50</v>
      </c>
      <c r="AM311" s="34">
        <f t="shared" si="137"/>
        <v>-50</v>
      </c>
      <c r="AN311" s="34">
        <f t="shared" si="137"/>
        <v>-50</v>
      </c>
      <c r="AO311" s="34"/>
      <c r="AP311" s="45">
        <f>AO306</f>
        <v>-50</v>
      </c>
      <c r="AQ311" s="1"/>
    </row>
    <row r="312" ht="15.75" customHeight="1">
      <c r="A312" s="1"/>
      <c r="B312" s="32"/>
      <c r="C312" s="32" t="s">
        <v>128</v>
      </c>
      <c r="D312" s="32" t="s">
        <v>129</v>
      </c>
      <c r="E312" s="17"/>
      <c r="F312" s="14" t="s">
        <v>23</v>
      </c>
      <c r="G312" s="44"/>
      <c r="H312" s="34">
        <v>0.0</v>
      </c>
      <c r="I312" s="34">
        <f t="shared" ref="I312:AO312" si="138">H317</f>
        <v>0</v>
      </c>
      <c r="J312" s="34">
        <f t="shared" si="138"/>
        <v>0</v>
      </c>
      <c r="K312" s="34">
        <f t="shared" si="138"/>
        <v>0</v>
      </c>
      <c r="L312" s="34">
        <f t="shared" si="138"/>
        <v>0</v>
      </c>
      <c r="M312" s="34">
        <f t="shared" si="138"/>
        <v>0</v>
      </c>
      <c r="N312" s="34">
        <f t="shared" si="138"/>
        <v>0</v>
      </c>
      <c r="O312" s="34">
        <f t="shared" si="138"/>
        <v>0</v>
      </c>
      <c r="P312" s="34">
        <f t="shared" si="138"/>
        <v>0</v>
      </c>
      <c r="Q312" s="34">
        <f t="shared" si="138"/>
        <v>0</v>
      </c>
      <c r="R312" s="34">
        <f t="shared" si="138"/>
        <v>0</v>
      </c>
      <c r="S312" s="34">
        <f t="shared" si="138"/>
        <v>0</v>
      </c>
      <c r="T312" s="34">
        <f t="shared" si="138"/>
        <v>0</v>
      </c>
      <c r="U312" s="34">
        <f t="shared" si="138"/>
        <v>0</v>
      </c>
      <c r="V312" s="34">
        <f t="shared" si="138"/>
        <v>0</v>
      </c>
      <c r="W312" s="34">
        <f t="shared" si="138"/>
        <v>0</v>
      </c>
      <c r="X312" s="34">
        <f t="shared" si="138"/>
        <v>0</v>
      </c>
      <c r="Y312" s="34">
        <f t="shared" si="138"/>
        <v>0</v>
      </c>
      <c r="Z312" s="34">
        <f t="shared" si="138"/>
        <v>0</v>
      </c>
      <c r="AA312" s="34">
        <f t="shared" si="138"/>
        <v>0</v>
      </c>
      <c r="AB312" s="34">
        <f t="shared" si="138"/>
        <v>0</v>
      </c>
      <c r="AC312" s="34">
        <f t="shared" si="138"/>
        <v>0</v>
      </c>
      <c r="AD312" s="34">
        <f t="shared" si="138"/>
        <v>0</v>
      </c>
      <c r="AE312" s="34">
        <f t="shared" si="138"/>
        <v>0</v>
      </c>
      <c r="AF312" s="34">
        <f t="shared" si="138"/>
        <v>0</v>
      </c>
      <c r="AG312" s="34">
        <f t="shared" si="138"/>
        <v>0</v>
      </c>
      <c r="AH312" s="34">
        <f t="shared" si="138"/>
        <v>0</v>
      </c>
      <c r="AI312" s="34">
        <f t="shared" si="138"/>
        <v>0</v>
      </c>
      <c r="AJ312" s="34">
        <f t="shared" si="138"/>
        <v>0</v>
      </c>
      <c r="AK312" s="34">
        <f t="shared" si="138"/>
        <v>0</v>
      </c>
      <c r="AL312" s="34">
        <f t="shared" si="138"/>
        <v>0</v>
      </c>
      <c r="AM312" s="34">
        <f t="shared" si="138"/>
        <v>0</v>
      </c>
      <c r="AN312" s="34">
        <f t="shared" si="138"/>
        <v>0</v>
      </c>
      <c r="AO312" s="34">
        <f t="shared" si="138"/>
        <v>0</v>
      </c>
      <c r="AP312" s="54"/>
      <c r="AQ312" s="1"/>
    </row>
    <row r="313" ht="15.75" customHeight="1">
      <c r="A313" s="1"/>
      <c r="B313" s="35"/>
      <c r="C313" s="35"/>
      <c r="D313" s="35"/>
      <c r="E313" s="69" t="s">
        <v>24</v>
      </c>
      <c r="F313" s="36" t="s">
        <v>25</v>
      </c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8"/>
      <c r="T313" s="37"/>
      <c r="U313" s="38"/>
      <c r="V313" s="37"/>
      <c r="W313" s="37"/>
      <c r="X313" s="37"/>
      <c r="Y313" s="37"/>
      <c r="Z313" s="37"/>
      <c r="AA313" s="37"/>
      <c r="AB313" s="37"/>
      <c r="AC313" s="37"/>
      <c r="AD313" s="38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9">
        <f t="shared" ref="AP313:AP316" si="139">SUM(H313:AO313)</f>
        <v>0</v>
      </c>
      <c r="AQ313" s="1"/>
    </row>
    <row r="314" ht="15.75" customHeight="1">
      <c r="A314" s="1"/>
      <c r="B314" s="35"/>
      <c r="C314" s="35"/>
      <c r="D314" s="35"/>
      <c r="E314" s="69"/>
      <c r="F314" s="40" t="s">
        <v>26</v>
      </c>
      <c r="G314" s="37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7"/>
      <c r="AP314" s="39">
        <f t="shared" si="139"/>
        <v>0</v>
      </c>
      <c r="AQ314" s="1"/>
    </row>
    <row r="315" ht="15.75" customHeight="1">
      <c r="A315" s="1"/>
      <c r="B315" s="35"/>
      <c r="C315" s="35"/>
      <c r="D315" s="35"/>
      <c r="E315" s="69" t="s">
        <v>27</v>
      </c>
      <c r="F315" s="41" t="s">
        <v>28</v>
      </c>
      <c r="G315" s="37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7"/>
      <c r="AP315" s="39">
        <f t="shared" si="139"/>
        <v>0</v>
      </c>
      <c r="AQ315" s="1"/>
    </row>
    <row r="316" ht="15.75" customHeight="1">
      <c r="A316" s="1"/>
      <c r="B316" s="35"/>
      <c r="C316" s="35"/>
      <c r="D316" s="35"/>
      <c r="E316" s="69"/>
      <c r="F316" s="41" t="s">
        <v>29</v>
      </c>
      <c r="G316" s="37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7"/>
      <c r="AP316" s="39">
        <f t="shared" si="139"/>
        <v>0</v>
      </c>
      <c r="AQ316" s="1"/>
    </row>
    <row r="317" ht="15.75" customHeight="1">
      <c r="A317" s="1"/>
      <c r="B317" s="42"/>
      <c r="C317" s="42"/>
      <c r="D317" s="42"/>
      <c r="E317" s="82"/>
      <c r="F317" s="43" t="s">
        <v>30</v>
      </c>
      <c r="G317" s="44"/>
      <c r="H317" s="34">
        <f t="shared" ref="H317:AN317" si="140">H312+H313-H314+H315-H316</f>
        <v>0</v>
      </c>
      <c r="I317" s="34">
        <f t="shared" si="140"/>
        <v>0</v>
      </c>
      <c r="J317" s="34">
        <f t="shared" si="140"/>
        <v>0</v>
      </c>
      <c r="K317" s="34">
        <f t="shared" si="140"/>
        <v>0</v>
      </c>
      <c r="L317" s="34">
        <f t="shared" si="140"/>
        <v>0</v>
      </c>
      <c r="M317" s="34">
        <f t="shared" si="140"/>
        <v>0</v>
      </c>
      <c r="N317" s="34">
        <f t="shared" si="140"/>
        <v>0</v>
      </c>
      <c r="O317" s="34">
        <f t="shared" si="140"/>
        <v>0</v>
      </c>
      <c r="P317" s="34">
        <f t="shared" si="140"/>
        <v>0</v>
      </c>
      <c r="Q317" s="34">
        <f t="shared" si="140"/>
        <v>0</v>
      </c>
      <c r="R317" s="34">
        <f t="shared" si="140"/>
        <v>0</v>
      </c>
      <c r="S317" s="34">
        <f t="shared" si="140"/>
        <v>0</v>
      </c>
      <c r="T317" s="34">
        <f t="shared" si="140"/>
        <v>0</v>
      </c>
      <c r="U317" s="34">
        <f t="shared" si="140"/>
        <v>0</v>
      </c>
      <c r="V317" s="34">
        <f t="shared" si="140"/>
        <v>0</v>
      </c>
      <c r="W317" s="34">
        <f t="shared" si="140"/>
        <v>0</v>
      </c>
      <c r="X317" s="34">
        <f t="shared" si="140"/>
        <v>0</v>
      </c>
      <c r="Y317" s="34">
        <f t="shared" si="140"/>
        <v>0</v>
      </c>
      <c r="Z317" s="34">
        <f t="shared" si="140"/>
        <v>0</v>
      </c>
      <c r="AA317" s="34">
        <f t="shared" si="140"/>
        <v>0</v>
      </c>
      <c r="AB317" s="34">
        <f t="shared" si="140"/>
        <v>0</v>
      </c>
      <c r="AC317" s="34">
        <f t="shared" si="140"/>
        <v>0</v>
      </c>
      <c r="AD317" s="34">
        <f t="shared" si="140"/>
        <v>0</v>
      </c>
      <c r="AE317" s="34">
        <f t="shared" si="140"/>
        <v>0</v>
      </c>
      <c r="AF317" s="34">
        <f t="shared" si="140"/>
        <v>0</v>
      </c>
      <c r="AG317" s="34">
        <f t="shared" si="140"/>
        <v>0</v>
      </c>
      <c r="AH317" s="34">
        <f t="shared" si="140"/>
        <v>0</v>
      </c>
      <c r="AI317" s="34">
        <f t="shared" si="140"/>
        <v>0</v>
      </c>
      <c r="AJ317" s="34">
        <f t="shared" si="140"/>
        <v>0</v>
      </c>
      <c r="AK317" s="34">
        <f t="shared" si="140"/>
        <v>0</v>
      </c>
      <c r="AL317" s="34">
        <f t="shared" si="140"/>
        <v>0</v>
      </c>
      <c r="AM317" s="34">
        <f t="shared" si="140"/>
        <v>0</v>
      </c>
      <c r="AN317" s="34">
        <f t="shared" si="140"/>
        <v>0</v>
      </c>
      <c r="AO317" s="34"/>
      <c r="AP317" s="45">
        <f>AO312</f>
        <v>0</v>
      </c>
      <c r="AQ317" s="1"/>
    </row>
    <row r="318" ht="15.75" customHeight="1">
      <c r="A318" s="1"/>
      <c r="B318" s="32"/>
      <c r="C318" s="32" t="s">
        <v>130</v>
      </c>
      <c r="D318" s="32" t="s">
        <v>131</v>
      </c>
      <c r="E318" s="17"/>
      <c r="F318" s="14" t="s">
        <v>23</v>
      </c>
      <c r="G318" s="44"/>
      <c r="H318" s="34">
        <v>138.0</v>
      </c>
      <c r="I318" s="34">
        <f t="shared" ref="I318:AO318" si="141">H323</f>
        <v>138</v>
      </c>
      <c r="J318" s="34">
        <f t="shared" si="141"/>
        <v>138</v>
      </c>
      <c r="K318" s="34">
        <f t="shared" si="141"/>
        <v>138</v>
      </c>
      <c r="L318" s="34">
        <f t="shared" si="141"/>
        <v>138</v>
      </c>
      <c r="M318" s="34">
        <f t="shared" si="141"/>
        <v>138</v>
      </c>
      <c r="N318" s="34">
        <f t="shared" si="141"/>
        <v>138</v>
      </c>
      <c r="O318" s="34">
        <f t="shared" si="141"/>
        <v>138</v>
      </c>
      <c r="P318" s="34">
        <f t="shared" si="141"/>
        <v>138</v>
      </c>
      <c r="Q318" s="34">
        <f t="shared" si="141"/>
        <v>138</v>
      </c>
      <c r="R318" s="34">
        <f t="shared" si="141"/>
        <v>138</v>
      </c>
      <c r="S318" s="34">
        <f t="shared" si="141"/>
        <v>138</v>
      </c>
      <c r="T318" s="34">
        <f t="shared" si="141"/>
        <v>138</v>
      </c>
      <c r="U318" s="34">
        <f t="shared" si="141"/>
        <v>138</v>
      </c>
      <c r="V318" s="34">
        <f t="shared" si="141"/>
        <v>138</v>
      </c>
      <c r="W318" s="34">
        <f t="shared" si="141"/>
        <v>138</v>
      </c>
      <c r="X318" s="34">
        <f t="shared" si="141"/>
        <v>138</v>
      </c>
      <c r="Y318" s="34">
        <f t="shared" si="141"/>
        <v>138</v>
      </c>
      <c r="Z318" s="34">
        <f t="shared" si="141"/>
        <v>138</v>
      </c>
      <c r="AA318" s="34">
        <f t="shared" si="141"/>
        <v>138</v>
      </c>
      <c r="AB318" s="34">
        <f t="shared" si="141"/>
        <v>138</v>
      </c>
      <c r="AC318" s="34">
        <f t="shared" si="141"/>
        <v>138</v>
      </c>
      <c r="AD318" s="34">
        <f t="shared" si="141"/>
        <v>138</v>
      </c>
      <c r="AE318" s="34">
        <f t="shared" si="141"/>
        <v>138</v>
      </c>
      <c r="AF318" s="34">
        <f t="shared" si="141"/>
        <v>138</v>
      </c>
      <c r="AG318" s="34">
        <f t="shared" si="141"/>
        <v>138</v>
      </c>
      <c r="AH318" s="34">
        <f t="shared" si="141"/>
        <v>138</v>
      </c>
      <c r="AI318" s="34">
        <f t="shared" si="141"/>
        <v>138</v>
      </c>
      <c r="AJ318" s="34">
        <f t="shared" si="141"/>
        <v>138</v>
      </c>
      <c r="AK318" s="34">
        <f t="shared" si="141"/>
        <v>138</v>
      </c>
      <c r="AL318" s="34">
        <f t="shared" si="141"/>
        <v>138</v>
      </c>
      <c r="AM318" s="34">
        <f t="shared" si="141"/>
        <v>138</v>
      </c>
      <c r="AN318" s="34">
        <f t="shared" si="141"/>
        <v>138</v>
      </c>
      <c r="AO318" s="34">
        <f t="shared" si="141"/>
        <v>138</v>
      </c>
      <c r="AP318" s="54"/>
      <c r="AQ318" s="1"/>
    </row>
    <row r="319" ht="15.75" customHeight="1">
      <c r="A319" s="1"/>
      <c r="B319" s="35"/>
      <c r="C319" s="35"/>
      <c r="D319" s="35"/>
      <c r="E319" s="69" t="s">
        <v>24</v>
      </c>
      <c r="F319" s="36" t="s">
        <v>25</v>
      </c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8"/>
      <c r="T319" s="37"/>
      <c r="U319" s="38"/>
      <c r="V319" s="37"/>
      <c r="W319" s="37"/>
      <c r="X319" s="37"/>
      <c r="Y319" s="37"/>
      <c r="Z319" s="37"/>
      <c r="AA319" s="37"/>
      <c r="AB319" s="37"/>
      <c r="AC319" s="37"/>
      <c r="AD319" s="38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9">
        <f t="shared" ref="AP319:AP322" si="142">SUM(H319:AO319)</f>
        <v>0</v>
      </c>
      <c r="AQ319" s="1"/>
    </row>
    <row r="320" ht="15.75" customHeight="1">
      <c r="A320" s="1"/>
      <c r="B320" s="35"/>
      <c r="C320" s="35"/>
      <c r="D320" s="35"/>
      <c r="E320" s="69"/>
      <c r="F320" s="40" t="s">
        <v>26</v>
      </c>
      <c r="G320" s="37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7"/>
      <c r="AP320" s="39">
        <f t="shared" si="142"/>
        <v>0</v>
      </c>
      <c r="AQ320" s="1"/>
    </row>
    <row r="321" ht="15.75" customHeight="1">
      <c r="A321" s="1"/>
      <c r="B321" s="35"/>
      <c r="C321" s="35"/>
      <c r="D321" s="35"/>
      <c r="E321" s="69" t="s">
        <v>27</v>
      </c>
      <c r="F321" s="41" t="s">
        <v>28</v>
      </c>
      <c r="G321" s="37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7"/>
      <c r="AP321" s="39">
        <f t="shared" si="142"/>
        <v>0</v>
      </c>
      <c r="AQ321" s="1"/>
    </row>
    <row r="322" ht="15.75" customHeight="1">
      <c r="A322" s="1"/>
      <c r="B322" s="35"/>
      <c r="C322" s="35"/>
      <c r="D322" s="35"/>
      <c r="E322" s="69"/>
      <c r="F322" s="41" t="s">
        <v>29</v>
      </c>
      <c r="G322" s="37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7"/>
      <c r="AP322" s="39">
        <f t="shared" si="142"/>
        <v>0</v>
      </c>
      <c r="AQ322" s="1"/>
    </row>
    <row r="323" ht="15.75" customHeight="1">
      <c r="A323" s="1"/>
      <c r="B323" s="42"/>
      <c r="C323" s="42"/>
      <c r="D323" s="42"/>
      <c r="E323" s="82"/>
      <c r="F323" s="43" t="s">
        <v>30</v>
      </c>
      <c r="G323" s="44"/>
      <c r="H323" s="34">
        <f t="shared" ref="H323:AN323" si="143">H318+H319-H320+H321-H322</f>
        <v>138</v>
      </c>
      <c r="I323" s="34">
        <f t="shared" si="143"/>
        <v>138</v>
      </c>
      <c r="J323" s="34">
        <f t="shared" si="143"/>
        <v>138</v>
      </c>
      <c r="K323" s="34">
        <f t="shared" si="143"/>
        <v>138</v>
      </c>
      <c r="L323" s="34">
        <f t="shared" si="143"/>
        <v>138</v>
      </c>
      <c r="M323" s="34">
        <f t="shared" si="143"/>
        <v>138</v>
      </c>
      <c r="N323" s="34">
        <f t="shared" si="143"/>
        <v>138</v>
      </c>
      <c r="O323" s="34">
        <f t="shared" si="143"/>
        <v>138</v>
      </c>
      <c r="P323" s="34">
        <f t="shared" si="143"/>
        <v>138</v>
      </c>
      <c r="Q323" s="34">
        <f t="shared" si="143"/>
        <v>138</v>
      </c>
      <c r="R323" s="34">
        <f t="shared" si="143"/>
        <v>138</v>
      </c>
      <c r="S323" s="34">
        <f t="shared" si="143"/>
        <v>138</v>
      </c>
      <c r="T323" s="34">
        <f t="shared" si="143"/>
        <v>138</v>
      </c>
      <c r="U323" s="34">
        <f t="shared" si="143"/>
        <v>138</v>
      </c>
      <c r="V323" s="34">
        <f t="shared" si="143"/>
        <v>138</v>
      </c>
      <c r="W323" s="34">
        <f t="shared" si="143"/>
        <v>138</v>
      </c>
      <c r="X323" s="34">
        <f t="shared" si="143"/>
        <v>138</v>
      </c>
      <c r="Y323" s="34">
        <f t="shared" si="143"/>
        <v>138</v>
      </c>
      <c r="Z323" s="34">
        <f t="shared" si="143"/>
        <v>138</v>
      </c>
      <c r="AA323" s="34">
        <f t="shared" si="143"/>
        <v>138</v>
      </c>
      <c r="AB323" s="34">
        <f t="shared" si="143"/>
        <v>138</v>
      </c>
      <c r="AC323" s="34">
        <f t="shared" si="143"/>
        <v>138</v>
      </c>
      <c r="AD323" s="34">
        <f t="shared" si="143"/>
        <v>138</v>
      </c>
      <c r="AE323" s="34">
        <f t="shared" si="143"/>
        <v>138</v>
      </c>
      <c r="AF323" s="34">
        <f t="shared" si="143"/>
        <v>138</v>
      </c>
      <c r="AG323" s="34">
        <f t="shared" si="143"/>
        <v>138</v>
      </c>
      <c r="AH323" s="34">
        <f t="shared" si="143"/>
        <v>138</v>
      </c>
      <c r="AI323" s="34">
        <f t="shared" si="143"/>
        <v>138</v>
      </c>
      <c r="AJ323" s="34">
        <f t="shared" si="143"/>
        <v>138</v>
      </c>
      <c r="AK323" s="34">
        <f t="shared" si="143"/>
        <v>138</v>
      </c>
      <c r="AL323" s="34">
        <f t="shared" si="143"/>
        <v>138</v>
      </c>
      <c r="AM323" s="34">
        <f t="shared" si="143"/>
        <v>138</v>
      </c>
      <c r="AN323" s="34">
        <f t="shared" si="143"/>
        <v>138</v>
      </c>
      <c r="AO323" s="34"/>
      <c r="AP323" s="45">
        <f>AO318</f>
        <v>138</v>
      </c>
      <c r="AQ323" s="1"/>
    </row>
    <row r="324" ht="15.75" customHeight="1">
      <c r="A324" s="1"/>
      <c r="B324" s="32"/>
      <c r="C324" s="32" t="s">
        <v>132</v>
      </c>
      <c r="D324" s="32" t="s">
        <v>133</v>
      </c>
      <c r="E324" s="17"/>
      <c r="F324" s="14" t="s">
        <v>23</v>
      </c>
      <c r="G324" s="44"/>
      <c r="H324" s="34" t="str">
        <f t="shared" ref="H324:AO324" si="144">G329</f>
        <v/>
      </c>
      <c r="I324" s="34">
        <f t="shared" si="144"/>
        <v>0</v>
      </c>
      <c r="J324" s="34">
        <f t="shared" si="144"/>
        <v>0</v>
      </c>
      <c r="K324" s="34">
        <f t="shared" si="144"/>
        <v>0</v>
      </c>
      <c r="L324" s="34">
        <f t="shared" si="144"/>
        <v>0</v>
      </c>
      <c r="M324" s="34">
        <f t="shared" si="144"/>
        <v>0</v>
      </c>
      <c r="N324" s="34">
        <f t="shared" si="144"/>
        <v>0</v>
      </c>
      <c r="O324" s="34">
        <f t="shared" si="144"/>
        <v>0</v>
      </c>
      <c r="P324" s="34">
        <f t="shared" si="144"/>
        <v>0</v>
      </c>
      <c r="Q324" s="34">
        <f t="shared" si="144"/>
        <v>0</v>
      </c>
      <c r="R324" s="34">
        <f t="shared" si="144"/>
        <v>0</v>
      </c>
      <c r="S324" s="34">
        <f t="shared" si="144"/>
        <v>0</v>
      </c>
      <c r="T324" s="34">
        <f t="shared" si="144"/>
        <v>0</v>
      </c>
      <c r="U324" s="34">
        <f t="shared" si="144"/>
        <v>0</v>
      </c>
      <c r="V324" s="34">
        <f t="shared" si="144"/>
        <v>0</v>
      </c>
      <c r="W324" s="34">
        <f t="shared" si="144"/>
        <v>0</v>
      </c>
      <c r="X324" s="34">
        <f t="shared" si="144"/>
        <v>0</v>
      </c>
      <c r="Y324" s="34">
        <f t="shared" si="144"/>
        <v>0</v>
      </c>
      <c r="Z324" s="34">
        <f t="shared" si="144"/>
        <v>0</v>
      </c>
      <c r="AA324" s="34">
        <f t="shared" si="144"/>
        <v>0</v>
      </c>
      <c r="AB324" s="34">
        <f t="shared" si="144"/>
        <v>0</v>
      </c>
      <c r="AC324" s="34">
        <f t="shared" si="144"/>
        <v>0</v>
      </c>
      <c r="AD324" s="34">
        <f t="shared" si="144"/>
        <v>0</v>
      </c>
      <c r="AE324" s="34">
        <f t="shared" si="144"/>
        <v>0</v>
      </c>
      <c r="AF324" s="34">
        <f t="shared" si="144"/>
        <v>0</v>
      </c>
      <c r="AG324" s="34">
        <f t="shared" si="144"/>
        <v>0</v>
      </c>
      <c r="AH324" s="34">
        <f t="shared" si="144"/>
        <v>0</v>
      </c>
      <c r="AI324" s="34">
        <f t="shared" si="144"/>
        <v>0</v>
      </c>
      <c r="AJ324" s="34">
        <f t="shared" si="144"/>
        <v>0</v>
      </c>
      <c r="AK324" s="34">
        <f t="shared" si="144"/>
        <v>0</v>
      </c>
      <c r="AL324" s="34">
        <f t="shared" si="144"/>
        <v>0</v>
      </c>
      <c r="AM324" s="34">
        <f t="shared" si="144"/>
        <v>0</v>
      </c>
      <c r="AN324" s="34">
        <f t="shared" si="144"/>
        <v>0</v>
      </c>
      <c r="AO324" s="34">
        <f t="shared" si="144"/>
        <v>0</v>
      </c>
      <c r="AP324" s="54"/>
      <c r="AQ324" s="1"/>
    </row>
    <row r="325" ht="15.75" customHeight="1">
      <c r="A325" s="1"/>
      <c r="B325" s="35"/>
      <c r="C325" s="35"/>
      <c r="D325" s="35"/>
      <c r="E325" s="69" t="s">
        <v>24</v>
      </c>
      <c r="F325" s="36" t="s">
        <v>25</v>
      </c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8"/>
      <c r="T325" s="37"/>
      <c r="U325" s="38"/>
      <c r="V325" s="37"/>
      <c r="W325" s="37"/>
      <c r="X325" s="37"/>
      <c r="Y325" s="37"/>
      <c r="Z325" s="37"/>
      <c r="AA325" s="37"/>
      <c r="AB325" s="37"/>
      <c r="AC325" s="37"/>
      <c r="AD325" s="38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9">
        <f t="shared" ref="AP325:AP328" si="145">SUM(H325:AO325)</f>
        <v>0</v>
      </c>
      <c r="AQ325" s="1"/>
    </row>
    <row r="326" ht="15.75" customHeight="1">
      <c r="A326" s="1"/>
      <c r="B326" s="35"/>
      <c r="C326" s="35"/>
      <c r="D326" s="35"/>
      <c r="E326" s="69"/>
      <c r="F326" s="40" t="s">
        <v>26</v>
      </c>
      <c r="G326" s="37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7"/>
      <c r="AP326" s="39">
        <f t="shared" si="145"/>
        <v>0</v>
      </c>
      <c r="AQ326" s="1"/>
    </row>
    <row r="327" ht="15.75" customHeight="1">
      <c r="A327" s="1"/>
      <c r="B327" s="35"/>
      <c r="C327" s="35"/>
      <c r="D327" s="35"/>
      <c r="E327" s="69" t="s">
        <v>27</v>
      </c>
      <c r="F327" s="41" t="s">
        <v>28</v>
      </c>
      <c r="G327" s="37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7"/>
      <c r="AP327" s="39">
        <f t="shared" si="145"/>
        <v>0</v>
      </c>
      <c r="AQ327" s="1"/>
    </row>
    <row r="328" ht="15.75" customHeight="1">
      <c r="A328" s="1"/>
      <c r="B328" s="35"/>
      <c r="C328" s="35"/>
      <c r="D328" s="35"/>
      <c r="E328" s="69"/>
      <c r="F328" s="41" t="s">
        <v>29</v>
      </c>
      <c r="G328" s="37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7"/>
      <c r="AP328" s="39">
        <f t="shared" si="145"/>
        <v>0</v>
      </c>
      <c r="AQ328" s="1"/>
    </row>
    <row r="329" ht="15.75" customHeight="1">
      <c r="A329" s="1"/>
      <c r="B329" s="42"/>
      <c r="C329" s="42"/>
      <c r="D329" s="42"/>
      <c r="E329" s="82"/>
      <c r="F329" s="43" t="s">
        <v>30</v>
      </c>
      <c r="G329" s="44"/>
      <c r="H329" s="34">
        <f t="shared" ref="H329:AN329" si="146">H324+H325-H326+H327-H328</f>
        <v>0</v>
      </c>
      <c r="I329" s="34">
        <f t="shared" si="146"/>
        <v>0</v>
      </c>
      <c r="J329" s="34">
        <f t="shared" si="146"/>
        <v>0</v>
      </c>
      <c r="K329" s="34">
        <f t="shared" si="146"/>
        <v>0</v>
      </c>
      <c r="L329" s="34">
        <f t="shared" si="146"/>
        <v>0</v>
      </c>
      <c r="M329" s="34">
        <f t="shared" si="146"/>
        <v>0</v>
      </c>
      <c r="N329" s="34">
        <f t="shared" si="146"/>
        <v>0</v>
      </c>
      <c r="O329" s="34">
        <f t="shared" si="146"/>
        <v>0</v>
      </c>
      <c r="P329" s="34">
        <f t="shared" si="146"/>
        <v>0</v>
      </c>
      <c r="Q329" s="34">
        <f t="shared" si="146"/>
        <v>0</v>
      </c>
      <c r="R329" s="34">
        <f t="shared" si="146"/>
        <v>0</v>
      </c>
      <c r="S329" s="34">
        <f t="shared" si="146"/>
        <v>0</v>
      </c>
      <c r="T329" s="34">
        <f t="shared" si="146"/>
        <v>0</v>
      </c>
      <c r="U329" s="34">
        <f t="shared" si="146"/>
        <v>0</v>
      </c>
      <c r="V329" s="34">
        <f t="shared" si="146"/>
        <v>0</v>
      </c>
      <c r="W329" s="34">
        <f t="shared" si="146"/>
        <v>0</v>
      </c>
      <c r="X329" s="34">
        <f t="shared" si="146"/>
        <v>0</v>
      </c>
      <c r="Y329" s="34">
        <f t="shared" si="146"/>
        <v>0</v>
      </c>
      <c r="Z329" s="34">
        <f t="shared" si="146"/>
        <v>0</v>
      </c>
      <c r="AA329" s="34">
        <f t="shared" si="146"/>
        <v>0</v>
      </c>
      <c r="AB329" s="34">
        <f t="shared" si="146"/>
        <v>0</v>
      </c>
      <c r="AC329" s="34">
        <f t="shared" si="146"/>
        <v>0</v>
      </c>
      <c r="AD329" s="34">
        <f t="shared" si="146"/>
        <v>0</v>
      </c>
      <c r="AE329" s="34">
        <f t="shared" si="146"/>
        <v>0</v>
      </c>
      <c r="AF329" s="34">
        <f t="shared" si="146"/>
        <v>0</v>
      </c>
      <c r="AG329" s="34">
        <f t="shared" si="146"/>
        <v>0</v>
      </c>
      <c r="AH329" s="34">
        <f t="shared" si="146"/>
        <v>0</v>
      </c>
      <c r="AI329" s="34">
        <f t="shared" si="146"/>
        <v>0</v>
      </c>
      <c r="AJ329" s="34">
        <f t="shared" si="146"/>
        <v>0</v>
      </c>
      <c r="AK329" s="34">
        <f t="shared" si="146"/>
        <v>0</v>
      </c>
      <c r="AL329" s="34">
        <f t="shared" si="146"/>
        <v>0</v>
      </c>
      <c r="AM329" s="34">
        <f t="shared" si="146"/>
        <v>0</v>
      </c>
      <c r="AN329" s="34">
        <f t="shared" si="146"/>
        <v>0</v>
      </c>
      <c r="AO329" s="34"/>
      <c r="AP329" s="45">
        <f>AO324</f>
        <v>0</v>
      </c>
      <c r="AQ329" s="1"/>
    </row>
    <row r="330" ht="15.75" customHeight="1">
      <c r="A330" s="1"/>
      <c r="B330" s="32"/>
      <c r="C330" s="32" t="s">
        <v>134</v>
      </c>
      <c r="D330" s="32" t="s">
        <v>135</v>
      </c>
      <c r="E330" s="17"/>
      <c r="F330" s="14" t="s">
        <v>23</v>
      </c>
      <c r="G330" s="44"/>
      <c r="H330" s="34" t="str">
        <f t="shared" ref="H330:AO330" si="147">G335</f>
        <v/>
      </c>
      <c r="I330" s="34">
        <f t="shared" si="147"/>
        <v>0</v>
      </c>
      <c r="J330" s="34">
        <f t="shared" si="147"/>
        <v>0</v>
      </c>
      <c r="K330" s="34">
        <f t="shared" si="147"/>
        <v>0</v>
      </c>
      <c r="L330" s="34">
        <f t="shared" si="147"/>
        <v>0</v>
      </c>
      <c r="M330" s="34">
        <f t="shared" si="147"/>
        <v>0</v>
      </c>
      <c r="N330" s="34">
        <f t="shared" si="147"/>
        <v>0</v>
      </c>
      <c r="O330" s="34">
        <f t="shared" si="147"/>
        <v>0</v>
      </c>
      <c r="P330" s="34">
        <f t="shared" si="147"/>
        <v>0</v>
      </c>
      <c r="Q330" s="34">
        <f t="shared" si="147"/>
        <v>0</v>
      </c>
      <c r="R330" s="34">
        <f t="shared" si="147"/>
        <v>0</v>
      </c>
      <c r="S330" s="34">
        <f t="shared" si="147"/>
        <v>0</v>
      </c>
      <c r="T330" s="34">
        <f t="shared" si="147"/>
        <v>0</v>
      </c>
      <c r="U330" s="34">
        <f t="shared" si="147"/>
        <v>0</v>
      </c>
      <c r="V330" s="34">
        <f t="shared" si="147"/>
        <v>0</v>
      </c>
      <c r="W330" s="34">
        <f t="shared" si="147"/>
        <v>0</v>
      </c>
      <c r="X330" s="34">
        <f t="shared" si="147"/>
        <v>0</v>
      </c>
      <c r="Y330" s="34">
        <f t="shared" si="147"/>
        <v>0</v>
      </c>
      <c r="Z330" s="34">
        <f t="shared" si="147"/>
        <v>0</v>
      </c>
      <c r="AA330" s="34">
        <f t="shared" si="147"/>
        <v>0</v>
      </c>
      <c r="AB330" s="34">
        <f t="shared" si="147"/>
        <v>0</v>
      </c>
      <c r="AC330" s="34">
        <f t="shared" si="147"/>
        <v>0</v>
      </c>
      <c r="AD330" s="34">
        <f t="shared" si="147"/>
        <v>0</v>
      </c>
      <c r="AE330" s="34">
        <f t="shared" si="147"/>
        <v>0</v>
      </c>
      <c r="AF330" s="34">
        <f t="shared" si="147"/>
        <v>0</v>
      </c>
      <c r="AG330" s="34">
        <f t="shared" si="147"/>
        <v>0</v>
      </c>
      <c r="AH330" s="34">
        <f t="shared" si="147"/>
        <v>0</v>
      </c>
      <c r="AI330" s="34">
        <f t="shared" si="147"/>
        <v>0</v>
      </c>
      <c r="AJ330" s="34">
        <f t="shared" si="147"/>
        <v>0</v>
      </c>
      <c r="AK330" s="34">
        <f t="shared" si="147"/>
        <v>0</v>
      </c>
      <c r="AL330" s="34">
        <f t="shared" si="147"/>
        <v>0</v>
      </c>
      <c r="AM330" s="34">
        <f t="shared" si="147"/>
        <v>0</v>
      </c>
      <c r="AN330" s="34">
        <f t="shared" si="147"/>
        <v>0</v>
      </c>
      <c r="AO330" s="34">
        <f t="shared" si="147"/>
        <v>0</v>
      </c>
      <c r="AP330" s="54"/>
      <c r="AQ330" s="1"/>
    </row>
    <row r="331" ht="15.75" customHeight="1">
      <c r="A331" s="1"/>
      <c r="B331" s="35"/>
      <c r="C331" s="35"/>
      <c r="D331" s="35"/>
      <c r="E331" s="69" t="s">
        <v>24</v>
      </c>
      <c r="F331" s="36" t="s">
        <v>25</v>
      </c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8"/>
      <c r="T331" s="37"/>
      <c r="U331" s="38"/>
      <c r="V331" s="37"/>
      <c r="W331" s="37"/>
      <c r="X331" s="37"/>
      <c r="Y331" s="37"/>
      <c r="Z331" s="37"/>
      <c r="AA331" s="37"/>
      <c r="AB331" s="37"/>
      <c r="AC331" s="37"/>
      <c r="AD331" s="38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9">
        <f t="shared" ref="AP331:AP334" si="148">SUM(H331:AO331)</f>
        <v>0</v>
      </c>
      <c r="AQ331" s="1"/>
    </row>
    <row r="332" ht="15.75" customHeight="1">
      <c r="A332" s="1"/>
      <c r="B332" s="35"/>
      <c r="C332" s="35"/>
      <c r="D332" s="35"/>
      <c r="E332" s="69"/>
      <c r="F332" s="40" t="s">
        <v>26</v>
      </c>
      <c r="G332" s="37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7"/>
      <c r="AP332" s="39">
        <f t="shared" si="148"/>
        <v>0</v>
      </c>
      <c r="AQ332" s="1"/>
    </row>
    <row r="333" ht="15.75" customHeight="1">
      <c r="A333" s="1"/>
      <c r="B333" s="35"/>
      <c r="C333" s="35"/>
      <c r="D333" s="35"/>
      <c r="E333" s="69" t="s">
        <v>27</v>
      </c>
      <c r="F333" s="41" t="s">
        <v>28</v>
      </c>
      <c r="G333" s="37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7"/>
      <c r="AP333" s="39">
        <f t="shared" si="148"/>
        <v>0</v>
      </c>
      <c r="AQ333" s="1"/>
    </row>
    <row r="334" ht="15.75" customHeight="1">
      <c r="A334" s="1"/>
      <c r="B334" s="35"/>
      <c r="C334" s="35"/>
      <c r="D334" s="35"/>
      <c r="E334" s="69"/>
      <c r="F334" s="41" t="s">
        <v>29</v>
      </c>
      <c r="G334" s="37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7"/>
      <c r="AP334" s="39">
        <f t="shared" si="148"/>
        <v>0</v>
      </c>
      <c r="AQ334" s="1"/>
    </row>
    <row r="335" ht="15.75" customHeight="1">
      <c r="A335" s="1"/>
      <c r="B335" s="42"/>
      <c r="C335" s="42"/>
      <c r="D335" s="42"/>
      <c r="E335" s="82"/>
      <c r="F335" s="43" t="s">
        <v>30</v>
      </c>
      <c r="G335" s="44"/>
      <c r="H335" s="34">
        <f t="shared" ref="H335:AN335" si="149">H330+H331-H332+H333-H334</f>
        <v>0</v>
      </c>
      <c r="I335" s="34">
        <f t="shared" si="149"/>
        <v>0</v>
      </c>
      <c r="J335" s="34">
        <f t="shared" si="149"/>
        <v>0</v>
      </c>
      <c r="K335" s="34">
        <f t="shared" si="149"/>
        <v>0</v>
      </c>
      <c r="L335" s="34">
        <f t="shared" si="149"/>
        <v>0</v>
      </c>
      <c r="M335" s="34">
        <f t="shared" si="149"/>
        <v>0</v>
      </c>
      <c r="N335" s="34">
        <f t="shared" si="149"/>
        <v>0</v>
      </c>
      <c r="O335" s="34">
        <f t="shared" si="149"/>
        <v>0</v>
      </c>
      <c r="P335" s="34">
        <f t="shared" si="149"/>
        <v>0</v>
      </c>
      <c r="Q335" s="34">
        <f t="shared" si="149"/>
        <v>0</v>
      </c>
      <c r="R335" s="34">
        <f t="shared" si="149"/>
        <v>0</v>
      </c>
      <c r="S335" s="34">
        <f t="shared" si="149"/>
        <v>0</v>
      </c>
      <c r="T335" s="34">
        <f t="shared" si="149"/>
        <v>0</v>
      </c>
      <c r="U335" s="34">
        <f t="shared" si="149"/>
        <v>0</v>
      </c>
      <c r="V335" s="34">
        <f t="shared" si="149"/>
        <v>0</v>
      </c>
      <c r="W335" s="34">
        <f t="shared" si="149"/>
        <v>0</v>
      </c>
      <c r="X335" s="34">
        <f t="shared" si="149"/>
        <v>0</v>
      </c>
      <c r="Y335" s="34">
        <f t="shared" si="149"/>
        <v>0</v>
      </c>
      <c r="Z335" s="34">
        <f t="shared" si="149"/>
        <v>0</v>
      </c>
      <c r="AA335" s="34">
        <f t="shared" si="149"/>
        <v>0</v>
      </c>
      <c r="AB335" s="34">
        <f t="shared" si="149"/>
        <v>0</v>
      </c>
      <c r="AC335" s="34">
        <f t="shared" si="149"/>
        <v>0</v>
      </c>
      <c r="AD335" s="34">
        <f t="shared" si="149"/>
        <v>0</v>
      </c>
      <c r="AE335" s="34">
        <f t="shared" si="149"/>
        <v>0</v>
      </c>
      <c r="AF335" s="34">
        <f t="shared" si="149"/>
        <v>0</v>
      </c>
      <c r="AG335" s="34">
        <f t="shared" si="149"/>
        <v>0</v>
      </c>
      <c r="AH335" s="34">
        <f t="shared" si="149"/>
        <v>0</v>
      </c>
      <c r="AI335" s="34">
        <f t="shared" si="149"/>
        <v>0</v>
      </c>
      <c r="AJ335" s="34">
        <f t="shared" si="149"/>
        <v>0</v>
      </c>
      <c r="AK335" s="34">
        <f t="shared" si="149"/>
        <v>0</v>
      </c>
      <c r="AL335" s="34">
        <f t="shared" si="149"/>
        <v>0</v>
      </c>
      <c r="AM335" s="34">
        <f t="shared" si="149"/>
        <v>0</v>
      </c>
      <c r="AN335" s="34">
        <f t="shared" si="149"/>
        <v>0</v>
      </c>
      <c r="AO335" s="34"/>
      <c r="AP335" s="45">
        <f>AO330</f>
        <v>0</v>
      </c>
      <c r="AQ335" s="1"/>
    </row>
    <row r="336" ht="15.75" customHeight="1">
      <c r="A336" s="1"/>
      <c r="B336" s="63"/>
      <c r="C336" s="57" t="s">
        <v>136</v>
      </c>
      <c r="D336" s="83" t="s">
        <v>137</v>
      </c>
      <c r="E336" s="64"/>
      <c r="F336" s="14" t="s">
        <v>23</v>
      </c>
      <c r="G336" s="44"/>
      <c r="H336" s="34">
        <v>0.0</v>
      </c>
      <c r="I336" s="34">
        <f t="shared" ref="I336:AO336" si="150">H341</f>
        <v>0</v>
      </c>
      <c r="J336" s="34">
        <f t="shared" si="150"/>
        <v>0</v>
      </c>
      <c r="K336" s="34">
        <f t="shared" si="150"/>
        <v>0</v>
      </c>
      <c r="L336" s="34">
        <f t="shared" si="150"/>
        <v>0</v>
      </c>
      <c r="M336" s="34">
        <f t="shared" si="150"/>
        <v>0</v>
      </c>
      <c r="N336" s="34">
        <f t="shared" si="150"/>
        <v>0</v>
      </c>
      <c r="O336" s="34">
        <f t="shared" si="150"/>
        <v>0</v>
      </c>
      <c r="P336" s="34">
        <f t="shared" si="150"/>
        <v>0</v>
      </c>
      <c r="Q336" s="34">
        <f t="shared" si="150"/>
        <v>0</v>
      </c>
      <c r="R336" s="34">
        <f t="shared" si="150"/>
        <v>0</v>
      </c>
      <c r="S336" s="34">
        <f t="shared" si="150"/>
        <v>0</v>
      </c>
      <c r="T336" s="34">
        <f t="shared" si="150"/>
        <v>0</v>
      </c>
      <c r="U336" s="34">
        <f t="shared" si="150"/>
        <v>0</v>
      </c>
      <c r="V336" s="34">
        <f t="shared" si="150"/>
        <v>0</v>
      </c>
      <c r="W336" s="34">
        <f t="shared" si="150"/>
        <v>0</v>
      </c>
      <c r="X336" s="34">
        <f t="shared" si="150"/>
        <v>0</v>
      </c>
      <c r="Y336" s="34">
        <f t="shared" si="150"/>
        <v>0</v>
      </c>
      <c r="Z336" s="34">
        <f t="shared" si="150"/>
        <v>0</v>
      </c>
      <c r="AA336" s="34">
        <f t="shared" si="150"/>
        <v>0</v>
      </c>
      <c r="AB336" s="34">
        <f t="shared" si="150"/>
        <v>0</v>
      </c>
      <c r="AC336" s="34">
        <f t="shared" si="150"/>
        <v>0</v>
      </c>
      <c r="AD336" s="34">
        <f t="shared" si="150"/>
        <v>0</v>
      </c>
      <c r="AE336" s="34">
        <f t="shared" si="150"/>
        <v>0</v>
      </c>
      <c r="AF336" s="34">
        <f t="shared" si="150"/>
        <v>0</v>
      </c>
      <c r="AG336" s="34">
        <f t="shared" si="150"/>
        <v>0</v>
      </c>
      <c r="AH336" s="34">
        <f t="shared" si="150"/>
        <v>0</v>
      </c>
      <c r="AI336" s="34">
        <f t="shared" si="150"/>
        <v>0</v>
      </c>
      <c r="AJ336" s="34">
        <f t="shared" si="150"/>
        <v>0</v>
      </c>
      <c r="AK336" s="34">
        <f t="shared" si="150"/>
        <v>0</v>
      </c>
      <c r="AL336" s="34">
        <f t="shared" si="150"/>
        <v>0</v>
      </c>
      <c r="AM336" s="34">
        <f t="shared" si="150"/>
        <v>0</v>
      </c>
      <c r="AN336" s="34">
        <f t="shared" si="150"/>
        <v>0</v>
      </c>
      <c r="AO336" s="34">
        <f t="shared" si="150"/>
        <v>0</v>
      </c>
      <c r="AP336" s="54"/>
      <c r="AQ336" s="1"/>
    </row>
    <row r="337" ht="15.75" customHeight="1">
      <c r="A337" s="1"/>
      <c r="B337" s="58"/>
      <c r="C337" s="35"/>
      <c r="D337" s="35"/>
      <c r="E337" s="65" t="s">
        <v>24</v>
      </c>
      <c r="F337" s="36" t="s">
        <v>25</v>
      </c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8"/>
      <c r="T337" s="37"/>
      <c r="U337" s="38"/>
      <c r="V337" s="37"/>
      <c r="W337" s="37"/>
      <c r="X337" s="37"/>
      <c r="Y337" s="37"/>
      <c r="Z337" s="37"/>
      <c r="AA337" s="37"/>
      <c r="AB337" s="37"/>
      <c r="AC337" s="37"/>
      <c r="AD337" s="38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9">
        <f t="shared" ref="AP337:AP340" si="151">SUM(H337:AO337)</f>
        <v>0</v>
      </c>
      <c r="AQ337" s="1"/>
    </row>
    <row r="338" ht="15.75" customHeight="1">
      <c r="A338" s="1"/>
      <c r="B338" s="58"/>
      <c r="C338" s="35"/>
      <c r="D338" s="35"/>
      <c r="E338" s="65"/>
      <c r="F338" s="40" t="s">
        <v>26</v>
      </c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8"/>
      <c r="T338" s="37"/>
      <c r="U338" s="38"/>
      <c r="V338" s="37"/>
      <c r="W338" s="37"/>
      <c r="X338" s="37"/>
      <c r="Y338" s="37"/>
      <c r="Z338" s="37"/>
      <c r="AA338" s="37"/>
      <c r="AB338" s="37"/>
      <c r="AC338" s="37"/>
      <c r="AD338" s="38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9">
        <f t="shared" si="151"/>
        <v>0</v>
      </c>
      <c r="AQ338" s="1"/>
    </row>
    <row r="339" ht="15.75" customHeight="1">
      <c r="A339" s="1"/>
      <c r="B339" s="58"/>
      <c r="C339" s="35"/>
      <c r="D339" s="35"/>
      <c r="E339" s="65" t="s">
        <v>27</v>
      </c>
      <c r="F339" s="41" t="s">
        <v>28</v>
      </c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8"/>
      <c r="T339" s="37"/>
      <c r="U339" s="38"/>
      <c r="V339" s="37"/>
      <c r="W339" s="37"/>
      <c r="X339" s="37"/>
      <c r="Y339" s="37"/>
      <c r="Z339" s="37"/>
      <c r="AA339" s="37"/>
      <c r="AB339" s="37"/>
      <c r="AC339" s="37"/>
      <c r="AD339" s="38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9">
        <f t="shared" si="151"/>
        <v>0</v>
      </c>
      <c r="AQ339" s="1"/>
    </row>
    <row r="340" ht="15.75" customHeight="1">
      <c r="A340" s="1"/>
      <c r="B340" s="58"/>
      <c r="C340" s="35"/>
      <c r="D340" s="35"/>
      <c r="E340" s="65"/>
      <c r="F340" s="41" t="s">
        <v>29</v>
      </c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8"/>
      <c r="T340" s="37"/>
      <c r="U340" s="38"/>
      <c r="V340" s="37"/>
      <c r="W340" s="37"/>
      <c r="X340" s="37"/>
      <c r="Y340" s="37"/>
      <c r="Z340" s="37"/>
      <c r="AA340" s="37"/>
      <c r="AB340" s="37"/>
      <c r="AC340" s="37"/>
      <c r="AD340" s="38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9">
        <f t="shared" si="151"/>
        <v>0</v>
      </c>
      <c r="AQ340" s="1"/>
    </row>
    <row r="341" ht="15.75" customHeight="1">
      <c r="A341" s="1"/>
      <c r="B341" s="61"/>
      <c r="C341" s="42"/>
      <c r="D341" s="42"/>
      <c r="E341" s="67"/>
      <c r="F341" s="43" t="s">
        <v>30</v>
      </c>
      <c r="G341" s="44"/>
      <c r="H341" s="34">
        <f t="shared" ref="H341:AN341" si="152">H336+H337-H338+H339-H340</f>
        <v>0</v>
      </c>
      <c r="I341" s="34">
        <f t="shared" si="152"/>
        <v>0</v>
      </c>
      <c r="J341" s="34">
        <f t="shared" si="152"/>
        <v>0</v>
      </c>
      <c r="K341" s="34">
        <f t="shared" si="152"/>
        <v>0</v>
      </c>
      <c r="L341" s="34">
        <f t="shared" si="152"/>
        <v>0</v>
      </c>
      <c r="M341" s="34">
        <f t="shared" si="152"/>
        <v>0</v>
      </c>
      <c r="N341" s="34">
        <f t="shared" si="152"/>
        <v>0</v>
      </c>
      <c r="O341" s="34">
        <f t="shared" si="152"/>
        <v>0</v>
      </c>
      <c r="P341" s="34">
        <f t="shared" si="152"/>
        <v>0</v>
      </c>
      <c r="Q341" s="34">
        <f t="shared" si="152"/>
        <v>0</v>
      </c>
      <c r="R341" s="34">
        <f t="shared" si="152"/>
        <v>0</v>
      </c>
      <c r="S341" s="34">
        <f t="shared" si="152"/>
        <v>0</v>
      </c>
      <c r="T341" s="34">
        <f t="shared" si="152"/>
        <v>0</v>
      </c>
      <c r="U341" s="34">
        <f t="shared" si="152"/>
        <v>0</v>
      </c>
      <c r="V341" s="34">
        <f t="shared" si="152"/>
        <v>0</v>
      </c>
      <c r="W341" s="34">
        <f t="shared" si="152"/>
        <v>0</v>
      </c>
      <c r="X341" s="34">
        <f t="shared" si="152"/>
        <v>0</v>
      </c>
      <c r="Y341" s="34">
        <f t="shared" si="152"/>
        <v>0</v>
      </c>
      <c r="Z341" s="34">
        <f t="shared" si="152"/>
        <v>0</v>
      </c>
      <c r="AA341" s="34">
        <f t="shared" si="152"/>
        <v>0</v>
      </c>
      <c r="AB341" s="34">
        <f t="shared" si="152"/>
        <v>0</v>
      </c>
      <c r="AC341" s="34">
        <f t="shared" si="152"/>
        <v>0</v>
      </c>
      <c r="AD341" s="34">
        <f t="shared" si="152"/>
        <v>0</v>
      </c>
      <c r="AE341" s="34">
        <f t="shared" si="152"/>
        <v>0</v>
      </c>
      <c r="AF341" s="34">
        <f t="shared" si="152"/>
        <v>0</v>
      </c>
      <c r="AG341" s="34">
        <f t="shared" si="152"/>
        <v>0</v>
      </c>
      <c r="AH341" s="34">
        <f t="shared" si="152"/>
        <v>0</v>
      </c>
      <c r="AI341" s="34">
        <f t="shared" si="152"/>
        <v>0</v>
      </c>
      <c r="AJ341" s="34">
        <f t="shared" si="152"/>
        <v>0</v>
      </c>
      <c r="AK341" s="34">
        <f t="shared" si="152"/>
        <v>0</v>
      </c>
      <c r="AL341" s="34">
        <f t="shared" si="152"/>
        <v>0</v>
      </c>
      <c r="AM341" s="34">
        <f t="shared" si="152"/>
        <v>0</v>
      </c>
      <c r="AN341" s="34">
        <f t="shared" si="152"/>
        <v>0</v>
      </c>
      <c r="AO341" s="34"/>
      <c r="AP341" s="45">
        <f>AO336</f>
        <v>0</v>
      </c>
      <c r="AQ341" s="1"/>
    </row>
    <row r="342" ht="15.75" customHeight="1">
      <c r="A342" s="1"/>
      <c r="B342" s="63"/>
      <c r="C342" s="57" t="s">
        <v>138</v>
      </c>
      <c r="D342" s="83" t="s">
        <v>139</v>
      </c>
      <c r="E342" s="64"/>
      <c r="F342" s="14" t="s">
        <v>23</v>
      </c>
      <c r="G342" s="44"/>
      <c r="H342" s="34">
        <v>0.0</v>
      </c>
      <c r="I342" s="34">
        <f t="shared" ref="I342:AO342" si="153">H347</f>
        <v>0</v>
      </c>
      <c r="J342" s="34">
        <f t="shared" si="153"/>
        <v>0</v>
      </c>
      <c r="K342" s="34">
        <f t="shared" si="153"/>
        <v>0</v>
      </c>
      <c r="L342" s="34">
        <f t="shared" si="153"/>
        <v>0</v>
      </c>
      <c r="M342" s="34">
        <f t="shared" si="153"/>
        <v>0</v>
      </c>
      <c r="N342" s="34">
        <f t="shared" si="153"/>
        <v>0</v>
      </c>
      <c r="O342" s="34">
        <f t="shared" si="153"/>
        <v>0</v>
      </c>
      <c r="P342" s="34">
        <f t="shared" si="153"/>
        <v>0</v>
      </c>
      <c r="Q342" s="34">
        <f t="shared" si="153"/>
        <v>0</v>
      </c>
      <c r="R342" s="34">
        <f t="shared" si="153"/>
        <v>0</v>
      </c>
      <c r="S342" s="34">
        <f t="shared" si="153"/>
        <v>0</v>
      </c>
      <c r="T342" s="34">
        <f t="shared" si="153"/>
        <v>0</v>
      </c>
      <c r="U342" s="34">
        <f t="shared" si="153"/>
        <v>0</v>
      </c>
      <c r="V342" s="34">
        <f t="shared" si="153"/>
        <v>0</v>
      </c>
      <c r="W342" s="34">
        <f t="shared" si="153"/>
        <v>0</v>
      </c>
      <c r="X342" s="34">
        <f t="shared" si="153"/>
        <v>0</v>
      </c>
      <c r="Y342" s="34">
        <f t="shared" si="153"/>
        <v>0</v>
      </c>
      <c r="Z342" s="34">
        <f t="shared" si="153"/>
        <v>0</v>
      </c>
      <c r="AA342" s="34">
        <f t="shared" si="153"/>
        <v>0</v>
      </c>
      <c r="AB342" s="34">
        <f t="shared" si="153"/>
        <v>0</v>
      </c>
      <c r="AC342" s="34">
        <f t="shared" si="153"/>
        <v>0</v>
      </c>
      <c r="AD342" s="34">
        <f t="shared" si="153"/>
        <v>0</v>
      </c>
      <c r="AE342" s="34">
        <f t="shared" si="153"/>
        <v>0</v>
      </c>
      <c r="AF342" s="34">
        <f t="shared" si="153"/>
        <v>0</v>
      </c>
      <c r="AG342" s="34">
        <f t="shared" si="153"/>
        <v>0</v>
      </c>
      <c r="AH342" s="34">
        <f t="shared" si="153"/>
        <v>0</v>
      </c>
      <c r="AI342" s="34">
        <f t="shared" si="153"/>
        <v>0</v>
      </c>
      <c r="AJ342" s="34">
        <f t="shared" si="153"/>
        <v>0</v>
      </c>
      <c r="AK342" s="34">
        <f t="shared" si="153"/>
        <v>0</v>
      </c>
      <c r="AL342" s="34">
        <f t="shared" si="153"/>
        <v>0</v>
      </c>
      <c r="AM342" s="34">
        <f t="shared" si="153"/>
        <v>0</v>
      </c>
      <c r="AN342" s="34">
        <f t="shared" si="153"/>
        <v>0</v>
      </c>
      <c r="AO342" s="34">
        <f t="shared" si="153"/>
        <v>0</v>
      </c>
      <c r="AP342" s="54"/>
      <c r="AQ342" s="1"/>
    </row>
    <row r="343" ht="15.75" customHeight="1">
      <c r="A343" s="1"/>
      <c r="B343" s="58"/>
      <c r="C343" s="35"/>
      <c r="D343" s="35"/>
      <c r="E343" s="65" t="s">
        <v>24</v>
      </c>
      <c r="F343" s="36" t="s">
        <v>25</v>
      </c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8"/>
      <c r="T343" s="37"/>
      <c r="U343" s="38"/>
      <c r="V343" s="37"/>
      <c r="W343" s="37"/>
      <c r="X343" s="37"/>
      <c r="Y343" s="37"/>
      <c r="Z343" s="37"/>
      <c r="AA343" s="37"/>
      <c r="AB343" s="37"/>
      <c r="AC343" s="37"/>
      <c r="AD343" s="38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9">
        <f t="shared" ref="AP343:AP346" si="154">SUM(H343:AO343)</f>
        <v>0</v>
      </c>
      <c r="AQ343" s="1"/>
    </row>
    <row r="344" ht="15.75" customHeight="1">
      <c r="A344" s="1"/>
      <c r="B344" s="58"/>
      <c r="C344" s="35"/>
      <c r="D344" s="35"/>
      <c r="E344" s="65"/>
      <c r="F344" s="40" t="s">
        <v>26</v>
      </c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8"/>
      <c r="T344" s="37"/>
      <c r="U344" s="38"/>
      <c r="V344" s="37"/>
      <c r="W344" s="37"/>
      <c r="X344" s="37"/>
      <c r="Y344" s="37"/>
      <c r="Z344" s="37"/>
      <c r="AA344" s="37"/>
      <c r="AB344" s="37"/>
      <c r="AC344" s="37"/>
      <c r="AD344" s="38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9">
        <f t="shared" si="154"/>
        <v>0</v>
      </c>
      <c r="AQ344" s="1"/>
    </row>
    <row r="345" ht="15.75" customHeight="1">
      <c r="A345" s="1"/>
      <c r="B345" s="58"/>
      <c r="C345" s="35"/>
      <c r="D345" s="35"/>
      <c r="E345" s="65" t="s">
        <v>27</v>
      </c>
      <c r="F345" s="41" t="s">
        <v>28</v>
      </c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8"/>
      <c r="T345" s="37"/>
      <c r="U345" s="38"/>
      <c r="V345" s="37"/>
      <c r="W345" s="37"/>
      <c r="X345" s="37"/>
      <c r="Y345" s="37"/>
      <c r="Z345" s="37"/>
      <c r="AA345" s="37"/>
      <c r="AB345" s="37"/>
      <c r="AC345" s="37"/>
      <c r="AD345" s="38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9">
        <f t="shared" si="154"/>
        <v>0</v>
      </c>
      <c r="AQ345" s="1"/>
    </row>
    <row r="346" ht="15.75" customHeight="1">
      <c r="A346" s="1"/>
      <c r="B346" s="58"/>
      <c r="C346" s="35"/>
      <c r="D346" s="35"/>
      <c r="E346" s="65"/>
      <c r="F346" s="41" t="s">
        <v>29</v>
      </c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8"/>
      <c r="T346" s="37"/>
      <c r="U346" s="38"/>
      <c r="V346" s="37"/>
      <c r="W346" s="37"/>
      <c r="X346" s="37"/>
      <c r="Y346" s="37"/>
      <c r="Z346" s="37"/>
      <c r="AA346" s="37"/>
      <c r="AB346" s="37"/>
      <c r="AC346" s="37"/>
      <c r="AD346" s="38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9">
        <f t="shared" si="154"/>
        <v>0</v>
      </c>
      <c r="AQ346" s="1"/>
    </row>
    <row r="347" ht="15.75" customHeight="1">
      <c r="A347" s="1"/>
      <c r="B347" s="61"/>
      <c r="C347" s="42"/>
      <c r="D347" s="42"/>
      <c r="E347" s="67"/>
      <c r="F347" s="43" t="s">
        <v>30</v>
      </c>
      <c r="G347" s="44"/>
      <c r="H347" s="34">
        <f t="shared" ref="H347:AN347" si="155">H342+H343-H344+H345-H346</f>
        <v>0</v>
      </c>
      <c r="I347" s="34">
        <f t="shared" si="155"/>
        <v>0</v>
      </c>
      <c r="J347" s="34">
        <f t="shared" si="155"/>
        <v>0</v>
      </c>
      <c r="K347" s="34">
        <f t="shared" si="155"/>
        <v>0</v>
      </c>
      <c r="L347" s="34">
        <f t="shared" si="155"/>
        <v>0</v>
      </c>
      <c r="M347" s="34">
        <f t="shared" si="155"/>
        <v>0</v>
      </c>
      <c r="N347" s="34">
        <f t="shared" si="155"/>
        <v>0</v>
      </c>
      <c r="O347" s="34">
        <f t="shared" si="155"/>
        <v>0</v>
      </c>
      <c r="P347" s="34">
        <f t="shared" si="155"/>
        <v>0</v>
      </c>
      <c r="Q347" s="34">
        <f t="shared" si="155"/>
        <v>0</v>
      </c>
      <c r="R347" s="34">
        <f t="shared" si="155"/>
        <v>0</v>
      </c>
      <c r="S347" s="34">
        <f t="shared" si="155"/>
        <v>0</v>
      </c>
      <c r="T347" s="34">
        <f t="shared" si="155"/>
        <v>0</v>
      </c>
      <c r="U347" s="34">
        <f t="shared" si="155"/>
        <v>0</v>
      </c>
      <c r="V347" s="34">
        <f t="shared" si="155"/>
        <v>0</v>
      </c>
      <c r="W347" s="34">
        <f t="shared" si="155"/>
        <v>0</v>
      </c>
      <c r="X347" s="34">
        <f t="shared" si="155"/>
        <v>0</v>
      </c>
      <c r="Y347" s="34">
        <f t="shared" si="155"/>
        <v>0</v>
      </c>
      <c r="Z347" s="34">
        <f t="shared" si="155"/>
        <v>0</v>
      </c>
      <c r="AA347" s="34">
        <f t="shared" si="155"/>
        <v>0</v>
      </c>
      <c r="AB347" s="34">
        <f t="shared" si="155"/>
        <v>0</v>
      </c>
      <c r="AC347" s="34">
        <f t="shared" si="155"/>
        <v>0</v>
      </c>
      <c r="AD347" s="34">
        <f t="shared" si="155"/>
        <v>0</v>
      </c>
      <c r="AE347" s="34">
        <f t="shared" si="155"/>
        <v>0</v>
      </c>
      <c r="AF347" s="34">
        <f t="shared" si="155"/>
        <v>0</v>
      </c>
      <c r="AG347" s="34">
        <f t="shared" si="155"/>
        <v>0</v>
      </c>
      <c r="AH347" s="34">
        <f t="shared" si="155"/>
        <v>0</v>
      </c>
      <c r="AI347" s="34">
        <f t="shared" si="155"/>
        <v>0</v>
      </c>
      <c r="AJ347" s="34">
        <f t="shared" si="155"/>
        <v>0</v>
      </c>
      <c r="AK347" s="34">
        <f t="shared" si="155"/>
        <v>0</v>
      </c>
      <c r="AL347" s="34">
        <f t="shared" si="155"/>
        <v>0</v>
      </c>
      <c r="AM347" s="34">
        <f t="shared" si="155"/>
        <v>0</v>
      </c>
      <c r="AN347" s="34">
        <f t="shared" si="155"/>
        <v>0</v>
      </c>
      <c r="AO347" s="34"/>
      <c r="AP347" s="45">
        <f>AO342</f>
        <v>0</v>
      </c>
      <c r="AQ347" s="1"/>
    </row>
    <row r="348" ht="15.0" customHeight="1">
      <c r="A348" s="1"/>
      <c r="B348" s="56"/>
      <c r="C348" s="32" t="s">
        <v>140</v>
      </c>
      <c r="D348" s="57" t="s">
        <v>133</v>
      </c>
      <c r="E348" s="13"/>
      <c r="F348" s="41" t="s">
        <v>23</v>
      </c>
      <c r="G348" s="44"/>
      <c r="H348" s="34">
        <v>146.0</v>
      </c>
      <c r="I348" s="34">
        <f t="shared" ref="I348:AO348" si="156">H359</f>
        <v>146</v>
      </c>
      <c r="J348" s="34">
        <f t="shared" si="156"/>
        <v>173</v>
      </c>
      <c r="K348" s="34">
        <f t="shared" si="156"/>
        <v>173</v>
      </c>
      <c r="L348" s="34">
        <f t="shared" si="156"/>
        <v>110</v>
      </c>
      <c r="M348" s="34">
        <f t="shared" si="156"/>
        <v>89</v>
      </c>
      <c r="N348" s="34">
        <f t="shared" si="156"/>
        <v>44</v>
      </c>
      <c r="O348" s="34">
        <f t="shared" si="156"/>
        <v>44</v>
      </c>
      <c r="P348" s="34">
        <f t="shared" si="156"/>
        <v>44</v>
      </c>
      <c r="Q348" s="34">
        <f t="shared" si="156"/>
        <v>44</v>
      </c>
      <c r="R348" s="34">
        <f t="shared" si="156"/>
        <v>55</v>
      </c>
      <c r="S348" s="34">
        <f t="shared" si="156"/>
        <v>55</v>
      </c>
      <c r="T348" s="34">
        <f t="shared" si="156"/>
        <v>84</v>
      </c>
      <c r="U348" s="34">
        <f t="shared" si="156"/>
        <v>1</v>
      </c>
      <c r="V348" s="34">
        <f t="shared" si="156"/>
        <v>1</v>
      </c>
      <c r="W348" s="34">
        <f t="shared" si="156"/>
        <v>148</v>
      </c>
      <c r="X348" s="34">
        <f t="shared" si="156"/>
        <v>148</v>
      </c>
      <c r="Y348" s="34">
        <f t="shared" si="156"/>
        <v>98</v>
      </c>
      <c r="Z348" s="34">
        <f t="shared" si="156"/>
        <v>38</v>
      </c>
      <c r="AA348" s="34">
        <f t="shared" si="156"/>
        <v>38</v>
      </c>
      <c r="AB348" s="34">
        <f t="shared" si="156"/>
        <v>38</v>
      </c>
      <c r="AC348" s="34">
        <f t="shared" si="156"/>
        <v>38</v>
      </c>
      <c r="AD348" s="34">
        <f t="shared" si="156"/>
        <v>38</v>
      </c>
      <c r="AE348" s="34">
        <f t="shared" si="156"/>
        <v>38</v>
      </c>
      <c r="AF348" s="34">
        <f t="shared" si="156"/>
        <v>38</v>
      </c>
      <c r="AG348" s="34">
        <f t="shared" si="156"/>
        <v>38</v>
      </c>
      <c r="AH348" s="34">
        <f t="shared" si="156"/>
        <v>38</v>
      </c>
      <c r="AI348" s="34">
        <f t="shared" si="156"/>
        <v>38</v>
      </c>
      <c r="AJ348" s="34">
        <f t="shared" si="156"/>
        <v>38</v>
      </c>
      <c r="AK348" s="34">
        <f t="shared" si="156"/>
        <v>38</v>
      </c>
      <c r="AL348" s="34">
        <f t="shared" si="156"/>
        <v>38</v>
      </c>
      <c r="AM348" s="34">
        <f t="shared" si="156"/>
        <v>38</v>
      </c>
      <c r="AN348" s="34">
        <f t="shared" si="156"/>
        <v>38</v>
      </c>
      <c r="AO348" s="34">
        <f t="shared" si="156"/>
        <v>38</v>
      </c>
      <c r="AP348" s="54"/>
      <c r="AQ348" s="1"/>
    </row>
    <row r="349" ht="15.0" customHeight="1">
      <c r="A349" s="1"/>
      <c r="B349" s="58"/>
      <c r="C349" s="35"/>
      <c r="D349" s="35"/>
      <c r="E349" s="33" t="s">
        <v>24</v>
      </c>
      <c r="F349" s="59" t="s">
        <v>25</v>
      </c>
      <c r="G349" s="37"/>
      <c r="H349" s="37"/>
      <c r="I349" s="37"/>
      <c r="J349" s="37"/>
      <c r="K349" s="37"/>
      <c r="L349" s="37"/>
      <c r="M349" s="37">
        <v>40.0</v>
      </c>
      <c r="N349" s="37"/>
      <c r="O349" s="37"/>
      <c r="P349" s="37"/>
      <c r="Q349" s="37">
        <v>50.0</v>
      </c>
      <c r="R349" s="37"/>
      <c r="S349" s="38">
        <v>79.0</v>
      </c>
      <c r="T349" s="37"/>
      <c r="U349" s="38"/>
      <c r="V349" s="37">
        <v>62.0</v>
      </c>
      <c r="W349" s="37"/>
      <c r="X349" s="37"/>
      <c r="Y349" s="37"/>
      <c r="Z349" s="37"/>
      <c r="AA349" s="37"/>
      <c r="AB349" s="37"/>
      <c r="AC349" s="37"/>
      <c r="AD349" s="38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9">
        <f>SUM(H349:AO349)</f>
        <v>231</v>
      </c>
      <c r="AQ349" s="1"/>
    </row>
    <row r="350" ht="15.0" customHeight="1">
      <c r="A350" s="1"/>
      <c r="B350" s="58"/>
      <c r="C350" s="35"/>
      <c r="D350" s="35"/>
      <c r="E350" s="33" t="s">
        <v>141</v>
      </c>
      <c r="F350" s="59" t="s">
        <v>25</v>
      </c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8"/>
      <c r="T350" s="37"/>
      <c r="U350" s="38"/>
      <c r="V350" s="37"/>
      <c r="W350" s="37"/>
      <c r="X350" s="37"/>
      <c r="Y350" s="37"/>
      <c r="Z350" s="37"/>
      <c r="AA350" s="37"/>
      <c r="AB350" s="37"/>
      <c r="AC350" s="37"/>
      <c r="AD350" s="38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9"/>
      <c r="AQ350" s="1"/>
    </row>
    <row r="351" ht="15.0" customHeight="1">
      <c r="A351" s="1"/>
      <c r="B351" s="58"/>
      <c r="C351" s="35"/>
      <c r="D351" s="35"/>
      <c r="E351" s="33" t="s">
        <v>38</v>
      </c>
      <c r="F351" s="59" t="s">
        <v>67</v>
      </c>
      <c r="G351" s="37"/>
      <c r="H351" s="37"/>
      <c r="I351" s="37">
        <v>67.0</v>
      </c>
      <c r="J351" s="37"/>
      <c r="K351" s="37"/>
      <c r="L351" s="37"/>
      <c r="M351" s="37"/>
      <c r="N351" s="37"/>
      <c r="O351" s="37"/>
      <c r="P351" s="37"/>
      <c r="Q351" s="37"/>
      <c r="R351" s="37"/>
      <c r="S351" s="38"/>
      <c r="T351" s="37"/>
      <c r="U351" s="38"/>
      <c r="V351" s="37">
        <v>50.0</v>
      </c>
      <c r="W351" s="37"/>
      <c r="X351" s="37"/>
      <c r="Y351" s="37"/>
      <c r="Z351" s="37"/>
      <c r="AA351" s="37"/>
      <c r="AB351" s="37"/>
      <c r="AC351" s="37"/>
      <c r="AD351" s="38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9">
        <f t="shared" ref="AP351:AP354" si="157">SUM(H351:AO351)</f>
        <v>117</v>
      </c>
      <c r="AQ351" s="1"/>
    </row>
    <row r="352" ht="15.0" customHeight="1">
      <c r="A352" s="1"/>
      <c r="B352" s="58"/>
      <c r="C352" s="35"/>
      <c r="D352" s="35"/>
      <c r="E352" s="33" t="s">
        <v>142</v>
      </c>
      <c r="F352" s="59" t="s">
        <v>67</v>
      </c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8"/>
      <c r="T352" s="38"/>
      <c r="U352" s="38"/>
      <c r="V352" s="37"/>
      <c r="W352" s="37"/>
      <c r="X352" s="37"/>
      <c r="Y352" s="37"/>
      <c r="Z352" s="37"/>
      <c r="AA352" s="37"/>
      <c r="AB352" s="37"/>
      <c r="AC352" s="37"/>
      <c r="AD352" s="38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9">
        <f t="shared" si="157"/>
        <v>0</v>
      </c>
      <c r="AQ352" s="1"/>
    </row>
    <row r="353" ht="15.0" customHeight="1">
      <c r="A353" s="1"/>
      <c r="B353" s="58"/>
      <c r="C353" s="35"/>
      <c r="D353" s="35"/>
      <c r="E353" s="33" t="s">
        <v>143</v>
      </c>
      <c r="F353" s="59" t="s">
        <v>67</v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8"/>
      <c r="T353" s="37"/>
      <c r="U353" s="38"/>
      <c r="V353" s="37"/>
      <c r="W353" s="37"/>
      <c r="X353" s="37"/>
      <c r="Y353" s="37"/>
      <c r="Z353" s="37"/>
      <c r="AA353" s="37"/>
      <c r="AB353" s="37"/>
      <c r="AC353" s="37"/>
      <c r="AD353" s="38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9">
        <f t="shared" si="157"/>
        <v>0</v>
      </c>
      <c r="AQ353" s="1"/>
    </row>
    <row r="354" ht="15.0" customHeight="1">
      <c r="A354" s="1"/>
      <c r="B354" s="58"/>
      <c r="C354" s="35"/>
      <c r="D354" s="35"/>
      <c r="E354" s="33" t="s">
        <v>144</v>
      </c>
      <c r="F354" s="59" t="s">
        <v>67</v>
      </c>
      <c r="G354" s="37"/>
      <c r="H354" s="37"/>
      <c r="I354" s="37">
        <v>30.0</v>
      </c>
      <c r="J354" s="37"/>
      <c r="K354" s="37"/>
      <c r="L354" s="37"/>
      <c r="M354" s="37"/>
      <c r="N354" s="37"/>
      <c r="O354" s="37"/>
      <c r="P354" s="37"/>
      <c r="Q354" s="37"/>
      <c r="R354" s="37"/>
      <c r="S354" s="38"/>
      <c r="T354" s="37"/>
      <c r="U354" s="38"/>
      <c r="V354" s="37">
        <v>135.0</v>
      </c>
      <c r="W354" s="37"/>
      <c r="X354" s="37"/>
      <c r="Y354" s="37"/>
      <c r="Z354" s="37"/>
      <c r="AA354" s="37"/>
      <c r="AB354" s="37"/>
      <c r="AC354" s="37"/>
      <c r="AD354" s="38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9">
        <f t="shared" si="157"/>
        <v>165</v>
      </c>
      <c r="AQ354" s="1"/>
    </row>
    <row r="355" ht="15.0" customHeight="1">
      <c r="A355" s="1"/>
      <c r="B355" s="58"/>
      <c r="C355" s="35"/>
      <c r="D355" s="35"/>
      <c r="E355" s="33" t="s">
        <v>145</v>
      </c>
      <c r="F355" s="59" t="s">
        <v>67</v>
      </c>
      <c r="G355" s="37"/>
      <c r="H355" s="37"/>
      <c r="I355" s="37"/>
      <c r="J355" s="37"/>
      <c r="K355" s="37"/>
      <c r="L355" s="37">
        <v>49.0</v>
      </c>
      <c r="M355" s="37"/>
      <c r="N355" s="37"/>
      <c r="O355" s="37"/>
      <c r="P355" s="37"/>
      <c r="Q355" s="37"/>
      <c r="R355" s="37"/>
      <c r="S355" s="38"/>
      <c r="T355" s="37"/>
      <c r="U355" s="38"/>
      <c r="V355" s="37"/>
      <c r="W355" s="37"/>
      <c r="X355" s="37"/>
      <c r="Y355" s="37"/>
      <c r="Z355" s="37"/>
      <c r="AA355" s="37"/>
      <c r="AB355" s="37"/>
      <c r="AC355" s="37"/>
      <c r="AD355" s="38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9"/>
      <c r="AQ355" s="1"/>
    </row>
    <row r="356" ht="15.0" customHeight="1">
      <c r="A356" s="51"/>
      <c r="B356" s="58"/>
      <c r="C356" s="35"/>
      <c r="D356" s="35"/>
      <c r="E356" s="47"/>
      <c r="F356" s="60" t="s">
        <v>26</v>
      </c>
      <c r="G356" s="49"/>
      <c r="H356" s="49"/>
      <c r="I356" s="49">
        <v>70.0</v>
      </c>
      <c r="J356" s="49"/>
      <c r="K356" s="49">
        <v>63.0</v>
      </c>
      <c r="L356" s="49">
        <v>70.0</v>
      </c>
      <c r="M356" s="49">
        <v>85.0</v>
      </c>
      <c r="N356" s="49"/>
      <c r="O356" s="49"/>
      <c r="P356" s="49"/>
      <c r="Q356" s="49">
        <v>39.0</v>
      </c>
      <c r="R356" s="49"/>
      <c r="S356" s="48">
        <v>50.0</v>
      </c>
      <c r="T356" s="49">
        <v>83.0</v>
      </c>
      <c r="U356" s="48"/>
      <c r="V356" s="49">
        <v>100.0</v>
      </c>
      <c r="W356" s="49"/>
      <c r="X356" s="49">
        <v>50.0</v>
      </c>
      <c r="Y356" s="49">
        <v>60.0</v>
      </c>
      <c r="Z356" s="49"/>
      <c r="AA356" s="49"/>
      <c r="AB356" s="49"/>
      <c r="AC356" s="49"/>
      <c r="AD356" s="48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50">
        <f t="shared" ref="AP356:AP358" si="158">SUM(H356:AO356)</f>
        <v>670</v>
      </c>
      <c r="AQ356" s="51"/>
    </row>
    <row r="357" ht="15.0" customHeight="1">
      <c r="A357" s="1"/>
      <c r="B357" s="58"/>
      <c r="C357" s="35"/>
      <c r="D357" s="35"/>
      <c r="E357" s="33" t="s">
        <v>27</v>
      </c>
      <c r="F357" s="41" t="s">
        <v>28</v>
      </c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8"/>
      <c r="T357" s="37"/>
      <c r="U357" s="38"/>
      <c r="V357" s="37"/>
      <c r="W357" s="37"/>
      <c r="X357" s="37"/>
      <c r="Y357" s="37"/>
      <c r="Z357" s="37"/>
      <c r="AA357" s="37"/>
      <c r="AB357" s="37"/>
      <c r="AC357" s="37"/>
      <c r="AD357" s="38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9">
        <f t="shared" si="158"/>
        <v>0</v>
      </c>
      <c r="AQ357" s="1"/>
    </row>
    <row r="358" ht="15.0" customHeight="1">
      <c r="A358" s="1"/>
      <c r="B358" s="58"/>
      <c r="C358" s="35"/>
      <c r="D358" s="35"/>
      <c r="E358" s="33"/>
      <c r="F358" s="41" t="s">
        <v>29</v>
      </c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8"/>
      <c r="T358" s="37"/>
      <c r="U358" s="38"/>
      <c r="V358" s="37"/>
      <c r="W358" s="37"/>
      <c r="X358" s="37"/>
      <c r="Y358" s="37"/>
      <c r="Z358" s="37"/>
      <c r="AA358" s="37"/>
      <c r="AB358" s="37"/>
      <c r="AC358" s="37"/>
      <c r="AD358" s="38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9">
        <f t="shared" si="158"/>
        <v>0</v>
      </c>
      <c r="AQ358" s="1"/>
    </row>
    <row r="359" ht="15.0" customHeight="1">
      <c r="A359" s="1"/>
      <c r="B359" s="61"/>
      <c r="C359" s="42"/>
      <c r="D359" s="42"/>
      <c r="E359" s="52"/>
      <c r="F359" s="62" t="s">
        <v>30</v>
      </c>
      <c r="G359" s="44"/>
      <c r="H359" s="34">
        <f t="shared" ref="H359:AN359" si="159">H348+H349+H350+H351+H352+H353+H354+H355-H356+H357-H358</f>
        <v>146</v>
      </c>
      <c r="I359" s="34">
        <f t="shared" si="159"/>
        <v>173</v>
      </c>
      <c r="J359" s="34">
        <f t="shared" si="159"/>
        <v>173</v>
      </c>
      <c r="K359" s="34">
        <f t="shared" si="159"/>
        <v>110</v>
      </c>
      <c r="L359" s="34">
        <f t="shared" si="159"/>
        <v>89</v>
      </c>
      <c r="M359" s="34">
        <f t="shared" si="159"/>
        <v>44</v>
      </c>
      <c r="N359" s="34">
        <f t="shared" si="159"/>
        <v>44</v>
      </c>
      <c r="O359" s="34">
        <f t="shared" si="159"/>
        <v>44</v>
      </c>
      <c r="P359" s="34">
        <f t="shared" si="159"/>
        <v>44</v>
      </c>
      <c r="Q359" s="34">
        <f t="shared" si="159"/>
        <v>55</v>
      </c>
      <c r="R359" s="34">
        <f t="shared" si="159"/>
        <v>55</v>
      </c>
      <c r="S359" s="34">
        <f t="shared" si="159"/>
        <v>84</v>
      </c>
      <c r="T359" s="34">
        <f t="shared" si="159"/>
        <v>1</v>
      </c>
      <c r="U359" s="34">
        <f t="shared" si="159"/>
        <v>1</v>
      </c>
      <c r="V359" s="34">
        <f t="shared" si="159"/>
        <v>148</v>
      </c>
      <c r="W359" s="34">
        <f t="shared" si="159"/>
        <v>148</v>
      </c>
      <c r="X359" s="34">
        <f t="shared" si="159"/>
        <v>98</v>
      </c>
      <c r="Y359" s="34">
        <f t="shared" si="159"/>
        <v>38</v>
      </c>
      <c r="Z359" s="34">
        <f t="shared" si="159"/>
        <v>38</v>
      </c>
      <c r="AA359" s="34">
        <f t="shared" si="159"/>
        <v>38</v>
      </c>
      <c r="AB359" s="34">
        <f t="shared" si="159"/>
        <v>38</v>
      </c>
      <c r="AC359" s="34">
        <f t="shared" si="159"/>
        <v>38</v>
      </c>
      <c r="AD359" s="34">
        <f t="shared" si="159"/>
        <v>38</v>
      </c>
      <c r="AE359" s="34">
        <f t="shared" si="159"/>
        <v>38</v>
      </c>
      <c r="AF359" s="34">
        <f t="shared" si="159"/>
        <v>38</v>
      </c>
      <c r="AG359" s="34">
        <f t="shared" si="159"/>
        <v>38</v>
      </c>
      <c r="AH359" s="34">
        <f t="shared" si="159"/>
        <v>38</v>
      </c>
      <c r="AI359" s="34">
        <f t="shared" si="159"/>
        <v>38</v>
      </c>
      <c r="AJ359" s="34">
        <f t="shared" si="159"/>
        <v>38</v>
      </c>
      <c r="AK359" s="34">
        <f t="shared" si="159"/>
        <v>38</v>
      </c>
      <c r="AL359" s="34">
        <f t="shared" si="159"/>
        <v>38</v>
      </c>
      <c r="AM359" s="34">
        <f t="shared" si="159"/>
        <v>38</v>
      </c>
      <c r="AN359" s="34">
        <f t="shared" si="159"/>
        <v>38</v>
      </c>
      <c r="AO359" s="34"/>
      <c r="AP359" s="45">
        <f>AO348</f>
        <v>38</v>
      </c>
      <c r="AQ359" s="1"/>
    </row>
    <row r="360" ht="15.0" customHeight="1">
      <c r="A360" s="1"/>
      <c r="B360" s="32"/>
      <c r="C360" s="12" t="s">
        <v>146</v>
      </c>
      <c r="D360" s="32" t="s">
        <v>147</v>
      </c>
      <c r="E360" s="13"/>
      <c r="F360" s="14" t="s">
        <v>23</v>
      </c>
      <c r="G360" s="44"/>
      <c r="H360" s="34">
        <v>0.0</v>
      </c>
      <c r="I360" s="34">
        <f t="shared" ref="I360:AO360" si="160">H366</f>
        <v>0</v>
      </c>
      <c r="J360" s="34">
        <f t="shared" si="160"/>
        <v>0</v>
      </c>
      <c r="K360" s="34">
        <f t="shared" si="160"/>
        <v>0</v>
      </c>
      <c r="L360" s="34">
        <f t="shared" si="160"/>
        <v>0</v>
      </c>
      <c r="M360" s="34">
        <f t="shared" si="160"/>
        <v>0</v>
      </c>
      <c r="N360" s="34">
        <f t="shared" si="160"/>
        <v>0</v>
      </c>
      <c r="O360" s="34">
        <f t="shared" si="160"/>
        <v>0</v>
      </c>
      <c r="P360" s="34">
        <f t="shared" si="160"/>
        <v>0</v>
      </c>
      <c r="Q360" s="34">
        <f t="shared" si="160"/>
        <v>0</v>
      </c>
      <c r="R360" s="34">
        <f t="shared" si="160"/>
        <v>0</v>
      </c>
      <c r="S360" s="34">
        <f t="shared" si="160"/>
        <v>0</v>
      </c>
      <c r="T360" s="34">
        <f t="shared" si="160"/>
        <v>0</v>
      </c>
      <c r="U360" s="34">
        <f t="shared" si="160"/>
        <v>0</v>
      </c>
      <c r="V360" s="34">
        <f t="shared" si="160"/>
        <v>0</v>
      </c>
      <c r="W360" s="34">
        <f t="shared" si="160"/>
        <v>0</v>
      </c>
      <c r="X360" s="34">
        <f t="shared" si="160"/>
        <v>0</v>
      </c>
      <c r="Y360" s="34">
        <f t="shared" si="160"/>
        <v>0</v>
      </c>
      <c r="Z360" s="34">
        <f t="shared" si="160"/>
        <v>0</v>
      </c>
      <c r="AA360" s="34">
        <f t="shared" si="160"/>
        <v>0</v>
      </c>
      <c r="AB360" s="34">
        <f t="shared" si="160"/>
        <v>0</v>
      </c>
      <c r="AC360" s="34">
        <f t="shared" si="160"/>
        <v>0</v>
      </c>
      <c r="AD360" s="34">
        <f t="shared" si="160"/>
        <v>0</v>
      </c>
      <c r="AE360" s="34">
        <f t="shared" si="160"/>
        <v>0</v>
      </c>
      <c r="AF360" s="34">
        <f t="shared" si="160"/>
        <v>0</v>
      </c>
      <c r="AG360" s="34">
        <f t="shared" si="160"/>
        <v>0</v>
      </c>
      <c r="AH360" s="34">
        <f t="shared" si="160"/>
        <v>0</v>
      </c>
      <c r="AI360" s="34">
        <f t="shared" si="160"/>
        <v>0</v>
      </c>
      <c r="AJ360" s="34">
        <f t="shared" si="160"/>
        <v>0</v>
      </c>
      <c r="AK360" s="34">
        <f t="shared" si="160"/>
        <v>0</v>
      </c>
      <c r="AL360" s="34">
        <f t="shared" si="160"/>
        <v>0</v>
      </c>
      <c r="AM360" s="34">
        <f t="shared" si="160"/>
        <v>0</v>
      </c>
      <c r="AN360" s="34">
        <f t="shared" si="160"/>
        <v>0</v>
      </c>
      <c r="AO360" s="34">
        <f t="shared" si="160"/>
        <v>0</v>
      </c>
      <c r="AP360" s="54"/>
      <c r="AQ360" s="1"/>
    </row>
    <row r="361" ht="15.0" customHeight="1">
      <c r="A361" s="1"/>
      <c r="B361" s="35"/>
      <c r="C361" s="84"/>
      <c r="D361" s="35"/>
      <c r="E361" s="33" t="s">
        <v>24</v>
      </c>
      <c r="F361" s="36" t="s">
        <v>25</v>
      </c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8"/>
      <c r="T361" s="37"/>
      <c r="U361" s="38"/>
      <c r="V361" s="37"/>
      <c r="W361" s="37"/>
      <c r="X361" s="37"/>
      <c r="Y361" s="37"/>
      <c r="Z361" s="37"/>
      <c r="AA361" s="37"/>
      <c r="AB361" s="37"/>
      <c r="AC361" s="37"/>
      <c r="AD361" s="38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9">
        <f t="shared" ref="AP361:AP365" si="161">SUM(H361:AO361)</f>
        <v>0</v>
      </c>
      <c r="AQ361" s="1"/>
    </row>
    <row r="362" ht="15.0" customHeight="1">
      <c r="A362" s="1"/>
      <c r="B362" s="35"/>
      <c r="C362" s="84"/>
      <c r="D362" s="35"/>
      <c r="E362" s="33"/>
      <c r="F362" s="40" t="s">
        <v>26</v>
      </c>
      <c r="G362" s="37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7"/>
      <c r="AP362" s="39">
        <f t="shared" si="161"/>
        <v>0</v>
      </c>
      <c r="AQ362" s="1"/>
    </row>
    <row r="363" ht="15.0" customHeight="1">
      <c r="A363" s="1"/>
      <c r="B363" s="35"/>
      <c r="C363" s="84"/>
      <c r="D363" s="35"/>
      <c r="E363" s="33" t="s">
        <v>27</v>
      </c>
      <c r="F363" s="41" t="s">
        <v>28</v>
      </c>
      <c r="G363" s="37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7"/>
      <c r="AP363" s="39">
        <f t="shared" si="161"/>
        <v>0</v>
      </c>
      <c r="AQ363" s="1"/>
    </row>
    <row r="364" ht="15.0" customHeight="1">
      <c r="A364" s="1"/>
      <c r="B364" s="35"/>
      <c r="C364" s="84"/>
      <c r="D364" s="35"/>
      <c r="E364" s="33"/>
      <c r="F364" s="41" t="s">
        <v>29</v>
      </c>
      <c r="G364" s="37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7"/>
      <c r="AP364" s="39">
        <f t="shared" si="161"/>
        <v>0</v>
      </c>
      <c r="AQ364" s="1"/>
    </row>
    <row r="365" ht="15.0" customHeight="1">
      <c r="A365" s="1"/>
      <c r="B365" s="35"/>
      <c r="C365" s="84"/>
      <c r="D365" s="35"/>
      <c r="E365" s="33"/>
      <c r="F365" s="41" t="s">
        <v>148</v>
      </c>
      <c r="G365" s="37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7"/>
      <c r="AP365" s="39">
        <f t="shared" si="161"/>
        <v>0</v>
      </c>
      <c r="AQ365" s="1"/>
    </row>
    <row r="366" ht="15.0" customHeight="1">
      <c r="A366" s="1"/>
      <c r="B366" s="42"/>
      <c r="C366" s="18"/>
      <c r="D366" s="42"/>
      <c r="E366" s="52"/>
      <c r="F366" s="43" t="s">
        <v>30</v>
      </c>
      <c r="G366" s="44"/>
      <c r="H366" s="34">
        <f>H360+H361+H362-H363+H364-H365</f>
        <v>0</v>
      </c>
      <c r="I366" s="34">
        <f t="shared" ref="I366:AN366" si="162">I360+I361-I362+I363-I364-I365</f>
        <v>0</v>
      </c>
      <c r="J366" s="34">
        <f t="shared" si="162"/>
        <v>0</v>
      </c>
      <c r="K366" s="34">
        <f t="shared" si="162"/>
        <v>0</v>
      </c>
      <c r="L366" s="34">
        <f t="shared" si="162"/>
        <v>0</v>
      </c>
      <c r="M366" s="34">
        <f t="shared" si="162"/>
        <v>0</v>
      </c>
      <c r="N366" s="34">
        <f t="shared" si="162"/>
        <v>0</v>
      </c>
      <c r="O366" s="34">
        <f t="shared" si="162"/>
        <v>0</v>
      </c>
      <c r="P366" s="34">
        <f t="shared" si="162"/>
        <v>0</v>
      </c>
      <c r="Q366" s="34">
        <f t="shared" si="162"/>
        <v>0</v>
      </c>
      <c r="R366" s="34">
        <f t="shared" si="162"/>
        <v>0</v>
      </c>
      <c r="S366" s="34">
        <f t="shared" si="162"/>
        <v>0</v>
      </c>
      <c r="T366" s="34">
        <f t="shared" si="162"/>
        <v>0</v>
      </c>
      <c r="U366" s="34">
        <f t="shared" si="162"/>
        <v>0</v>
      </c>
      <c r="V366" s="34">
        <f t="shared" si="162"/>
        <v>0</v>
      </c>
      <c r="W366" s="34">
        <f t="shared" si="162"/>
        <v>0</v>
      </c>
      <c r="X366" s="34">
        <f t="shared" si="162"/>
        <v>0</v>
      </c>
      <c r="Y366" s="34">
        <f t="shared" si="162"/>
        <v>0</v>
      </c>
      <c r="Z366" s="34">
        <f t="shared" si="162"/>
        <v>0</v>
      </c>
      <c r="AA366" s="34">
        <f t="shared" si="162"/>
        <v>0</v>
      </c>
      <c r="AB366" s="34">
        <f t="shared" si="162"/>
        <v>0</v>
      </c>
      <c r="AC366" s="34">
        <f t="shared" si="162"/>
        <v>0</v>
      </c>
      <c r="AD366" s="34">
        <f t="shared" si="162"/>
        <v>0</v>
      </c>
      <c r="AE366" s="34">
        <f t="shared" si="162"/>
        <v>0</v>
      </c>
      <c r="AF366" s="34">
        <f t="shared" si="162"/>
        <v>0</v>
      </c>
      <c r="AG366" s="34">
        <f t="shared" si="162"/>
        <v>0</v>
      </c>
      <c r="AH366" s="34">
        <f t="shared" si="162"/>
        <v>0</v>
      </c>
      <c r="AI366" s="34">
        <f t="shared" si="162"/>
        <v>0</v>
      </c>
      <c r="AJ366" s="34">
        <f t="shared" si="162"/>
        <v>0</v>
      </c>
      <c r="AK366" s="34">
        <f t="shared" si="162"/>
        <v>0</v>
      </c>
      <c r="AL366" s="34">
        <f t="shared" si="162"/>
        <v>0</v>
      </c>
      <c r="AM366" s="34">
        <f t="shared" si="162"/>
        <v>0</v>
      </c>
      <c r="AN366" s="34">
        <f t="shared" si="162"/>
        <v>0</v>
      </c>
      <c r="AO366" s="34"/>
      <c r="AP366" s="45">
        <f>AO360</f>
        <v>0</v>
      </c>
      <c r="AQ366" s="1"/>
    </row>
    <row r="367" ht="15.0" customHeight="1">
      <c r="A367" s="1"/>
      <c r="B367" s="32"/>
      <c r="C367" s="12" t="s">
        <v>149</v>
      </c>
      <c r="D367" s="32" t="s">
        <v>150</v>
      </c>
      <c r="E367" s="13"/>
      <c r="F367" s="14" t="s">
        <v>23</v>
      </c>
      <c r="G367" s="44"/>
      <c r="H367" s="34">
        <v>6.0</v>
      </c>
      <c r="I367" s="34">
        <f t="shared" ref="I367:AO367" si="163">H373</f>
        <v>6</v>
      </c>
      <c r="J367" s="34">
        <f t="shared" si="163"/>
        <v>6</v>
      </c>
      <c r="K367" s="34">
        <f t="shared" si="163"/>
        <v>6</v>
      </c>
      <c r="L367" s="34">
        <f t="shared" si="163"/>
        <v>6</v>
      </c>
      <c r="M367" s="34">
        <f t="shared" si="163"/>
        <v>6</v>
      </c>
      <c r="N367" s="34">
        <f t="shared" si="163"/>
        <v>6</v>
      </c>
      <c r="O367" s="34">
        <f t="shared" si="163"/>
        <v>6</v>
      </c>
      <c r="P367" s="34">
        <f t="shared" si="163"/>
        <v>6</v>
      </c>
      <c r="Q367" s="34">
        <f t="shared" si="163"/>
        <v>6</v>
      </c>
      <c r="R367" s="34">
        <f t="shared" si="163"/>
        <v>6</v>
      </c>
      <c r="S367" s="34">
        <f t="shared" si="163"/>
        <v>6</v>
      </c>
      <c r="T367" s="34">
        <f t="shared" si="163"/>
        <v>6</v>
      </c>
      <c r="U367" s="34">
        <f t="shared" si="163"/>
        <v>6</v>
      </c>
      <c r="V367" s="34">
        <f t="shared" si="163"/>
        <v>6</v>
      </c>
      <c r="W367" s="34">
        <f t="shared" si="163"/>
        <v>6</v>
      </c>
      <c r="X367" s="34">
        <f t="shared" si="163"/>
        <v>6</v>
      </c>
      <c r="Y367" s="34">
        <f t="shared" si="163"/>
        <v>6</v>
      </c>
      <c r="Z367" s="34">
        <f t="shared" si="163"/>
        <v>6</v>
      </c>
      <c r="AA367" s="34">
        <f t="shared" si="163"/>
        <v>6</v>
      </c>
      <c r="AB367" s="34">
        <f t="shared" si="163"/>
        <v>6</v>
      </c>
      <c r="AC367" s="34">
        <f t="shared" si="163"/>
        <v>6</v>
      </c>
      <c r="AD367" s="34">
        <f t="shared" si="163"/>
        <v>6</v>
      </c>
      <c r="AE367" s="34">
        <f t="shared" si="163"/>
        <v>6</v>
      </c>
      <c r="AF367" s="34">
        <f t="shared" si="163"/>
        <v>6</v>
      </c>
      <c r="AG367" s="34">
        <f t="shared" si="163"/>
        <v>6</v>
      </c>
      <c r="AH367" s="34">
        <f t="shared" si="163"/>
        <v>6</v>
      </c>
      <c r="AI367" s="34">
        <f t="shared" si="163"/>
        <v>6</v>
      </c>
      <c r="AJ367" s="34">
        <f t="shared" si="163"/>
        <v>6</v>
      </c>
      <c r="AK367" s="34">
        <f t="shared" si="163"/>
        <v>6</v>
      </c>
      <c r="AL367" s="34">
        <f t="shared" si="163"/>
        <v>6</v>
      </c>
      <c r="AM367" s="34">
        <f t="shared" si="163"/>
        <v>6</v>
      </c>
      <c r="AN367" s="34">
        <f t="shared" si="163"/>
        <v>6</v>
      </c>
      <c r="AO367" s="34">
        <f t="shared" si="163"/>
        <v>6</v>
      </c>
      <c r="AP367" s="54"/>
      <c r="AQ367" s="1"/>
    </row>
    <row r="368" ht="15.0" customHeight="1">
      <c r="A368" s="1"/>
      <c r="B368" s="35"/>
      <c r="C368" s="84"/>
      <c r="D368" s="35"/>
      <c r="E368" s="33" t="s">
        <v>24</v>
      </c>
      <c r="F368" s="36" t="s">
        <v>25</v>
      </c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8"/>
      <c r="T368" s="37"/>
      <c r="U368" s="38"/>
      <c r="V368" s="37"/>
      <c r="W368" s="37"/>
      <c r="X368" s="37"/>
      <c r="Y368" s="37"/>
      <c r="Z368" s="37"/>
      <c r="AA368" s="37"/>
      <c r="AB368" s="37"/>
      <c r="AC368" s="37"/>
      <c r="AD368" s="38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9">
        <f t="shared" ref="AP368:AP372" si="164">SUM(H368:AO368)</f>
        <v>0</v>
      </c>
      <c r="AQ368" s="1"/>
    </row>
    <row r="369" ht="15.0" customHeight="1">
      <c r="A369" s="51"/>
      <c r="B369" s="35"/>
      <c r="C369" s="84"/>
      <c r="D369" s="35"/>
      <c r="E369" s="47"/>
      <c r="F369" s="40" t="s">
        <v>26</v>
      </c>
      <c r="G369" s="49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9"/>
      <c r="AP369" s="50">
        <f t="shared" si="164"/>
        <v>0</v>
      </c>
      <c r="AQ369" s="51"/>
    </row>
    <row r="370" ht="15.0" customHeight="1">
      <c r="A370" s="1"/>
      <c r="B370" s="35"/>
      <c r="C370" s="84"/>
      <c r="D370" s="35"/>
      <c r="E370" s="33" t="s">
        <v>27</v>
      </c>
      <c r="F370" s="41" t="s">
        <v>28</v>
      </c>
      <c r="G370" s="37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7"/>
      <c r="AP370" s="39">
        <f t="shared" si="164"/>
        <v>0</v>
      </c>
      <c r="AQ370" s="1"/>
    </row>
    <row r="371" ht="15.0" customHeight="1">
      <c r="A371" s="1"/>
      <c r="B371" s="35"/>
      <c r="C371" s="84"/>
      <c r="D371" s="35"/>
      <c r="E371" s="33"/>
      <c r="F371" s="41" t="s">
        <v>29</v>
      </c>
      <c r="G371" s="37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7"/>
      <c r="AP371" s="39">
        <f t="shared" si="164"/>
        <v>0</v>
      </c>
      <c r="AQ371" s="1"/>
    </row>
    <row r="372" ht="15.0" customHeight="1">
      <c r="A372" s="1"/>
      <c r="B372" s="35"/>
      <c r="C372" s="84"/>
      <c r="D372" s="35"/>
      <c r="E372" s="33"/>
      <c r="F372" s="41" t="s">
        <v>148</v>
      </c>
      <c r="G372" s="37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7"/>
      <c r="AP372" s="39">
        <f t="shared" si="164"/>
        <v>0</v>
      </c>
      <c r="AQ372" s="1"/>
    </row>
    <row r="373" ht="15.0" customHeight="1">
      <c r="A373" s="1"/>
      <c r="B373" s="42"/>
      <c r="C373" s="18"/>
      <c r="D373" s="42"/>
      <c r="E373" s="52"/>
      <c r="F373" s="43" t="s">
        <v>30</v>
      </c>
      <c r="G373" s="44"/>
      <c r="H373" s="34">
        <f>H367+H368+H369-H370+H371-H372</f>
        <v>6</v>
      </c>
      <c r="I373" s="34">
        <f t="shared" ref="I373:AN373" si="165">I367+I368-I369+I370-I371-I372</f>
        <v>6</v>
      </c>
      <c r="J373" s="34">
        <f t="shared" si="165"/>
        <v>6</v>
      </c>
      <c r="K373" s="34">
        <f t="shared" si="165"/>
        <v>6</v>
      </c>
      <c r="L373" s="34">
        <f t="shared" si="165"/>
        <v>6</v>
      </c>
      <c r="M373" s="34">
        <f t="shared" si="165"/>
        <v>6</v>
      </c>
      <c r="N373" s="34">
        <f t="shared" si="165"/>
        <v>6</v>
      </c>
      <c r="O373" s="34">
        <f t="shared" si="165"/>
        <v>6</v>
      </c>
      <c r="P373" s="34">
        <f t="shared" si="165"/>
        <v>6</v>
      </c>
      <c r="Q373" s="34">
        <f t="shared" si="165"/>
        <v>6</v>
      </c>
      <c r="R373" s="34">
        <f t="shared" si="165"/>
        <v>6</v>
      </c>
      <c r="S373" s="34">
        <f t="shared" si="165"/>
        <v>6</v>
      </c>
      <c r="T373" s="34">
        <f t="shared" si="165"/>
        <v>6</v>
      </c>
      <c r="U373" s="34">
        <f t="shared" si="165"/>
        <v>6</v>
      </c>
      <c r="V373" s="34">
        <f t="shared" si="165"/>
        <v>6</v>
      </c>
      <c r="W373" s="34">
        <f t="shared" si="165"/>
        <v>6</v>
      </c>
      <c r="X373" s="34">
        <f t="shared" si="165"/>
        <v>6</v>
      </c>
      <c r="Y373" s="34">
        <f t="shared" si="165"/>
        <v>6</v>
      </c>
      <c r="Z373" s="34">
        <f t="shared" si="165"/>
        <v>6</v>
      </c>
      <c r="AA373" s="34">
        <f t="shared" si="165"/>
        <v>6</v>
      </c>
      <c r="AB373" s="34">
        <f t="shared" si="165"/>
        <v>6</v>
      </c>
      <c r="AC373" s="34">
        <f t="shared" si="165"/>
        <v>6</v>
      </c>
      <c r="AD373" s="34">
        <f t="shared" si="165"/>
        <v>6</v>
      </c>
      <c r="AE373" s="34">
        <f t="shared" si="165"/>
        <v>6</v>
      </c>
      <c r="AF373" s="34">
        <f t="shared" si="165"/>
        <v>6</v>
      </c>
      <c r="AG373" s="34">
        <f t="shared" si="165"/>
        <v>6</v>
      </c>
      <c r="AH373" s="34">
        <f t="shared" si="165"/>
        <v>6</v>
      </c>
      <c r="AI373" s="34">
        <f t="shared" si="165"/>
        <v>6</v>
      </c>
      <c r="AJ373" s="34">
        <f t="shared" si="165"/>
        <v>6</v>
      </c>
      <c r="AK373" s="34">
        <f t="shared" si="165"/>
        <v>6</v>
      </c>
      <c r="AL373" s="34">
        <f t="shared" si="165"/>
        <v>6</v>
      </c>
      <c r="AM373" s="34">
        <f t="shared" si="165"/>
        <v>6</v>
      </c>
      <c r="AN373" s="34">
        <f t="shared" si="165"/>
        <v>6</v>
      </c>
      <c r="AO373" s="34"/>
      <c r="AP373" s="45">
        <f>AO367</f>
        <v>6</v>
      </c>
      <c r="AQ373" s="1"/>
    </row>
    <row r="374" ht="15.0" customHeight="1">
      <c r="A374" s="1"/>
      <c r="B374" s="32"/>
      <c r="C374" s="12" t="s">
        <v>151</v>
      </c>
      <c r="D374" s="32" t="s">
        <v>106</v>
      </c>
      <c r="E374" s="13"/>
      <c r="F374" s="14" t="s">
        <v>23</v>
      </c>
      <c r="G374" s="44"/>
      <c r="H374" s="34">
        <v>0.0</v>
      </c>
      <c r="I374" s="34">
        <f t="shared" ref="I374:AO374" si="166">H380</f>
        <v>0</v>
      </c>
      <c r="J374" s="34">
        <f t="shared" si="166"/>
        <v>0</v>
      </c>
      <c r="K374" s="34">
        <f t="shared" si="166"/>
        <v>0</v>
      </c>
      <c r="L374" s="34">
        <f t="shared" si="166"/>
        <v>0</v>
      </c>
      <c r="M374" s="34">
        <f t="shared" si="166"/>
        <v>0</v>
      </c>
      <c r="N374" s="34">
        <f t="shared" si="166"/>
        <v>0</v>
      </c>
      <c r="O374" s="34">
        <f t="shared" si="166"/>
        <v>0</v>
      </c>
      <c r="P374" s="34">
        <f t="shared" si="166"/>
        <v>0</v>
      </c>
      <c r="Q374" s="34">
        <f t="shared" si="166"/>
        <v>0</v>
      </c>
      <c r="R374" s="34">
        <f t="shared" si="166"/>
        <v>0</v>
      </c>
      <c r="S374" s="34">
        <f t="shared" si="166"/>
        <v>0</v>
      </c>
      <c r="T374" s="34">
        <f t="shared" si="166"/>
        <v>0</v>
      </c>
      <c r="U374" s="34">
        <f t="shared" si="166"/>
        <v>0</v>
      </c>
      <c r="V374" s="34">
        <f t="shared" si="166"/>
        <v>0</v>
      </c>
      <c r="W374" s="34">
        <f t="shared" si="166"/>
        <v>0</v>
      </c>
      <c r="X374" s="34">
        <f t="shared" si="166"/>
        <v>0</v>
      </c>
      <c r="Y374" s="34">
        <f t="shared" si="166"/>
        <v>0</v>
      </c>
      <c r="Z374" s="34">
        <f t="shared" si="166"/>
        <v>0</v>
      </c>
      <c r="AA374" s="34">
        <f t="shared" si="166"/>
        <v>0</v>
      </c>
      <c r="AB374" s="34">
        <f t="shared" si="166"/>
        <v>0</v>
      </c>
      <c r="AC374" s="34">
        <f t="shared" si="166"/>
        <v>0</v>
      </c>
      <c r="AD374" s="34">
        <f t="shared" si="166"/>
        <v>0</v>
      </c>
      <c r="AE374" s="34">
        <f t="shared" si="166"/>
        <v>0</v>
      </c>
      <c r="AF374" s="34">
        <f t="shared" si="166"/>
        <v>0</v>
      </c>
      <c r="AG374" s="34">
        <f t="shared" si="166"/>
        <v>0</v>
      </c>
      <c r="AH374" s="34">
        <f t="shared" si="166"/>
        <v>0</v>
      </c>
      <c r="AI374" s="34">
        <f t="shared" si="166"/>
        <v>0</v>
      </c>
      <c r="AJ374" s="34">
        <f t="shared" si="166"/>
        <v>0</v>
      </c>
      <c r="AK374" s="34">
        <f t="shared" si="166"/>
        <v>0</v>
      </c>
      <c r="AL374" s="34">
        <f t="shared" si="166"/>
        <v>0</v>
      </c>
      <c r="AM374" s="34">
        <f t="shared" si="166"/>
        <v>0</v>
      </c>
      <c r="AN374" s="34">
        <f t="shared" si="166"/>
        <v>0</v>
      </c>
      <c r="AO374" s="34">
        <f t="shared" si="166"/>
        <v>0</v>
      </c>
      <c r="AP374" s="54"/>
      <c r="AQ374" s="1"/>
    </row>
    <row r="375" ht="15.0" customHeight="1">
      <c r="A375" s="1"/>
      <c r="B375" s="35"/>
      <c r="C375" s="84"/>
      <c r="D375" s="35"/>
      <c r="E375" s="33" t="s">
        <v>24</v>
      </c>
      <c r="F375" s="36" t="s">
        <v>25</v>
      </c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8"/>
      <c r="T375" s="37"/>
      <c r="U375" s="38"/>
      <c r="V375" s="37"/>
      <c r="W375" s="37"/>
      <c r="X375" s="37"/>
      <c r="Y375" s="37"/>
      <c r="Z375" s="37"/>
      <c r="AA375" s="37"/>
      <c r="AB375" s="37"/>
      <c r="AC375" s="37"/>
      <c r="AD375" s="38"/>
      <c r="AE375" s="34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9">
        <f t="shared" ref="AP375:AP379" si="167">SUM(H375:AO375)</f>
        <v>0</v>
      </c>
      <c r="AQ375" s="1"/>
    </row>
    <row r="376" ht="15.0" customHeight="1">
      <c r="A376" s="1"/>
      <c r="B376" s="35"/>
      <c r="C376" s="84"/>
      <c r="D376" s="35"/>
      <c r="E376" s="33"/>
      <c r="F376" s="40" t="s">
        <v>26</v>
      </c>
      <c r="G376" s="37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7"/>
      <c r="AP376" s="39">
        <f t="shared" si="167"/>
        <v>0</v>
      </c>
      <c r="AQ376" s="1"/>
    </row>
    <row r="377" ht="15.0" customHeight="1">
      <c r="A377" s="1"/>
      <c r="B377" s="35"/>
      <c r="C377" s="84"/>
      <c r="D377" s="35"/>
      <c r="E377" s="33" t="s">
        <v>27</v>
      </c>
      <c r="F377" s="41" t="s">
        <v>28</v>
      </c>
      <c r="G377" s="37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7"/>
      <c r="AP377" s="39">
        <f t="shared" si="167"/>
        <v>0</v>
      </c>
      <c r="AQ377" s="1"/>
    </row>
    <row r="378" ht="15.0" customHeight="1">
      <c r="A378" s="1"/>
      <c r="B378" s="35"/>
      <c r="C378" s="84"/>
      <c r="D378" s="35"/>
      <c r="E378" s="33"/>
      <c r="F378" s="41" t="s">
        <v>29</v>
      </c>
      <c r="G378" s="37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7"/>
      <c r="AP378" s="39">
        <f t="shared" si="167"/>
        <v>0</v>
      </c>
      <c r="AQ378" s="1"/>
    </row>
    <row r="379" ht="15.0" customHeight="1">
      <c r="A379" s="1"/>
      <c r="B379" s="35"/>
      <c r="C379" s="84"/>
      <c r="D379" s="35"/>
      <c r="E379" s="33"/>
      <c r="F379" s="41" t="s">
        <v>148</v>
      </c>
      <c r="G379" s="37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7"/>
      <c r="AP379" s="39">
        <f t="shared" si="167"/>
        <v>0</v>
      </c>
      <c r="AQ379" s="1"/>
    </row>
    <row r="380" ht="15.0" customHeight="1">
      <c r="A380" s="1"/>
      <c r="B380" s="42"/>
      <c r="C380" s="18"/>
      <c r="D380" s="42"/>
      <c r="E380" s="52"/>
      <c r="F380" s="43" t="s">
        <v>30</v>
      </c>
      <c r="G380" s="44"/>
      <c r="H380" s="34">
        <f>H374+H375+H376-H377+H378-H379</f>
        <v>0</v>
      </c>
      <c r="I380" s="34">
        <f t="shared" ref="I380:AN380" si="168">I374+I375-I376+I377-I378-I379</f>
        <v>0</v>
      </c>
      <c r="J380" s="34">
        <f t="shared" si="168"/>
        <v>0</v>
      </c>
      <c r="K380" s="34">
        <f t="shared" si="168"/>
        <v>0</v>
      </c>
      <c r="L380" s="34">
        <f t="shared" si="168"/>
        <v>0</v>
      </c>
      <c r="M380" s="34">
        <f t="shared" si="168"/>
        <v>0</v>
      </c>
      <c r="N380" s="34">
        <f t="shared" si="168"/>
        <v>0</v>
      </c>
      <c r="O380" s="34">
        <f t="shared" si="168"/>
        <v>0</v>
      </c>
      <c r="P380" s="34">
        <f t="shared" si="168"/>
        <v>0</v>
      </c>
      <c r="Q380" s="34">
        <f t="shared" si="168"/>
        <v>0</v>
      </c>
      <c r="R380" s="34">
        <f t="shared" si="168"/>
        <v>0</v>
      </c>
      <c r="S380" s="34">
        <f t="shared" si="168"/>
        <v>0</v>
      </c>
      <c r="T380" s="34">
        <f t="shared" si="168"/>
        <v>0</v>
      </c>
      <c r="U380" s="34">
        <f t="shared" si="168"/>
        <v>0</v>
      </c>
      <c r="V380" s="34">
        <f t="shared" si="168"/>
        <v>0</v>
      </c>
      <c r="W380" s="34">
        <f t="shared" si="168"/>
        <v>0</v>
      </c>
      <c r="X380" s="34">
        <f t="shared" si="168"/>
        <v>0</v>
      </c>
      <c r="Y380" s="34">
        <f t="shared" si="168"/>
        <v>0</v>
      </c>
      <c r="Z380" s="34">
        <f t="shared" si="168"/>
        <v>0</v>
      </c>
      <c r="AA380" s="34">
        <f t="shared" si="168"/>
        <v>0</v>
      </c>
      <c r="AB380" s="34">
        <f t="shared" si="168"/>
        <v>0</v>
      </c>
      <c r="AC380" s="34">
        <f t="shared" si="168"/>
        <v>0</v>
      </c>
      <c r="AD380" s="34">
        <f t="shared" si="168"/>
        <v>0</v>
      </c>
      <c r="AE380" s="34">
        <f t="shared" si="168"/>
        <v>0</v>
      </c>
      <c r="AF380" s="34">
        <f t="shared" si="168"/>
        <v>0</v>
      </c>
      <c r="AG380" s="34">
        <f t="shared" si="168"/>
        <v>0</v>
      </c>
      <c r="AH380" s="34">
        <f t="shared" si="168"/>
        <v>0</v>
      </c>
      <c r="AI380" s="34">
        <f t="shared" si="168"/>
        <v>0</v>
      </c>
      <c r="AJ380" s="34">
        <f t="shared" si="168"/>
        <v>0</v>
      </c>
      <c r="AK380" s="34">
        <f t="shared" si="168"/>
        <v>0</v>
      </c>
      <c r="AL380" s="34">
        <f t="shared" si="168"/>
        <v>0</v>
      </c>
      <c r="AM380" s="34">
        <f t="shared" si="168"/>
        <v>0</v>
      </c>
      <c r="AN380" s="34">
        <f t="shared" si="168"/>
        <v>0</v>
      </c>
      <c r="AO380" s="34"/>
      <c r="AP380" s="45">
        <f>AO374</f>
        <v>0</v>
      </c>
      <c r="AQ380" s="1"/>
    </row>
    <row r="381" ht="15.75" customHeight="1">
      <c r="A381" s="1"/>
      <c r="B381" s="32"/>
      <c r="C381" s="12" t="s">
        <v>152</v>
      </c>
      <c r="D381" s="32" t="s">
        <v>133</v>
      </c>
      <c r="E381" s="13"/>
      <c r="F381" s="14" t="s">
        <v>23</v>
      </c>
      <c r="G381" s="44"/>
      <c r="H381" s="34">
        <v>23.0</v>
      </c>
      <c r="I381" s="34">
        <f t="shared" ref="I381:AO381" si="169">H387</f>
        <v>23</v>
      </c>
      <c r="J381" s="34">
        <f t="shared" si="169"/>
        <v>3</v>
      </c>
      <c r="K381" s="34">
        <f t="shared" si="169"/>
        <v>33</v>
      </c>
      <c r="L381" s="34">
        <f t="shared" si="169"/>
        <v>33</v>
      </c>
      <c r="M381" s="34">
        <f t="shared" si="169"/>
        <v>33</v>
      </c>
      <c r="N381" s="34">
        <f t="shared" si="169"/>
        <v>33</v>
      </c>
      <c r="O381" s="34">
        <f t="shared" si="169"/>
        <v>33</v>
      </c>
      <c r="P381" s="34">
        <f t="shared" si="169"/>
        <v>33</v>
      </c>
      <c r="Q381" s="34">
        <f t="shared" si="169"/>
        <v>3</v>
      </c>
      <c r="R381" s="34">
        <f t="shared" si="169"/>
        <v>7</v>
      </c>
      <c r="S381" s="34">
        <f t="shared" si="169"/>
        <v>7</v>
      </c>
      <c r="T381" s="34">
        <f t="shared" si="169"/>
        <v>7</v>
      </c>
      <c r="U381" s="34">
        <f t="shared" si="169"/>
        <v>7</v>
      </c>
      <c r="V381" s="34">
        <f t="shared" si="169"/>
        <v>7</v>
      </c>
      <c r="W381" s="34">
        <f t="shared" si="169"/>
        <v>41</v>
      </c>
      <c r="X381" s="34">
        <f t="shared" si="169"/>
        <v>41</v>
      </c>
      <c r="Y381" s="34">
        <f t="shared" si="169"/>
        <v>41</v>
      </c>
      <c r="Z381" s="34">
        <f t="shared" si="169"/>
        <v>-18</v>
      </c>
      <c r="AA381" s="34">
        <f t="shared" si="169"/>
        <v>-18</v>
      </c>
      <c r="AB381" s="34">
        <f t="shared" si="169"/>
        <v>-18</v>
      </c>
      <c r="AC381" s="34">
        <f t="shared" si="169"/>
        <v>-18</v>
      </c>
      <c r="AD381" s="34">
        <f t="shared" si="169"/>
        <v>-18</v>
      </c>
      <c r="AE381" s="34">
        <f t="shared" si="169"/>
        <v>-18</v>
      </c>
      <c r="AF381" s="34">
        <f t="shared" si="169"/>
        <v>-18</v>
      </c>
      <c r="AG381" s="34">
        <f t="shared" si="169"/>
        <v>-18</v>
      </c>
      <c r="AH381" s="34">
        <f t="shared" si="169"/>
        <v>-18</v>
      </c>
      <c r="AI381" s="34">
        <f t="shared" si="169"/>
        <v>-18</v>
      </c>
      <c r="AJ381" s="34">
        <f t="shared" si="169"/>
        <v>-18</v>
      </c>
      <c r="AK381" s="34">
        <f t="shared" si="169"/>
        <v>-18</v>
      </c>
      <c r="AL381" s="34">
        <f t="shared" si="169"/>
        <v>-18</v>
      </c>
      <c r="AM381" s="34">
        <f t="shared" si="169"/>
        <v>-18</v>
      </c>
      <c r="AN381" s="34">
        <f t="shared" si="169"/>
        <v>-18</v>
      </c>
      <c r="AO381" s="34">
        <f t="shared" si="169"/>
        <v>-18</v>
      </c>
      <c r="AP381" s="54"/>
      <c r="AQ381" s="1"/>
    </row>
    <row r="382" ht="15.0" customHeight="1">
      <c r="A382" s="1"/>
      <c r="B382" s="35"/>
      <c r="C382" s="84"/>
      <c r="D382" s="35"/>
      <c r="E382" s="33" t="s">
        <v>24</v>
      </c>
      <c r="F382" s="36" t="s">
        <v>25</v>
      </c>
      <c r="G382" s="37"/>
      <c r="H382" s="37"/>
      <c r="I382" s="37"/>
      <c r="J382" s="37">
        <v>30.0</v>
      </c>
      <c r="K382" s="37"/>
      <c r="L382" s="37"/>
      <c r="M382" s="37"/>
      <c r="N382" s="37"/>
      <c r="O382" s="37"/>
      <c r="P382" s="37"/>
      <c r="Q382" s="37">
        <v>4.0</v>
      </c>
      <c r="R382" s="37"/>
      <c r="S382" s="38"/>
      <c r="T382" s="37"/>
      <c r="U382" s="38"/>
      <c r="V382" s="37">
        <v>34.0</v>
      </c>
      <c r="W382" s="37"/>
      <c r="X382" s="37"/>
      <c r="Y382" s="37"/>
      <c r="Z382" s="37"/>
      <c r="AA382" s="37"/>
      <c r="AB382" s="37"/>
      <c r="AC382" s="37"/>
      <c r="AD382" s="38"/>
      <c r="AE382" s="34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9">
        <f t="shared" ref="AP382:AP386" si="170">SUM(H382:AO382)</f>
        <v>68</v>
      </c>
      <c r="AQ382" s="1"/>
    </row>
    <row r="383" ht="15.0" customHeight="1">
      <c r="A383" s="51"/>
      <c r="B383" s="35"/>
      <c r="C383" s="84"/>
      <c r="D383" s="35"/>
      <c r="E383" s="47"/>
      <c r="F383" s="40" t="s">
        <v>26</v>
      </c>
      <c r="G383" s="49"/>
      <c r="H383" s="48"/>
      <c r="I383" s="48">
        <v>20.0</v>
      </c>
      <c r="J383" s="48"/>
      <c r="K383" s="48"/>
      <c r="L383" s="48"/>
      <c r="M383" s="48"/>
      <c r="N383" s="48"/>
      <c r="O383" s="48"/>
      <c r="P383" s="48">
        <v>30.0</v>
      </c>
      <c r="Q383" s="48"/>
      <c r="R383" s="48"/>
      <c r="S383" s="48"/>
      <c r="T383" s="48"/>
      <c r="U383" s="48"/>
      <c r="V383" s="48"/>
      <c r="W383" s="48"/>
      <c r="X383" s="48"/>
      <c r="Y383" s="48">
        <v>59.0</v>
      </c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9"/>
      <c r="AP383" s="50">
        <f t="shared" si="170"/>
        <v>109</v>
      </c>
      <c r="AQ383" s="51"/>
    </row>
    <row r="384" ht="15.0" customHeight="1">
      <c r="A384" s="1"/>
      <c r="B384" s="35"/>
      <c r="C384" s="84"/>
      <c r="D384" s="35"/>
      <c r="E384" s="33" t="s">
        <v>27</v>
      </c>
      <c r="F384" s="41" t="s">
        <v>28</v>
      </c>
      <c r="G384" s="37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7"/>
      <c r="AP384" s="39">
        <f t="shared" si="170"/>
        <v>0</v>
      </c>
      <c r="AQ384" s="1"/>
    </row>
    <row r="385" ht="15.0" customHeight="1">
      <c r="A385" s="1"/>
      <c r="B385" s="35"/>
      <c r="C385" s="84"/>
      <c r="D385" s="35"/>
      <c r="E385" s="33"/>
      <c r="F385" s="41" t="s">
        <v>29</v>
      </c>
      <c r="G385" s="37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7"/>
      <c r="AP385" s="39">
        <f t="shared" si="170"/>
        <v>0</v>
      </c>
      <c r="AQ385" s="1"/>
    </row>
    <row r="386" ht="15.0" customHeight="1">
      <c r="A386" s="1"/>
      <c r="B386" s="35"/>
      <c r="C386" s="84"/>
      <c r="D386" s="35"/>
      <c r="E386" s="33"/>
      <c r="F386" s="41" t="s">
        <v>148</v>
      </c>
      <c r="G386" s="37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7"/>
      <c r="AP386" s="39">
        <f t="shared" si="170"/>
        <v>0</v>
      </c>
      <c r="AQ386" s="1"/>
    </row>
    <row r="387" ht="15.0" customHeight="1">
      <c r="A387" s="1"/>
      <c r="B387" s="42"/>
      <c r="C387" s="18"/>
      <c r="D387" s="42"/>
      <c r="E387" s="52"/>
      <c r="F387" s="43" t="s">
        <v>30</v>
      </c>
      <c r="G387" s="44"/>
      <c r="H387" s="34">
        <f>H381+H382+H383-H384+H385-H386</f>
        <v>23</v>
      </c>
      <c r="I387" s="34">
        <f t="shared" ref="I387:AN387" si="171">I381+I382-I383+I384-I385-I386</f>
        <v>3</v>
      </c>
      <c r="J387" s="34">
        <f t="shared" si="171"/>
        <v>33</v>
      </c>
      <c r="K387" s="34">
        <f t="shared" si="171"/>
        <v>33</v>
      </c>
      <c r="L387" s="34">
        <f t="shared" si="171"/>
        <v>33</v>
      </c>
      <c r="M387" s="34">
        <f t="shared" si="171"/>
        <v>33</v>
      </c>
      <c r="N387" s="34">
        <f t="shared" si="171"/>
        <v>33</v>
      </c>
      <c r="O387" s="34">
        <f t="shared" si="171"/>
        <v>33</v>
      </c>
      <c r="P387" s="34">
        <f t="shared" si="171"/>
        <v>3</v>
      </c>
      <c r="Q387" s="34">
        <f t="shared" si="171"/>
        <v>7</v>
      </c>
      <c r="R387" s="34">
        <f t="shared" si="171"/>
        <v>7</v>
      </c>
      <c r="S387" s="34">
        <f t="shared" si="171"/>
        <v>7</v>
      </c>
      <c r="T387" s="34">
        <f t="shared" si="171"/>
        <v>7</v>
      </c>
      <c r="U387" s="34">
        <f t="shared" si="171"/>
        <v>7</v>
      </c>
      <c r="V387" s="34">
        <f t="shared" si="171"/>
        <v>41</v>
      </c>
      <c r="W387" s="34">
        <f t="shared" si="171"/>
        <v>41</v>
      </c>
      <c r="X387" s="34">
        <f t="shared" si="171"/>
        <v>41</v>
      </c>
      <c r="Y387" s="34">
        <f t="shared" si="171"/>
        <v>-18</v>
      </c>
      <c r="Z387" s="34">
        <f t="shared" si="171"/>
        <v>-18</v>
      </c>
      <c r="AA387" s="34">
        <f t="shared" si="171"/>
        <v>-18</v>
      </c>
      <c r="AB387" s="34">
        <f t="shared" si="171"/>
        <v>-18</v>
      </c>
      <c r="AC387" s="34">
        <f t="shared" si="171"/>
        <v>-18</v>
      </c>
      <c r="AD387" s="34">
        <f t="shared" si="171"/>
        <v>-18</v>
      </c>
      <c r="AE387" s="34">
        <f t="shared" si="171"/>
        <v>-18</v>
      </c>
      <c r="AF387" s="34">
        <f t="shared" si="171"/>
        <v>-18</v>
      </c>
      <c r="AG387" s="34">
        <f t="shared" si="171"/>
        <v>-18</v>
      </c>
      <c r="AH387" s="34">
        <f t="shared" si="171"/>
        <v>-18</v>
      </c>
      <c r="AI387" s="34">
        <f t="shared" si="171"/>
        <v>-18</v>
      </c>
      <c r="AJ387" s="34">
        <f t="shared" si="171"/>
        <v>-18</v>
      </c>
      <c r="AK387" s="34">
        <f t="shared" si="171"/>
        <v>-18</v>
      </c>
      <c r="AL387" s="34">
        <f t="shared" si="171"/>
        <v>-18</v>
      </c>
      <c r="AM387" s="34">
        <f t="shared" si="171"/>
        <v>-18</v>
      </c>
      <c r="AN387" s="34">
        <f t="shared" si="171"/>
        <v>-18</v>
      </c>
      <c r="AO387" s="34"/>
      <c r="AP387" s="45">
        <f>AO381</f>
        <v>-18</v>
      </c>
      <c r="AQ387" s="1"/>
    </row>
    <row r="388" ht="15.0" customHeight="1">
      <c r="A388" s="1"/>
      <c r="B388" s="63"/>
      <c r="C388" s="32" t="s">
        <v>153</v>
      </c>
      <c r="D388" s="32" t="s">
        <v>154</v>
      </c>
      <c r="E388" s="64"/>
      <c r="F388" s="14" t="s">
        <v>23</v>
      </c>
      <c r="G388" s="44"/>
      <c r="H388" s="34">
        <v>7.0</v>
      </c>
      <c r="I388" s="34">
        <f t="shared" ref="I388:AO388" si="172">H397</f>
        <v>7</v>
      </c>
      <c r="J388" s="34">
        <f t="shared" si="172"/>
        <v>7</v>
      </c>
      <c r="K388" s="34">
        <f t="shared" si="172"/>
        <v>7</v>
      </c>
      <c r="L388" s="34">
        <f t="shared" si="172"/>
        <v>7</v>
      </c>
      <c r="M388" s="34">
        <f t="shared" si="172"/>
        <v>7</v>
      </c>
      <c r="N388" s="34">
        <f t="shared" si="172"/>
        <v>7</v>
      </c>
      <c r="O388" s="34">
        <f t="shared" si="172"/>
        <v>7</v>
      </c>
      <c r="P388" s="34">
        <f t="shared" si="172"/>
        <v>7</v>
      </c>
      <c r="Q388" s="34">
        <f t="shared" si="172"/>
        <v>7</v>
      </c>
      <c r="R388" s="34">
        <f t="shared" si="172"/>
        <v>7</v>
      </c>
      <c r="S388" s="34">
        <f t="shared" si="172"/>
        <v>7</v>
      </c>
      <c r="T388" s="34">
        <f t="shared" si="172"/>
        <v>7</v>
      </c>
      <c r="U388" s="34">
        <f t="shared" si="172"/>
        <v>7</v>
      </c>
      <c r="V388" s="34">
        <f t="shared" si="172"/>
        <v>7</v>
      </c>
      <c r="W388" s="34">
        <f t="shared" si="172"/>
        <v>7</v>
      </c>
      <c r="X388" s="34">
        <f t="shared" si="172"/>
        <v>7</v>
      </c>
      <c r="Y388" s="34">
        <f t="shared" si="172"/>
        <v>7</v>
      </c>
      <c r="Z388" s="34">
        <f t="shared" si="172"/>
        <v>7</v>
      </c>
      <c r="AA388" s="34">
        <f t="shared" si="172"/>
        <v>7</v>
      </c>
      <c r="AB388" s="34">
        <f t="shared" si="172"/>
        <v>7</v>
      </c>
      <c r="AC388" s="34">
        <f t="shared" si="172"/>
        <v>7</v>
      </c>
      <c r="AD388" s="34">
        <f t="shared" si="172"/>
        <v>7</v>
      </c>
      <c r="AE388" s="34">
        <f t="shared" si="172"/>
        <v>7</v>
      </c>
      <c r="AF388" s="34">
        <f t="shared" si="172"/>
        <v>7</v>
      </c>
      <c r="AG388" s="34">
        <f t="shared" si="172"/>
        <v>7</v>
      </c>
      <c r="AH388" s="34">
        <f t="shared" si="172"/>
        <v>7</v>
      </c>
      <c r="AI388" s="34">
        <f t="shared" si="172"/>
        <v>7</v>
      </c>
      <c r="AJ388" s="34">
        <f t="shared" si="172"/>
        <v>7</v>
      </c>
      <c r="AK388" s="34">
        <f t="shared" si="172"/>
        <v>7</v>
      </c>
      <c r="AL388" s="34">
        <f t="shared" si="172"/>
        <v>7</v>
      </c>
      <c r="AM388" s="34">
        <f t="shared" si="172"/>
        <v>7</v>
      </c>
      <c r="AN388" s="34">
        <f t="shared" si="172"/>
        <v>7</v>
      </c>
      <c r="AO388" s="34">
        <f t="shared" si="172"/>
        <v>7</v>
      </c>
      <c r="AP388" s="54"/>
      <c r="AQ388" s="1"/>
    </row>
    <row r="389" ht="15.0" customHeight="1">
      <c r="A389" s="1"/>
      <c r="B389" s="58"/>
      <c r="C389" s="35"/>
      <c r="D389" s="35"/>
      <c r="E389" s="65" t="s">
        <v>24</v>
      </c>
      <c r="F389" s="36" t="s">
        <v>25</v>
      </c>
      <c r="G389" s="44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8"/>
      <c r="T389" s="37"/>
      <c r="U389" s="38"/>
      <c r="V389" s="37"/>
      <c r="W389" s="37"/>
      <c r="X389" s="37"/>
      <c r="Y389" s="37"/>
      <c r="Z389" s="37"/>
      <c r="AA389" s="37"/>
      <c r="AB389" s="37"/>
      <c r="AC389" s="37"/>
      <c r="AD389" s="38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9">
        <f t="shared" ref="AP389:AP396" si="173">SUM(H389:AO389)</f>
        <v>0</v>
      </c>
      <c r="AQ389" s="1"/>
    </row>
    <row r="390" ht="15.0" customHeight="1">
      <c r="A390" s="1"/>
      <c r="B390" s="58"/>
      <c r="C390" s="35"/>
      <c r="D390" s="35"/>
      <c r="E390" s="65" t="s">
        <v>155</v>
      </c>
      <c r="F390" s="36" t="s">
        <v>67</v>
      </c>
      <c r="G390" s="44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8"/>
      <c r="T390" s="37"/>
      <c r="U390" s="38"/>
      <c r="V390" s="37"/>
      <c r="W390" s="37"/>
      <c r="X390" s="37"/>
      <c r="Y390" s="37"/>
      <c r="Z390" s="37"/>
      <c r="AA390" s="37"/>
      <c r="AB390" s="37"/>
      <c r="AC390" s="37"/>
      <c r="AD390" s="38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9">
        <f t="shared" si="173"/>
        <v>0</v>
      </c>
      <c r="AQ390" s="1"/>
    </row>
    <row r="391" ht="15.0" customHeight="1">
      <c r="A391" s="1"/>
      <c r="B391" s="58"/>
      <c r="C391" s="35"/>
      <c r="D391" s="35"/>
      <c r="E391" s="65" t="s">
        <v>38</v>
      </c>
      <c r="F391" s="36" t="s">
        <v>67</v>
      </c>
      <c r="G391" s="44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8"/>
      <c r="T391" s="37"/>
      <c r="U391" s="38"/>
      <c r="V391" s="37"/>
      <c r="W391" s="37"/>
      <c r="X391" s="37"/>
      <c r="Y391" s="37"/>
      <c r="Z391" s="37"/>
      <c r="AA391" s="37"/>
      <c r="AB391" s="37"/>
      <c r="AC391" s="37"/>
      <c r="AD391" s="38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9">
        <f t="shared" si="173"/>
        <v>0</v>
      </c>
      <c r="AQ391" s="1"/>
    </row>
    <row r="392" ht="15.0" customHeight="1">
      <c r="A392" s="1"/>
      <c r="B392" s="58"/>
      <c r="C392" s="35"/>
      <c r="D392" s="35"/>
      <c r="E392" s="65" t="s">
        <v>94</v>
      </c>
      <c r="F392" s="36" t="s">
        <v>67</v>
      </c>
      <c r="G392" s="44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8"/>
      <c r="T392" s="37"/>
      <c r="U392" s="38"/>
      <c r="V392" s="37"/>
      <c r="W392" s="37"/>
      <c r="X392" s="37"/>
      <c r="Y392" s="37"/>
      <c r="Z392" s="37"/>
      <c r="AA392" s="37"/>
      <c r="AB392" s="37"/>
      <c r="AC392" s="37"/>
      <c r="AD392" s="38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9">
        <f t="shared" si="173"/>
        <v>0</v>
      </c>
      <c r="AQ392" s="1"/>
    </row>
    <row r="393" ht="15.0" customHeight="1">
      <c r="A393" s="1"/>
      <c r="B393" s="58"/>
      <c r="C393" s="35"/>
      <c r="D393" s="35"/>
      <c r="E393" s="65" t="s">
        <v>156</v>
      </c>
      <c r="F393" s="36" t="s">
        <v>67</v>
      </c>
      <c r="G393" s="44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8"/>
      <c r="T393" s="37"/>
      <c r="U393" s="38"/>
      <c r="V393" s="37"/>
      <c r="W393" s="37"/>
      <c r="X393" s="37"/>
      <c r="Y393" s="37"/>
      <c r="Z393" s="37"/>
      <c r="AA393" s="37"/>
      <c r="AB393" s="37"/>
      <c r="AC393" s="37"/>
      <c r="AD393" s="38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9">
        <f t="shared" si="173"/>
        <v>0</v>
      </c>
      <c r="AQ393" s="1"/>
    </row>
    <row r="394" ht="15.0" customHeight="1">
      <c r="A394" s="51"/>
      <c r="B394" s="58"/>
      <c r="C394" s="35"/>
      <c r="D394" s="35"/>
      <c r="E394" s="47"/>
      <c r="F394" s="40" t="s">
        <v>26</v>
      </c>
      <c r="G394" s="66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8"/>
      <c r="T394" s="49"/>
      <c r="U394" s="48"/>
      <c r="V394" s="49"/>
      <c r="W394" s="49"/>
      <c r="X394" s="49"/>
      <c r="Y394" s="49"/>
      <c r="Z394" s="49"/>
      <c r="AA394" s="49"/>
      <c r="AB394" s="49"/>
      <c r="AC394" s="49"/>
      <c r="AD394" s="48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50">
        <f t="shared" si="173"/>
        <v>0</v>
      </c>
      <c r="AQ394" s="51"/>
    </row>
    <row r="395" ht="15.0" customHeight="1">
      <c r="A395" s="1"/>
      <c r="B395" s="58"/>
      <c r="C395" s="35"/>
      <c r="D395" s="35"/>
      <c r="E395" s="65" t="s">
        <v>27</v>
      </c>
      <c r="F395" s="41" t="s">
        <v>28</v>
      </c>
      <c r="G395" s="44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8"/>
      <c r="T395" s="37"/>
      <c r="U395" s="38"/>
      <c r="V395" s="37"/>
      <c r="W395" s="37"/>
      <c r="X395" s="37"/>
      <c r="Y395" s="37"/>
      <c r="Z395" s="37"/>
      <c r="AA395" s="37"/>
      <c r="AB395" s="37"/>
      <c r="AC395" s="37"/>
      <c r="AD395" s="38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9">
        <f t="shared" si="173"/>
        <v>0</v>
      </c>
      <c r="AQ395" s="1"/>
    </row>
    <row r="396" ht="15.0" customHeight="1">
      <c r="A396" s="1"/>
      <c r="B396" s="58"/>
      <c r="C396" s="35"/>
      <c r="D396" s="35"/>
      <c r="E396" s="65"/>
      <c r="F396" s="41" t="s">
        <v>29</v>
      </c>
      <c r="G396" s="44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8"/>
      <c r="T396" s="37"/>
      <c r="U396" s="38"/>
      <c r="V396" s="37"/>
      <c r="W396" s="37"/>
      <c r="X396" s="37"/>
      <c r="Y396" s="37"/>
      <c r="Z396" s="37"/>
      <c r="AA396" s="37"/>
      <c r="AB396" s="37"/>
      <c r="AC396" s="37"/>
      <c r="AD396" s="38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9">
        <f t="shared" si="173"/>
        <v>0</v>
      </c>
      <c r="AQ396" s="1"/>
    </row>
    <row r="397" ht="15.75" customHeight="1">
      <c r="A397" s="1"/>
      <c r="B397" s="61"/>
      <c r="C397" s="42"/>
      <c r="D397" s="42"/>
      <c r="E397" s="67"/>
      <c r="F397" s="43" t="s">
        <v>30</v>
      </c>
      <c r="G397" s="44"/>
      <c r="H397" s="34">
        <f t="shared" ref="H397:AN397" si="174">H388+H389+H390+H391+H392+H393-H394+H395-H396</f>
        <v>7</v>
      </c>
      <c r="I397" s="34">
        <f t="shared" si="174"/>
        <v>7</v>
      </c>
      <c r="J397" s="34">
        <f t="shared" si="174"/>
        <v>7</v>
      </c>
      <c r="K397" s="34">
        <f t="shared" si="174"/>
        <v>7</v>
      </c>
      <c r="L397" s="34">
        <f t="shared" si="174"/>
        <v>7</v>
      </c>
      <c r="M397" s="34">
        <f t="shared" si="174"/>
        <v>7</v>
      </c>
      <c r="N397" s="34">
        <f t="shared" si="174"/>
        <v>7</v>
      </c>
      <c r="O397" s="34">
        <f t="shared" si="174"/>
        <v>7</v>
      </c>
      <c r="P397" s="34">
        <f t="shared" si="174"/>
        <v>7</v>
      </c>
      <c r="Q397" s="34">
        <f t="shared" si="174"/>
        <v>7</v>
      </c>
      <c r="R397" s="34">
        <f t="shared" si="174"/>
        <v>7</v>
      </c>
      <c r="S397" s="34">
        <f t="shared" si="174"/>
        <v>7</v>
      </c>
      <c r="T397" s="34">
        <f t="shared" si="174"/>
        <v>7</v>
      </c>
      <c r="U397" s="34">
        <f t="shared" si="174"/>
        <v>7</v>
      </c>
      <c r="V397" s="34">
        <f t="shared" si="174"/>
        <v>7</v>
      </c>
      <c r="W397" s="34">
        <f t="shared" si="174"/>
        <v>7</v>
      </c>
      <c r="X397" s="34">
        <f t="shared" si="174"/>
        <v>7</v>
      </c>
      <c r="Y397" s="34">
        <f t="shared" si="174"/>
        <v>7</v>
      </c>
      <c r="Z397" s="34">
        <f t="shared" si="174"/>
        <v>7</v>
      </c>
      <c r="AA397" s="34">
        <f t="shared" si="174"/>
        <v>7</v>
      </c>
      <c r="AB397" s="34">
        <f t="shared" si="174"/>
        <v>7</v>
      </c>
      <c r="AC397" s="34">
        <f t="shared" si="174"/>
        <v>7</v>
      </c>
      <c r="AD397" s="34">
        <f t="shared" si="174"/>
        <v>7</v>
      </c>
      <c r="AE397" s="34">
        <f t="shared" si="174"/>
        <v>7</v>
      </c>
      <c r="AF397" s="34">
        <f t="shared" si="174"/>
        <v>7</v>
      </c>
      <c r="AG397" s="34">
        <f t="shared" si="174"/>
        <v>7</v>
      </c>
      <c r="AH397" s="34">
        <f t="shared" si="174"/>
        <v>7</v>
      </c>
      <c r="AI397" s="34">
        <f t="shared" si="174"/>
        <v>7</v>
      </c>
      <c r="AJ397" s="34">
        <f t="shared" si="174"/>
        <v>7</v>
      </c>
      <c r="AK397" s="34">
        <f t="shared" si="174"/>
        <v>7</v>
      </c>
      <c r="AL397" s="34">
        <f t="shared" si="174"/>
        <v>7</v>
      </c>
      <c r="AM397" s="34">
        <f t="shared" si="174"/>
        <v>7</v>
      </c>
      <c r="AN397" s="34">
        <f t="shared" si="174"/>
        <v>7</v>
      </c>
      <c r="AO397" s="34"/>
      <c r="AP397" s="45">
        <f>AO388</f>
        <v>7</v>
      </c>
      <c r="AQ397" s="1"/>
    </row>
    <row r="398" ht="15.75" customHeight="1">
      <c r="A398" s="1"/>
      <c r="B398" s="56"/>
      <c r="C398" s="32" t="s">
        <v>157</v>
      </c>
      <c r="D398" s="32" t="s">
        <v>158</v>
      </c>
      <c r="E398" s="13"/>
      <c r="F398" s="41" t="s">
        <v>23</v>
      </c>
      <c r="G398" s="44"/>
      <c r="H398" s="34">
        <v>0.0</v>
      </c>
      <c r="I398" s="34">
        <f t="shared" ref="I398:AO398" si="175">H403</f>
        <v>0</v>
      </c>
      <c r="J398" s="34">
        <f t="shared" si="175"/>
        <v>0</v>
      </c>
      <c r="K398" s="34">
        <f t="shared" si="175"/>
        <v>0</v>
      </c>
      <c r="L398" s="34">
        <f t="shared" si="175"/>
        <v>0</v>
      </c>
      <c r="M398" s="34">
        <f t="shared" si="175"/>
        <v>0</v>
      </c>
      <c r="N398" s="34">
        <f t="shared" si="175"/>
        <v>0</v>
      </c>
      <c r="O398" s="34">
        <f t="shared" si="175"/>
        <v>0</v>
      </c>
      <c r="P398" s="34">
        <f t="shared" si="175"/>
        <v>0</v>
      </c>
      <c r="Q398" s="34">
        <f t="shared" si="175"/>
        <v>0</v>
      </c>
      <c r="R398" s="34">
        <f t="shared" si="175"/>
        <v>0</v>
      </c>
      <c r="S398" s="34">
        <f t="shared" si="175"/>
        <v>0</v>
      </c>
      <c r="T398" s="34">
        <f t="shared" si="175"/>
        <v>0</v>
      </c>
      <c r="U398" s="34">
        <f t="shared" si="175"/>
        <v>0</v>
      </c>
      <c r="V398" s="34">
        <f t="shared" si="175"/>
        <v>0</v>
      </c>
      <c r="W398" s="34">
        <f t="shared" si="175"/>
        <v>0</v>
      </c>
      <c r="X398" s="34">
        <f t="shared" si="175"/>
        <v>0</v>
      </c>
      <c r="Y398" s="34">
        <f t="shared" si="175"/>
        <v>0</v>
      </c>
      <c r="Z398" s="34">
        <f t="shared" si="175"/>
        <v>0</v>
      </c>
      <c r="AA398" s="34">
        <f t="shared" si="175"/>
        <v>0</v>
      </c>
      <c r="AB398" s="34">
        <f t="shared" si="175"/>
        <v>0</v>
      </c>
      <c r="AC398" s="34">
        <f t="shared" si="175"/>
        <v>0</v>
      </c>
      <c r="AD398" s="34">
        <f t="shared" si="175"/>
        <v>0</v>
      </c>
      <c r="AE398" s="34">
        <f t="shared" si="175"/>
        <v>0</v>
      </c>
      <c r="AF398" s="34">
        <f t="shared" si="175"/>
        <v>0</v>
      </c>
      <c r="AG398" s="34">
        <f t="shared" si="175"/>
        <v>0</v>
      </c>
      <c r="AH398" s="34">
        <f t="shared" si="175"/>
        <v>0</v>
      </c>
      <c r="AI398" s="34">
        <f t="shared" si="175"/>
        <v>0</v>
      </c>
      <c r="AJ398" s="34">
        <f t="shared" si="175"/>
        <v>0</v>
      </c>
      <c r="AK398" s="34">
        <f t="shared" si="175"/>
        <v>0</v>
      </c>
      <c r="AL398" s="34">
        <f t="shared" si="175"/>
        <v>0</v>
      </c>
      <c r="AM398" s="34">
        <f t="shared" si="175"/>
        <v>0</v>
      </c>
      <c r="AN398" s="34">
        <f t="shared" si="175"/>
        <v>0</v>
      </c>
      <c r="AO398" s="34">
        <f t="shared" si="175"/>
        <v>0</v>
      </c>
      <c r="AP398" s="54"/>
      <c r="AQ398" s="1"/>
    </row>
    <row r="399" ht="15.75" customHeight="1">
      <c r="A399" s="1"/>
      <c r="B399" s="58"/>
      <c r="C399" s="35"/>
      <c r="D399" s="35"/>
      <c r="E399" s="33" t="s">
        <v>24</v>
      </c>
      <c r="F399" s="59" t="s">
        <v>25</v>
      </c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8"/>
      <c r="T399" s="37"/>
      <c r="U399" s="38"/>
      <c r="V399" s="37"/>
      <c r="W399" s="37"/>
      <c r="X399" s="37"/>
      <c r="Y399" s="37"/>
      <c r="Z399" s="37"/>
      <c r="AA399" s="37"/>
      <c r="AB399" s="37"/>
      <c r="AC399" s="37"/>
      <c r="AD399" s="38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9">
        <f t="shared" ref="AP399:AP402" si="176">SUM(H399:AO399)</f>
        <v>0</v>
      </c>
      <c r="AQ399" s="1"/>
    </row>
    <row r="400" ht="15.75" customHeight="1">
      <c r="A400" s="1"/>
      <c r="B400" s="58"/>
      <c r="C400" s="35"/>
      <c r="D400" s="35"/>
      <c r="E400" s="33"/>
      <c r="F400" s="60" t="s">
        <v>26</v>
      </c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8"/>
      <c r="T400" s="37"/>
      <c r="U400" s="38"/>
      <c r="V400" s="37"/>
      <c r="W400" s="37"/>
      <c r="X400" s="37"/>
      <c r="Y400" s="37"/>
      <c r="Z400" s="37"/>
      <c r="AA400" s="37"/>
      <c r="AB400" s="37"/>
      <c r="AC400" s="37"/>
      <c r="AD400" s="38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9">
        <f t="shared" si="176"/>
        <v>0</v>
      </c>
      <c r="AQ400" s="1"/>
    </row>
    <row r="401" ht="15.75" customHeight="1">
      <c r="A401" s="1"/>
      <c r="B401" s="58"/>
      <c r="C401" s="35"/>
      <c r="D401" s="35"/>
      <c r="E401" s="33" t="s">
        <v>27</v>
      </c>
      <c r="F401" s="41" t="s">
        <v>28</v>
      </c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8"/>
      <c r="T401" s="37"/>
      <c r="U401" s="38"/>
      <c r="V401" s="37"/>
      <c r="W401" s="37"/>
      <c r="X401" s="37"/>
      <c r="Y401" s="37"/>
      <c r="Z401" s="37"/>
      <c r="AA401" s="37"/>
      <c r="AB401" s="37"/>
      <c r="AC401" s="37"/>
      <c r="AD401" s="38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9">
        <f t="shared" si="176"/>
        <v>0</v>
      </c>
      <c r="AQ401" s="1"/>
    </row>
    <row r="402" ht="15.75" customHeight="1">
      <c r="A402" s="1"/>
      <c r="B402" s="58"/>
      <c r="C402" s="35"/>
      <c r="D402" s="35"/>
      <c r="E402" s="33"/>
      <c r="F402" s="21" t="s">
        <v>29</v>
      </c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8"/>
      <c r="T402" s="37"/>
      <c r="U402" s="38"/>
      <c r="V402" s="37"/>
      <c r="W402" s="37"/>
      <c r="X402" s="37"/>
      <c r="Y402" s="37"/>
      <c r="Z402" s="37"/>
      <c r="AA402" s="37"/>
      <c r="AB402" s="37"/>
      <c r="AC402" s="37"/>
      <c r="AD402" s="38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9">
        <f t="shared" si="176"/>
        <v>0</v>
      </c>
      <c r="AQ402" s="1"/>
    </row>
    <row r="403" ht="15.75" customHeight="1">
      <c r="A403" s="1"/>
      <c r="B403" s="61"/>
      <c r="C403" s="42"/>
      <c r="D403" s="42"/>
      <c r="E403" s="52"/>
      <c r="F403" s="62" t="s">
        <v>30</v>
      </c>
      <c r="G403" s="44"/>
      <c r="H403" s="34">
        <f t="shared" ref="H403:AN403" si="177">H398+H399-H400+H401-H402</f>
        <v>0</v>
      </c>
      <c r="I403" s="34">
        <f t="shared" si="177"/>
        <v>0</v>
      </c>
      <c r="J403" s="34">
        <f t="shared" si="177"/>
        <v>0</v>
      </c>
      <c r="K403" s="34">
        <f t="shared" si="177"/>
        <v>0</v>
      </c>
      <c r="L403" s="34">
        <f t="shared" si="177"/>
        <v>0</v>
      </c>
      <c r="M403" s="34">
        <f t="shared" si="177"/>
        <v>0</v>
      </c>
      <c r="N403" s="34">
        <f t="shared" si="177"/>
        <v>0</v>
      </c>
      <c r="O403" s="34">
        <f t="shared" si="177"/>
        <v>0</v>
      </c>
      <c r="P403" s="34">
        <f t="shared" si="177"/>
        <v>0</v>
      </c>
      <c r="Q403" s="34">
        <f t="shared" si="177"/>
        <v>0</v>
      </c>
      <c r="R403" s="34">
        <f t="shared" si="177"/>
        <v>0</v>
      </c>
      <c r="S403" s="34">
        <f t="shared" si="177"/>
        <v>0</v>
      </c>
      <c r="T403" s="34">
        <f t="shared" si="177"/>
        <v>0</v>
      </c>
      <c r="U403" s="34">
        <f t="shared" si="177"/>
        <v>0</v>
      </c>
      <c r="V403" s="34">
        <f t="shared" si="177"/>
        <v>0</v>
      </c>
      <c r="W403" s="34">
        <f t="shared" si="177"/>
        <v>0</v>
      </c>
      <c r="X403" s="34">
        <f t="shared" si="177"/>
        <v>0</v>
      </c>
      <c r="Y403" s="34">
        <f t="shared" si="177"/>
        <v>0</v>
      </c>
      <c r="Z403" s="34">
        <f t="shared" si="177"/>
        <v>0</v>
      </c>
      <c r="AA403" s="34">
        <f t="shared" si="177"/>
        <v>0</v>
      </c>
      <c r="AB403" s="34">
        <f t="shared" si="177"/>
        <v>0</v>
      </c>
      <c r="AC403" s="34">
        <f t="shared" si="177"/>
        <v>0</v>
      </c>
      <c r="AD403" s="34">
        <f t="shared" si="177"/>
        <v>0</v>
      </c>
      <c r="AE403" s="34">
        <f t="shared" si="177"/>
        <v>0</v>
      </c>
      <c r="AF403" s="34">
        <f t="shared" si="177"/>
        <v>0</v>
      </c>
      <c r="AG403" s="34">
        <f t="shared" si="177"/>
        <v>0</v>
      </c>
      <c r="AH403" s="34">
        <f t="shared" si="177"/>
        <v>0</v>
      </c>
      <c r="AI403" s="34">
        <f t="shared" si="177"/>
        <v>0</v>
      </c>
      <c r="AJ403" s="34">
        <f t="shared" si="177"/>
        <v>0</v>
      </c>
      <c r="AK403" s="34">
        <f t="shared" si="177"/>
        <v>0</v>
      </c>
      <c r="AL403" s="34">
        <f t="shared" si="177"/>
        <v>0</v>
      </c>
      <c r="AM403" s="34">
        <f t="shared" si="177"/>
        <v>0</v>
      </c>
      <c r="AN403" s="34">
        <f t="shared" si="177"/>
        <v>0</v>
      </c>
      <c r="AO403" s="34"/>
      <c r="AP403" s="45">
        <f>AO398</f>
        <v>0</v>
      </c>
      <c r="AQ403" s="1"/>
    </row>
    <row r="404" ht="15.75" customHeight="1">
      <c r="A404" s="1"/>
      <c r="B404" s="56"/>
      <c r="C404" s="32" t="s">
        <v>159</v>
      </c>
      <c r="D404" s="32" t="s">
        <v>160</v>
      </c>
      <c r="E404" s="13"/>
      <c r="F404" s="41" t="s">
        <v>23</v>
      </c>
      <c r="G404" s="44"/>
      <c r="H404" s="34">
        <v>0.0</v>
      </c>
      <c r="I404" s="34">
        <f t="shared" ref="I404:AO404" si="178">H409</f>
        <v>0</v>
      </c>
      <c r="J404" s="34">
        <f t="shared" si="178"/>
        <v>0</v>
      </c>
      <c r="K404" s="34">
        <f t="shared" si="178"/>
        <v>0</v>
      </c>
      <c r="L404" s="34">
        <f t="shared" si="178"/>
        <v>0</v>
      </c>
      <c r="M404" s="34">
        <f t="shared" si="178"/>
        <v>0</v>
      </c>
      <c r="N404" s="34">
        <f t="shared" si="178"/>
        <v>0</v>
      </c>
      <c r="O404" s="34">
        <f t="shared" si="178"/>
        <v>0</v>
      </c>
      <c r="P404" s="34">
        <f t="shared" si="178"/>
        <v>0</v>
      </c>
      <c r="Q404" s="34">
        <f t="shared" si="178"/>
        <v>0</v>
      </c>
      <c r="R404" s="34">
        <f t="shared" si="178"/>
        <v>0</v>
      </c>
      <c r="S404" s="34">
        <f t="shared" si="178"/>
        <v>0</v>
      </c>
      <c r="T404" s="34">
        <f t="shared" si="178"/>
        <v>0</v>
      </c>
      <c r="U404" s="34">
        <f t="shared" si="178"/>
        <v>0</v>
      </c>
      <c r="V404" s="34">
        <f t="shared" si="178"/>
        <v>0</v>
      </c>
      <c r="W404" s="34">
        <f t="shared" si="178"/>
        <v>0</v>
      </c>
      <c r="X404" s="34">
        <f t="shared" si="178"/>
        <v>0</v>
      </c>
      <c r="Y404" s="34">
        <f t="shared" si="178"/>
        <v>0</v>
      </c>
      <c r="Z404" s="34">
        <f t="shared" si="178"/>
        <v>0</v>
      </c>
      <c r="AA404" s="34">
        <f t="shared" si="178"/>
        <v>0</v>
      </c>
      <c r="AB404" s="34">
        <f t="shared" si="178"/>
        <v>0</v>
      </c>
      <c r="AC404" s="34">
        <f t="shared" si="178"/>
        <v>0</v>
      </c>
      <c r="AD404" s="34">
        <f t="shared" si="178"/>
        <v>0</v>
      </c>
      <c r="AE404" s="34">
        <f t="shared" si="178"/>
        <v>0</v>
      </c>
      <c r="AF404" s="34">
        <f t="shared" si="178"/>
        <v>0</v>
      </c>
      <c r="AG404" s="34">
        <f t="shared" si="178"/>
        <v>0</v>
      </c>
      <c r="AH404" s="34">
        <f t="shared" si="178"/>
        <v>0</v>
      </c>
      <c r="AI404" s="34">
        <f t="shared" si="178"/>
        <v>0</v>
      </c>
      <c r="AJ404" s="34">
        <f t="shared" si="178"/>
        <v>0</v>
      </c>
      <c r="AK404" s="34">
        <f t="shared" si="178"/>
        <v>0</v>
      </c>
      <c r="AL404" s="34">
        <f t="shared" si="178"/>
        <v>0</v>
      </c>
      <c r="AM404" s="34">
        <f t="shared" si="178"/>
        <v>0</v>
      </c>
      <c r="AN404" s="34">
        <f t="shared" si="178"/>
        <v>0</v>
      </c>
      <c r="AO404" s="34">
        <f t="shared" si="178"/>
        <v>0</v>
      </c>
      <c r="AP404" s="54"/>
      <c r="AQ404" s="1"/>
    </row>
    <row r="405" ht="15.75" customHeight="1">
      <c r="A405" s="1"/>
      <c r="B405" s="58"/>
      <c r="C405" s="35"/>
      <c r="D405" s="35"/>
      <c r="E405" s="33" t="s">
        <v>24</v>
      </c>
      <c r="F405" s="59" t="s">
        <v>25</v>
      </c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8"/>
      <c r="T405" s="37"/>
      <c r="U405" s="38"/>
      <c r="V405" s="37"/>
      <c r="W405" s="37"/>
      <c r="X405" s="37"/>
      <c r="Y405" s="37"/>
      <c r="Z405" s="37"/>
      <c r="AA405" s="37"/>
      <c r="AB405" s="37"/>
      <c r="AC405" s="37"/>
      <c r="AD405" s="38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9">
        <f t="shared" ref="AP405:AP408" si="179">SUM(H405:AO405)</f>
        <v>0</v>
      </c>
      <c r="AQ405" s="1"/>
    </row>
    <row r="406" ht="15.75" customHeight="1">
      <c r="A406" s="1"/>
      <c r="B406" s="58"/>
      <c r="C406" s="35"/>
      <c r="D406" s="35"/>
      <c r="E406" s="33"/>
      <c r="F406" s="60" t="s">
        <v>26</v>
      </c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8"/>
      <c r="T406" s="37"/>
      <c r="U406" s="38"/>
      <c r="V406" s="37"/>
      <c r="W406" s="37"/>
      <c r="X406" s="37"/>
      <c r="Y406" s="37"/>
      <c r="Z406" s="37"/>
      <c r="AA406" s="37"/>
      <c r="AB406" s="37"/>
      <c r="AC406" s="37"/>
      <c r="AD406" s="38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9">
        <f t="shared" si="179"/>
        <v>0</v>
      </c>
      <c r="AQ406" s="1"/>
    </row>
    <row r="407" ht="15.75" customHeight="1">
      <c r="A407" s="1"/>
      <c r="B407" s="58"/>
      <c r="C407" s="35"/>
      <c r="D407" s="35"/>
      <c r="E407" s="33" t="s">
        <v>27</v>
      </c>
      <c r="F407" s="41" t="s">
        <v>28</v>
      </c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8"/>
      <c r="T407" s="37"/>
      <c r="U407" s="38"/>
      <c r="V407" s="37"/>
      <c r="W407" s="37"/>
      <c r="X407" s="37"/>
      <c r="Y407" s="37"/>
      <c r="Z407" s="37"/>
      <c r="AA407" s="37"/>
      <c r="AB407" s="37"/>
      <c r="AC407" s="37"/>
      <c r="AD407" s="38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9">
        <f t="shared" si="179"/>
        <v>0</v>
      </c>
      <c r="AQ407" s="1"/>
    </row>
    <row r="408" ht="15.75" customHeight="1">
      <c r="A408" s="1"/>
      <c r="B408" s="58"/>
      <c r="C408" s="35"/>
      <c r="D408" s="35"/>
      <c r="E408" s="33"/>
      <c r="F408" s="21" t="s">
        <v>29</v>
      </c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8"/>
      <c r="T408" s="37"/>
      <c r="U408" s="38"/>
      <c r="V408" s="37"/>
      <c r="W408" s="37"/>
      <c r="X408" s="37"/>
      <c r="Y408" s="37"/>
      <c r="Z408" s="37"/>
      <c r="AA408" s="37"/>
      <c r="AB408" s="37"/>
      <c r="AC408" s="37"/>
      <c r="AD408" s="38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9">
        <f t="shared" si="179"/>
        <v>0</v>
      </c>
      <c r="AQ408" s="1"/>
    </row>
    <row r="409" ht="15.75" customHeight="1">
      <c r="A409" s="1"/>
      <c r="B409" s="61"/>
      <c r="C409" s="42"/>
      <c r="D409" s="42"/>
      <c r="E409" s="52"/>
      <c r="F409" s="34" t="s">
        <v>30</v>
      </c>
      <c r="G409" s="44"/>
      <c r="H409" s="34">
        <f t="shared" ref="H409:AN409" si="180">H404+H405-H406+H407-H408</f>
        <v>0</v>
      </c>
      <c r="I409" s="34">
        <f t="shared" si="180"/>
        <v>0</v>
      </c>
      <c r="J409" s="34">
        <f t="shared" si="180"/>
        <v>0</v>
      </c>
      <c r="K409" s="34">
        <f t="shared" si="180"/>
        <v>0</v>
      </c>
      <c r="L409" s="34">
        <f t="shared" si="180"/>
        <v>0</v>
      </c>
      <c r="M409" s="34">
        <f t="shared" si="180"/>
        <v>0</v>
      </c>
      <c r="N409" s="34">
        <f t="shared" si="180"/>
        <v>0</v>
      </c>
      <c r="O409" s="34">
        <f t="shared" si="180"/>
        <v>0</v>
      </c>
      <c r="P409" s="34">
        <f t="shared" si="180"/>
        <v>0</v>
      </c>
      <c r="Q409" s="34">
        <f t="shared" si="180"/>
        <v>0</v>
      </c>
      <c r="R409" s="34">
        <f t="shared" si="180"/>
        <v>0</v>
      </c>
      <c r="S409" s="34">
        <f t="shared" si="180"/>
        <v>0</v>
      </c>
      <c r="T409" s="34">
        <f t="shared" si="180"/>
        <v>0</v>
      </c>
      <c r="U409" s="34">
        <f t="shared" si="180"/>
        <v>0</v>
      </c>
      <c r="V409" s="34">
        <f t="shared" si="180"/>
        <v>0</v>
      </c>
      <c r="W409" s="34">
        <f t="shared" si="180"/>
        <v>0</v>
      </c>
      <c r="X409" s="34">
        <f t="shared" si="180"/>
        <v>0</v>
      </c>
      <c r="Y409" s="34">
        <f t="shared" si="180"/>
        <v>0</v>
      </c>
      <c r="Z409" s="34">
        <f t="shared" si="180"/>
        <v>0</v>
      </c>
      <c r="AA409" s="34">
        <f t="shared" si="180"/>
        <v>0</v>
      </c>
      <c r="AB409" s="34">
        <f t="shared" si="180"/>
        <v>0</v>
      </c>
      <c r="AC409" s="34">
        <f t="shared" si="180"/>
        <v>0</v>
      </c>
      <c r="AD409" s="34">
        <f t="shared" si="180"/>
        <v>0</v>
      </c>
      <c r="AE409" s="34">
        <f t="shared" si="180"/>
        <v>0</v>
      </c>
      <c r="AF409" s="34">
        <f t="shared" si="180"/>
        <v>0</v>
      </c>
      <c r="AG409" s="34">
        <f t="shared" si="180"/>
        <v>0</v>
      </c>
      <c r="AH409" s="34">
        <f t="shared" si="180"/>
        <v>0</v>
      </c>
      <c r="AI409" s="34">
        <f t="shared" si="180"/>
        <v>0</v>
      </c>
      <c r="AJ409" s="34">
        <f t="shared" si="180"/>
        <v>0</v>
      </c>
      <c r="AK409" s="34">
        <f t="shared" si="180"/>
        <v>0</v>
      </c>
      <c r="AL409" s="34">
        <f t="shared" si="180"/>
        <v>0</v>
      </c>
      <c r="AM409" s="34">
        <f t="shared" si="180"/>
        <v>0</v>
      </c>
      <c r="AN409" s="34">
        <f t="shared" si="180"/>
        <v>0</v>
      </c>
      <c r="AO409" s="34"/>
      <c r="AP409" s="45">
        <f>AO404</f>
        <v>0</v>
      </c>
      <c r="AQ409" s="1"/>
    </row>
    <row r="410" ht="15.75" customHeight="1">
      <c r="A410" s="1"/>
      <c r="B410" s="56"/>
      <c r="C410" s="32" t="s">
        <v>161</v>
      </c>
      <c r="D410" s="57" t="s">
        <v>162</v>
      </c>
      <c r="E410" s="13"/>
      <c r="F410" s="41" t="s">
        <v>23</v>
      </c>
      <c r="G410" s="44"/>
      <c r="H410" s="34"/>
      <c r="I410" s="34">
        <f t="shared" ref="I410:AO410" si="181">H415</f>
        <v>0</v>
      </c>
      <c r="J410" s="34">
        <f t="shared" si="181"/>
        <v>0</v>
      </c>
      <c r="K410" s="34">
        <f t="shared" si="181"/>
        <v>0</v>
      </c>
      <c r="L410" s="34">
        <f t="shared" si="181"/>
        <v>0</v>
      </c>
      <c r="M410" s="34">
        <f t="shared" si="181"/>
        <v>0</v>
      </c>
      <c r="N410" s="34">
        <f t="shared" si="181"/>
        <v>0</v>
      </c>
      <c r="O410" s="34">
        <f t="shared" si="181"/>
        <v>0</v>
      </c>
      <c r="P410" s="34">
        <f t="shared" si="181"/>
        <v>0</v>
      </c>
      <c r="Q410" s="34">
        <f t="shared" si="181"/>
        <v>0</v>
      </c>
      <c r="R410" s="34">
        <f t="shared" si="181"/>
        <v>0</v>
      </c>
      <c r="S410" s="34">
        <f t="shared" si="181"/>
        <v>0</v>
      </c>
      <c r="T410" s="34">
        <f t="shared" si="181"/>
        <v>0</v>
      </c>
      <c r="U410" s="34">
        <f t="shared" si="181"/>
        <v>0</v>
      </c>
      <c r="V410" s="34">
        <f t="shared" si="181"/>
        <v>0</v>
      </c>
      <c r="W410" s="34">
        <f t="shared" si="181"/>
        <v>0</v>
      </c>
      <c r="X410" s="34">
        <f t="shared" si="181"/>
        <v>0</v>
      </c>
      <c r="Y410" s="34">
        <f t="shared" si="181"/>
        <v>0</v>
      </c>
      <c r="Z410" s="34">
        <f t="shared" si="181"/>
        <v>0</v>
      </c>
      <c r="AA410" s="34">
        <f t="shared" si="181"/>
        <v>0</v>
      </c>
      <c r="AB410" s="34">
        <f t="shared" si="181"/>
        <v>0</v>
      </c>
      <c r="AC410" s="34">
        <f t="shared" si="181"/>
        <v>0</v>
      </c>
      <c r="AD410" s="34">
        <f t="shared" si="181"/>
        <v>0</v>
      </c>
      <c r="AE410" s="34">
        <f t="shared" si="181"/>
        <v>0</v>
      </c>
      <c r="AF410" s="34">
        <f t="shared" si="181"/>
        <v>0</v>
      </c>
      <c r="AG410" s="34">
        <f t="shared" si="181"/>
        <v>0</v>
      </c>
      <c r="AH410" s="34">
        <f t="shared" si="181"/>
        <v>0</v>
      </c>
      <c r="AI410" s="34">
        <f t="shared" si="181"/>
        <v>0</v>
      </c>
      <c r="AJ410" s="34">
        <f t="shared" si="181"/>
        <v>0</v>
      </c>
      <c r="AK410" s="34">
        <f t="shared" si="181"/>
        <v>0</v>
      </c>
      <c r="AL410" s="34">
        <f t="shared" si="181"/>
        <v>0</v>
      </c>
      <c r="AM410" s="34">
        <f t="shared" si="181"/>
        <v>0</v>
      </c>
      <c r="AN410" s="34">
        <f t="shared" si="181"/>
        <v>0</v>
      </c>
      <c r="AO410" s="34">
        <f t="shared" si="181"/>
        <v>0</v>
      </c>
      <c r="AP410" s="54"/>
      <c r="AQ410" s="1"/>
    </row>
    <row r="411" ht="15.75" customHeight="1">
      <c r="A411" s="1"/>
      <c r="B411" s="58"/>
      <c r="C411" s="35"/>
      <c r="D411" s="35"/>
      <c r="E411" s="33" t="s">
        <v>24</v>
      </c>
      <c r="F411" s="59" t="s">
        <v>25</v>
      </c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8"/>
      <c r="T411" s="37"/>
      <c r="U411" s="38"/>
      <c r="V411" s="37"/>
      <c r="W411" s="37"/>
      <c r="X411" s="37"/>
      <c r="Y411" s="37"/>
      <c r="Z411" s="37"/>
      <c r="AA411" s="37"/>
      <c r="AB411" s="37"/>
      <c r="AC411" s="37"/>
      <c r="AD411" s="38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9">
        <f t="shared" ref="AP411:AP414" si="182">SUM(H411:AO411)</f>
        <v>0</v>
      </c>
      <c r="AQ411" s="1"/>
    </row>
    <row r="412" ht="15.75" customHeight="1">
      <c r="A412" s="51"/>
      <c r="B412" s="58"/>
      <c r="C412" s="35"/>
      <c r="D412" s="35"/>
      <c r="E412" s="47"/>
      <c r="F412" s="60" t="s">
        <v>26</v>
      </c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8"/>
      <c r="T412" s="48"/>
      <c r="U412" s="48"/>
      <c r="V412" s="49"/>
      <c r="W412" s="49"/>
      <c r="X412" s="49"/>
      <c r="Y412" s="49"/>
      <c r="Z412" s="49"/>
      <c r="AA412" s="49"/>
      <c r="AB412" s="49"/>
      <c r="AC412" s="49"/>
      <c r="AD412" s="48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50">
        <f t="shared" si="182"/>
        <v>0</v>
      </c>
      <c r="AQ412" s="51"/>
    </row>
    <row r="413" ht="15.75" customHeight="1">
      <c r="A413" s="1"/>
      <c r="B413" s="58"/>
      <c r="C413" s="35"/>
      <c r="D413" s="35"/>
      <c r="E413" s="33" t="s">
        <v>27</v>
      </c>
      <c r="F413" s="41" t="s">
        <v>28</v>
      </c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8"/>
      <c r="T413" s="37"/>
      <c r="U413" s="38"/>
      <c r="V413" s="37"/>
      <c r="W413" s="37"/>
      <c r="X413" s="37"/>
      <c r="Y413" s="37"/>
      <c r="Z413" s="37"/>
      <c r="AA413" s="37"/>
      <c r="AB413" s="37"/>
      <c r="AC413" s="37"/>
      <c r="AD413" s="38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9">
        <f t="shared" si="182"/>
        <v>0</v>
      </c>
      <c r="AQ413" s="1"/>
    </row>
    <row r="414" ht="15.75" customHeight="1">
      <c r="A414" s="1"/>
      <c r="B414" s="58"/>
      <c r="C414" s="35"/>
      <c r="D414" s="35"/>
      <c r="E414" s="33"/>
      <c r="F414" s="41" t="s">
        <v>29</v>
      </c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8"/>
      <c r="T414" s="37"/>
      <c r="U414" s="38"/>
      <c r="V414" s="37"/>
      <c r="W414" s="37"/>
      <c r="X414" s="37"/>
      <c r="Y414" s="37"/>
      <c r="Z414" s="37"/>
      <c r="AA414" s="37"/>
      <c r="AB414" s="37"/>
      <c r="AC414" s="37"/>
      <c r="AD414" s="38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9">
        <f t="shared" si="182"/>
        <v>0</v>
      </c>
      <c r="AQ414" s="1"/>
    </row>
    <row r="415" ht="15.75" customHeight="1">
      <c r="A415" s="1"/>
      <c r="B415" s="61"/>
      <c r="C415" s="42"/>
      <c r="D415" s="42"/>
      <c r="E415" s="52"/>
      <c r="F415" s="62" t="s">
        <v>30</v>
      </c>
      <c r="G415" s="44"/>
      <c r="H415" s="34">
        <f t="shared" ref="H415:AN415" si="183">H410+H411-H412+H413-H414</f>
        <v>0</v>
      </c>
      <c r="I415" s="34">
        <f t="shared" si="183"/>
        <v>0</v>
      </c>
      <c r="J415" s="34">
        <f t="shared" si="183"/>
        <v>0</v>
      </c>
      <c r="K415" s="34">
        <f t="shared" si="183"/>
        <v>0</v>
      </c>
      <c r="L415" s="34">
        <f t="shared" si="183"/>
        <v>0</v>
      </c>
      <c r="M415" s="34">
        <f t="shared" si="183"/>
        <v>0</v>
      </c>
      <c r="N415" s="34">
        <f t="shared" si="183"/>
        <v>0</v>
      </c>
      <c r="O415" s="34">
        <f t="shared" si="183"/>
        <v>0</v>
      </c>
      <c r="P415" s="34">
        <f t="shared" si="183"/>
        <v>0</v>
      </c>
      <c r="Q415" s="34">
        <f t="shared" si="183"/>
        <v>0</v>
      </c>
      <c r="R415" s="34">
        <f t="shared" si="183"/>
        <v>0</v>
      </c>
      <c r="S415" s="34">
        <f t="shared" si="183"/>
        <v>0</v>
      </c>
      <c r="T415" s="34">
        <f t="shared" si="183"/>
        <v>0</v>
      </c>
      <c r="U415" s="34">
        <f t="shared" si="183"/>
        <v>0</v>
      </c>
      <c r="V415" s="34">
        <f t="shared" si="183"/>
        <v>0</v>
      </c>
      <c r="W415" s="34">
        <f t="shared" si="183"/>
        <v>0</v>
      </c>
      <c r="X415" s="34">
        <f t="shared" si="183"/>
        <v>0</v>
      </c>
      <c r="Y415" s="34">
        <f t="shared" si="183"/>
        <v>0</v>
      </c>
      <c r="Z415" s="34">
        <f t="shared" si="183"/>
        <v>0</v>
      </c>
      <c r="AA415" s="34">
        <f t="shared" si="183"/>
        <v>0</v>
      </c>
      <c r="AB415" s="34">
        <f t="shared" si="183"/>
        <v>0</v>
      </c>
      <c r="AC415" s="34">
        <f t="shared" si="183"/>
        <v>0</v>
      </c>
      <c r="AD415" s="34">
        <f t="shared" si="183"/>
        <v>0</v>
      </c>
      <c r="AE415" s="34">
        <f t="shared" si="183"/>
        <v>0</v>
      </c>
      <c r="AF415" s="34">
        <f t="shared" si="183"/>
        <v>0</v>
      </c>
      <c r="AG415" s="34">
        <f t="shared" si="183"/>
        <v>0</v>
      </c>
      <c r="AH415" s="34">
        <f t="shared" si="183"/>
        <v>0</v>
      </c>
      <c r="AI415" s="34">
        <f t="shared" si="183"/>
        <v>0</v>
      </c>
      <c r="AJ415" s="34">
        <f t="shared" si="183"/>
        <v>0</v>
      </c>
      <c r="AK415" s="34">
        <f t="shared" si="183"/>
        <v>0</v>
      </c>
      <c r="AL415" s="34">
        <f t="shared" si="183"/>
        <v>0</v>
      </c>
      <c r="AM415" s="34">
        <f t="shared" si="183"/>
        <v>0</v>
      </c>
      <c r="AN415" s="34">
        <f t="shared" si="183"/>
        <v>0</v>
      </c>
      <c r="AO415" s="34"/>
      <c r="AP415" s="45">
        <f>AO410</f>
        <v>0</v>
      </c>
      <c r="AQ415" s="1"/>
    </row>
    <row r="416" ht="15.75" customHeight="1">
      <c r="A416" s="1"/>
      <c r="B416" s="85"/>
      <c r="C416" s="32" t="s">
        <v>163</v>
      </c>
      <c r="D416" s="57" t="s">
        <v>164</v>
      </c>
      <c r="E416" s="33"/>
      <c r="F416" s="41" t="s">
        <v>23</v>
      </c>
      <c r="G416" s="44"/>
      <c r="H416" s="34">
        <v>2.0</v>
      </c>
      <c r="I416" s="34">
        <f t="shared" ref="I416:AO416" si="184">H421</f>
        <v>2</v>
      </c>
      <c r="J416" s="34">
        <f t="shared" si="184"/>
        <v>2</v>
      </c>
      <c r="K416" s="34">
        <f t="shared" si="184"/>
        <v>2</v>
      </c>
      <c r="L416" s="34">
        <f t="shared" si="184"/>
        <v>2</v>
      </c>
      <c r="M416" s="34">
        <f t="shared" si="184"/>
        <v>2</v>
      </c>
      <c r="N416" s="34">
        <f t="shared" si="184"/>
        <v>2</v>
      </c>
      <c r="O416" s="34">
        <f t="shared" si="184"/>
        <v>2</v>
      </c>
      <c r="P416" s="34">
        <f t="shared" si="184"/>
        <v>2</v>
      </c>
      <c r="Q416" s="34">
        <f t="shared" si="184"/>
        <v>2</v>
      </c>
      <c r="R416" s="34">
        <f t="shared" si="184"/>
        <v>2</v>
      </c>
      <c r="S416" s="34">
        <f t="shared" si="184"/>
        <v>2</v>
      </c>
      <c r="T416" s="34">
        <f t="shared" si="184"/>
        <v>2</v>
      </c>
      <c r="U416" s="34">
        <f t="shared" si="184"/>
        <v>2</v>
      </c>
      <c r="V416" s="34">
        <f t="shared" si="184"/>
        <v>2</v>
      </c>
      <c r="W416" s="34">
        <f t="shared" si="184"/>
        <v>2</v>
      </c>
      <c r="X416" s="34">
        <f t="shared" si="184"/>
        <v>2</v>
      </c>
      <c r="Y416" s="34">
        <f t="shared" si="184"/>
        <v>2</v>
      </c>
      <c r="Z416" s="34">
        <f t="shared" si="184"/>
        <v>2</v>
      </c>
      <c r="AA416" s="34">
        <f t="shared" si="184"/>
        <v>2</v>
      </c>
      <c r="AB416" s="34">
        <f t="shared" si="184"/>
        <v>2</v>
      </c>
      <c r="AC416" s="34">
        <f t="shared" si="184"/>
        <v>2</v>
      </c>
      <c r="AD416" s="34">
        <f t="shared" si="184"/>
        <v>2</v>
      </c>
      <c r="AE416" s="34">
        <f t="shared" si="184"/>
        <v>2</v>
      </c>
      <c r="AF416" s="34">
        <f t="shared" si="184"/>
        <v>2</v>
      </c>
      <c r="AG416" s="34">
        <f t="shared" si="184"/>
        <v>2</v>
      </c>
      <c r="AH416" s="34">
        <f t="shared" si="184"/>
        <v>2</v>
      </c>
      <c r="AI416" s="34">
        <f t="shared" si="184"/>
        <v>2</v>
      </c>
      <c r="AJ416" s="34">
        <f t="shared" si="184"/>
        <v>2</v>
      </c>
      <c r="AK416" s="34">
        <f t="shared" si="184"/>
        <v>2</v>
      </c>
      <c r="AL416" s="34">
        <f t="shared" si="184"/>
        <v>2</v>
      </c>
      <c r="AM416" s="34">
        <f t="shared" si="184"/>
        <v>2</v>
      </c>
      <c r="AN416" s="34">
        <f t="shared" si="184"/>
        <v>2</v>
      </c>
      <c r="AO416" s="34">
        <f t="shared" si="184"/>
        <v>2</v>
      </c>
      <c r="AP416" s="45"/>
      <c r="AQ416" s="1"/>
    </row>
    <row r="417" ht="15.75" customHeight="1">
      <c r="A417" s="1"/>
      <c r="B417" s="85"/>
      <c r="C417" s="35"/>
      <c r="D417" s="35"/>
      <c r="E417" s="33" t="s">
        <v>24</v>
      </c>
      <c r="F417" s="59" t="s">
        <v>25</v>
      </c>
      <c r="G417" s="4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45"/>
      <c r="AQ417" s="1"/>
    </row>
    <row r="418" ht="15.75" customHeight="1">
      <c r="A418" s="51"/>
      <c r="B418" s="86"/>
      <c r="C418" s="35"/>
      <c r="D418" s="35"/>
      <c r="E418" s="47"/>
      <c r="F418" s="60" t="s">
        <v>26</v>
      </c>
      <c r="G418" s="66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50">
        <f>SUM(H418:AO418)</f>
        <v>0</v>
      </c>
      <c r="AQ418" s="51"/>
    </row>
    <row r="419" ht="15.75" customHeight="1">
      <c r="A419" s="1"/>
      <c r="B419" s="85"/>
      <c r="C419" s="35"/>
      <c r="D419" s="35"/>
      <c r="E419" s="33" t="s">
        <v>27</v>
      </c>
      <c r="F419" s="41" t="s">
        <v>28</v>
      </c>
      <c r="G419" s="4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45"/>
      <c r="AQ419" s="1"/>
    </row>
    <row r="420" ht="15.75" customHeight="1">
      <c r="A420" s="1"/>
      <c r="B420" s="85"/>
      <c r="C420" s="35"/>
      <c r="D420" s="35"/>
      <c r="E420" s="33"/>
      <c r="F420" s="41" t="s">
        <v>29</v>
      </c>
      <c r="G420" s="4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45"/>
      <c r="AQ420" s="1"/>
    </row>
    <row r="421" ht="15.75" customHeight="1">
      <c r="A421" s="1"/>
      <c r="B421" s="85"/>
      <c r="C421" s="42"/>
      <c r="D421" s="42"/>
      <c r="E421" s="33"/>
      <c r="F421" s="62" t="s">
        <v>30</v>
      </c>
      <c r="G421" s="44"/>
      <c r="H421" s="34">
        <f t="shared" ref="H421:AN421" si="185">H416+H417-H418+H419-H420</f>
        <v>2</v>
      </c>
      <c r="I421" s="34">
        <f t="shared" si="185"/>
        <v>2</v>
      </c>
      <c r="J421" s="34">
        <f t="shared" si="185"/>
        <v>2</v>
      </c>
      <c r="K421" s="34">
        <f t="shared" si="185"/>
        <v>2</v>
      </c>
      <c r="L421" s="34">
        <f t="shared" si="185"/>
        <v>2</v>
      </c>
      <c r="M421" s="34">
        <f t="shared" si="185"/>
        <v>2</v>
      </c>
      <c r="N421" s="34">
        <f t="shared" si="185"/>
        <v>2</v>
      </c>
      <c r="O421" s="34">
        <f t="shared" si="185"/>
        <v>2</v>
      </c>
      <c r="P421" s="34">
        <f t="shared" si="185"/>
        <v>2</v>
      </c>
      <c r="Q421" s="34">
        <f t="shared" si="185"/>
        <v>2</v>
      </c>
      <c r="R421" s="34">
        <f t="shared" si="185"/>
        <v>2</v>
      </c>
      <c r="S421" s="34">
        <f t="shared" si="185"/>
        <v>2</v>
      </c>
      <c r="T421" s="34">
        <f t="shared" si="185"/>
        <v>2</v>
      </c>
      <c r="U421" s="34">
        <f t="shared" si="185"/>
        <v>2</v>
      </c>
      <c r="V421" s="34">
        <f t="shared" si="185"/>
        <v>2</v>
      </c>
      <c r="W421" s="34">
        <f t="shared" si="185"/>
        <v>2</v>
      </c>
      <c r="X421" s="34">
        <f t="shared" si="185"/>
        <v>2</v>
      </c>
      <c r="Y421" s="34">
        <f t="shared" si="185"/>
        <v>2</v>
      </c>
      <c r="Z421" s="34">
        <f t="shared" si="185"/>
        <v>2</v>
      </c>
      <c r="AA421" s="34">
        <f t="shared" si="185"/>
        <v>2</v>
      </c>
      <c r="AB421" s="34">
        <f t="shared" si="185"/>
        <v>2</v>
      </c>
      <c r="AC421" s="34">
        <f t="shared" si="185"/>
        <v>2</v>
      </c>
      <c r="AD421" s="34">
        <f t="shared" si="185"/>
        <v>2</v>
      </c>
      <c r="AE421" s="34">
        <f t="shared" si="185"/>
        <v>2</v>
      </c>
      <c r="AF421" s="34">
        <f t="shared" si="185"/>
        <v>2</v>
      </c>
      <c r="AG421" s="34">
        <f t="shared" si="185"/>
        <v>2</v>
      </c>
      <c r="AH421" s="34">
        <f t="shared" si="185"/>
        <v>2</v>
      </c>
      <c r="AI421" s="34">
        <f t="shared" si="185"/>
        <v>2</v>
      </c>
      <c r="AJ421" s="34">
        <f t="shared" si="185"/>
        <v>2</v>
      </c>
      <c r="AK421" s="34">
        <f t="shared" si="185"/>
        <v>2</v>
      </c>
      <c r="AL421" s="34">
        <f t="shared" si="185"/>
        <v>2</v>
      </c>
      <c r="AM421" s="34">
        <f t="shared" si="185"/>
        <v>2</v>
      </c>
      <c r="AN421" s="34">
        <f t="shared" si="185"/>
        <v>2</v>
      </c>
      <c r="AO421" s="34"/>
      <c r="AP421" s="45">
        <f>AO416</f>
        <v>2</v>
      </c>
      <c r="AQ421" s="1"/>
    </row>
    <row r="422" ht="15.75" customHeight="1">
      <c r="A422" s="1"/>
      <c r="B422" s="56"/>
      <c r="C422" s="32" t="s">
        <v>165</v>
      </c>
      <c r="D422" s="57" t="s">
        <v>166</v>
      </c>
      <c r="E422" s="13"/>
      <c r="F422" s="41" t="s">
        <v>23</v>
      </c>
      <c r="G422" s="44"/>
      <c r="H422" s="34">
        <v>11.0</v>
      </c>
      <c r="I422" s="34">
        <f t="shared" ref="I422:AO422" si="186">H427</f>
        <v>11</v>
      </c>
      <c r="J422" s="34">
        <f t="shared" si="186"/>
        <v>11</v>
      </c>
      <c r="K422" s="34">
        <f t="shared" si="186"/>
        <v>11</v>
      </c>
      <c r="L422" s="34">
        <f t="shared" si="186"/>
        <v>11</v>
      </c>
      <c r="M422" s="34">
        <f t="shared" si="186"/>
        <v>11</v>
      </c>
      <c r="N422" s="34">
        <f t="shared" si="186"/>
        <v>11</v>
      </c>
      <c r="O422" s="34">
        <f t="shared" si="186"/>
        <v>11</v>
      </c>
      <c r="P422" s="34">
        <f t="shared" si="186"/>
        <v>11</v>
      </c>
      <c r="Q422" s="34">
        <f t="shared" si="186"/>
        <v>11</v>
      </c>
      <c r="R422" s="34">
        <f t="shared" si="186"/>
        <v>11</v>
      </c>
      <c r="S422" s="34">
        <f t="shared" si="186"/>
        <v>11</v>
      </c>
      <c r="T422" s="34">
        <f t="shared" si="186"/>
        <v>11</v>
      </c>
      <c r="U422" s="34">
        <f t="shared" si="186"/>
        <v>11</v>
      </c>
      <c r="V422" s="34">
        <f t="shared" si="186"/>
        <v>11</v>
      </c>
      <c r="W422" s="34">
        <f t="shared" si="186"/>
        <v>11</v>
      </c>
      <c r="X422" s="34">
        <f t="shared" si="186"/>
        <v>11</v>
      </c>
      <c r="Y422" s="34">
        <f t="shared" si="186"/>
        <v>11</v>
      </c>
      <c r="Z422" s="34">
        <f t="shared" si="186"/>
        <v>11</v>
      </c>
      <c r="AA422" s="34">
        <f t="shared" si="186"/>
        <v>11</v>
      </c>
      <c r="AB422" s="34">
        <f t="shared" si="186"/>
        <v>11</v>
      </c>
      <c r="AC422" s="34">
        <f t="shared" si="186"/>
        <v>11</v>
      </c>
      <c r="AD422" s="34">
        <f t="shared" si="186"/>
        <v>11</v>
      </c>
      <c r="AE422" s="34">
        <f t="shared" si="186"/>
        <v>11</v>
      </c>
      <c r="AF422" s="34">
        <f t="shared" si="186"/>
        <v>11</v>
      </c>
      <c r="AG422" s="34">
        <f t="shared" si="186"/>
        <v>11</v>
      </c>
      <c r="AH422" s="34">
        <f t="shared" si="186"/>
        <v>11</v>
      </c>
      <c r="AI422" s="34">
        <f t="shared" si="186"/>
        <v>11</v>
      </c>
      <c r="AJ422" s="34">
        <f t="shared" si="186"/>
        <v>11</v>
      </c>
      <c r="AK422" s="34">
        <f t="shared" si="186"/>
        <v>11</v>
      </c>
      <c r="AL422" s="34">
        <f t="shared" si="186"/>
        <v>11</v>
      </c>
      <c r="AM422" s="34">
        <f t="shared" si="186"/>
        <v>11</v>
      </c>
      <c r="AN422" s="34">
        <f t="shared" si="186"/>
        <v>11</v>
      </c>
      <c r="AO422" s="34">
        <f t="shared" si="186"/>
        <v>11</v>
      </c>
      <c r="AP422" s="54"/>
      <c r="AQ422" s="1"/>
    </row>
    <row r="423" ht="15.75" customHeight="1">
      <c r="A423" s="1"/>
      <c r="B423" s="58"/>
      <c r="C423" s="35"/>
      <c r="D423" s="35"/>
      <c r="E423" s="33" t="s">
        <v>24</v>
      </c>
      <c r="F423" s="59" t="s">
        <v>25</v>
      </c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8"/>
      <c r="T423" s="37"/>
      <c r="U423" s="38"/>
      <c r="V423" s="37"/>
      <c r="W423" s="37"/>
      <c r="X423" s="37"/>
      <c r="Y423" s="37"/>
      <c r="Z423" s="37"/>
      <c r="AA423" s="37"/>
      <c r="AB423" s="37"/>
      <c r="AC423" s="37"/>
      <c r="AD423" s="38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9">
        <f t="shared" ref="AP423:AP426" si="187">SUM(H423:AO423)</f>
        <v>0</v>
      </c>
      <c r="AQ423" s="1"/>
    </row>
    <row r="424" ht="15.75" customHeight="1">
      <c r="A424" s="51"/>
      <c r="B424" s="58"/>
      <c r="C424" s="35"/>
      <c r="D424" s="35"/>
      <c r="E424" s="47"/>
      <c r="F424" s="60" t="s">
        <v>26</v>
      </c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8"/>
      <c r="T424" s="48"/>
      <c r="U424" s="48"/>
      <c r="V424" s="49"/>
      <c r="W424" s="49"/>
      <c r="X424" s="49"/>
      <c r="Y424" s="49"/>
      <c r="Z424" s="49"/>
      <c r="AA424" s="49"/>
      <c r="AB424" s="49"/>
      <c r="AC424" s="49"/>
      <c r="AD424" s="48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50">
        <f t="shared" si="187"/>
        <v>0</v>
      </c>
      <c r="AQ424" s="51"/>
    </row>
    <row r="425" ht="15.75" customHeight="1">
      <c r="A425" s="1"/>
      <c r="B425" s="58"/>
      <c r="C425" s="35"/>
      <c r="D425" s="35"/>
      <c r="E425" s="33" t="s">
        <v>27</v>
      </c>
      <c r="F425" s="41" t="s">
        <v>28</v>
      </c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8"/>
      <c r="T425" s="38"/>
      <c r="U425" s="38"/>
      <c r="V425" s="37"/>
      <c r="W425" s="37"/>
      <c r="X425" s="37"/>
      <c r="Y425" s="37"/>
      <c r="Z425" s="37"/>
      <c r="AA425" s="37"/>
      <c r="AB425" s="37"/>
      <c r="AC425" s="37"/>
      <c r="AD425" s="38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9">
        <f t="shared" si="187"/>
        <v>0</v>
      </c>
      <c r="AQ425" s="1"/>
    </row>
    <row r="426" ht="15.75" customHeight="1">
      <c r="A426" s="1"/>
      <c r="B426" s="58"/>
      <c r="C426" s="35"/>
      <c r="D426" s="35"/>
      <c r="E426" s="33"/>
      <c r="F426" s="41" t="s">
        <v>29</v>
      </c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8"/>
      <c r="T426" s="37"/>
      <c r="U426" s="38"/>
      <c r="V426" s="37"/>
      <c r="W426" s="37"/>
      <c r="X426" s="37"/>
      <c r="Y426" s="37"/>
      <c r="Z426" s="37"/>
      <c r="AA426" s="37"/>
      <c r="AB426" s="37"/>
      <c r="AC426" s="37"/>
      <c r="AD426" s="38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9">
        <f t="shared" si="187"/>
        <v>0</v>
      </c>
      <c r="AQ426" s="1"/>
    </row>
    <row r="427" ht="15.75" customHeight="1">
      <c r="A427" s="1"/>
      <c r="B427" s="61"/>
      <c r="C427" s="42"/>
      <c r="D427" s="42"/>
      <c r="E427" s="52"/>
      <c r="F427" s="62" t="s">
        <v>30</v>
      </c>
      <c r="G427" s="44"/>
      <c r="H427" s="34">
        <f t="shared" ref="H427:AN427" si="188">H422+H423-H424+H425-H426</f>
        <v>11</v>
      </c>
      <c r="I427" s="34">
        <f t="shared" si="188"/>
        <v>11</v>
      </c>
      <c r="J427" s="34">
        <f t="shared" si="188"/>
        <v>11</v>
      </c>
      <c r="K427" s="34">
        <f t="shared" si="188"/>
        <v>11</v>
      </c>
      <c r="L427" s="34">
        <f t="shared" si="188"/>
        <v>11</v>
      </c>
      <c r="M427" s="34">
        <f t="shared" si="188"/>
        <v>11</v>
      </c>
      <c r="N427" s="34">
        <f t="shared" si="188"/>
        <v>11</v>
      </c>
      <c r="O427" s="34">
        <f t="shared" si="188"/>
        <v>11</v>
      </c>
      <c r="P427" s="34">
        <f t="shared" si="188"/>
        <v>11</v>
      </c>
      <c r="Q427" s="34">
        <f t="shared" si="188"/>
        <v>11</v>
      </c>
      <c r="R427" s="34">
        <f t="shared" si="188"/>
        <v>11</v>
      </c>
      <c r="S427" s="34">
        <f t="shared" si="188"/>
        <v>11</v>
      </c>
      <c r="T427" s="34">
        <f t="shared" si="188"/>
        <v>11</v>
      </c>
      <c r="U427" s="34">
        <f t="shared" si="188"/>
        <v>11</v>
      </c>
      <c r="V427" s="34">
        <f t="shared" si="188"/>
        <v>11</v>
      </c>
      <c r="W427" s="34">
        <f t="shared" si="188"/>
        <v>11</v>
      </c>
      <c r="X427" s="34">
        <f t="shared" si="188"/>
        <v>11</v>
      </c>
      <c r="Y427" s="34">
        <f t="shared" si="188"/>
        <v>11</v>
      </c>
      <c r="Z427" s="34">
        <f t="shared" si="188"/>
        <v>11</v>
      </c>
      <c r="AA427" s="34">
        <f t="shared" si="188"/>
        <v>11</v>
      </c>
      <c r="AB427" s="34">
        <f t="shared" si="188"/>
        <v>11</v>
      </c>
      <c r="AC427" s="34">
        <f t="shared" si="188"/>
        <v>11</v>
      </c>
      <c r="AD427" s="34">
        <f t="shared" si="188"/>
        <v>11</v>
      </c>
      <c r="AE427" s="34">
        <f t="shared" si="188"/>
        <v>11</v>
      </c>
      <c r="AF427" s="34">
        <f t="shared" si="188"/>
        <v>11</v>
      </c>
      <c r="AG427" s="34">
        <f t="shared" si="188"/>
        <v>11</v>
      </c>
      <c r="AH427" s="34">
        <f t="shared" si="188"/>
        <v>11</v>
      </c>
      <c r="AI427" s="34">
        <f t="shared" si="188"/>
        <v>11</v>
      </c>
      <c r="AJ427" s="34">
        <f t="shared" si="188"/>
        <v>11</v>
      </c>
      <c r="AK427" s="34">
        <f t="shared" si="188"/>
        <v>11</v>
      </c>
      <c r="AL427" s="34">
        <f t="shared" si="188"/>
        <v>11</v>
      </c>
      <c r="AM427" s="34">
        <f t="shared" si="188"/>
        <v>11</v>
      </c>
      <c r="AN427" s="34">
        <f t="shared" si="188"/>
        <v>11</v>
      </c>
      <c r="AO427" s="34"/>
      <c r="AP427" s="45">
        <f>AO422</f>
        <v>11</v>
      </c>
      <c r="AQ427" s="1"/>
    </row>
    <row r="428" ht="15.75" customHeight="1">
      <c r="A428" s="1"/>
      <c r="B428" s="32"/>
      <c r="C428" s="32" t="s">
        <v>167</v>
      </c>
      <c r="D428" s="32" t="s">
        <v>168</v>
      </c>
      <c r="E428" s="69"/>
      <c r="F428" s="14" t="s">
        <v>23</v>
      </c>
      <c r="G428" s="44"/>
      <c r="H428" s="34" t="str">
        <f t="shared" ref="H428:AO428" si="189">G433</f>
        <v/>
      </c>
      <c r="I428" s="34">
        <f t="shared" si="189"/>
        <v>0</v>
      </c>
      <c r="J428" s="34">
        <f t="shared" si="189"/>
        <v>0</v>
      </c>
      <c r="K428" s="34">
        <f t="shared" si="189"/>
        <v>0</v>
      </c>
      <c r="L428" s="34">
        <f t="shared" si="189"/>
        <v>0</v>
      </c>
      <c r="M428" s="34">
        <f t="shared" si="189"/>
        <v>0</v>
      </c>
      <c r="N428" s="34">
        <f t="shared" si="189"/>
        <v>0</v>
      </c>
      <c r="O428" s="34">
        <f t="shared" si="189"/>
        <v>0</v>
      </c>
      <c r="P428" s="34">
        <f t="shared" si="189"/>
        <v>0</v>
      </c>
      <c r="Q428" s="34">
        <f t="shared" si="189"/>
        <v>0</v>
      </c>
      <c r="R428" s="34">
        <f t="shared" si="189"/>
        <v>0</v>
      </c>
      <c r="S428" s="34">
        <f t="shared" si="189"/>
        <v>0</v>
      </c>
      <c r="T428" s="34">
        <f t="shared" si="189"/>
        <v>0</v>
      </c>
      <c r="U428" s="34">
        <f t="shared" si="189"/>
        <v>0</v>
      </c>
      <c r="V428" s="34">
        <f t="shared" si="189"/>
        <v>0</v>
      </c>
      <c r="W428" s="34">
        <f t="shared" si="189"/>
        <v>0</v>
      </c>
      <c r="X428" s="34">
        <f t="shared" si="189"/>
        <v>0</v>
      </c>
      <c r="Y428" s="34">
        <f t="shared" si="189"/>
        <v>0</v>
      </c>
      <c r="Z428" s="34">
        <f t="shared" si="189"/>
        <v>0</v>
      </c>
      <c r="AA428" s="34">
        <f t="shared" si="189"/>
        <v>0</v>
      </c>
      <c r="AB428" s="34">
        <f t="shared" si="189"/>
        <v>0</v>
      </c>
      <c r="AC428" s="34">
        <f t="shared" si="189"/>
        <v>0</v>
      </c>
      <c r="AD428" s="34">
        <f t="shared" si="189"/>
        <v>0</v>
      </c>
      <c r="AE428" s="34">
        <f t="shared" si="189"/>
        <v>0</v>
      </c>
      <c r="AF428" s="34">
        <f t="shared" si="189"/>
        <v>0</v>
      </c>
      <c r="AG428" s="34">
        <f t="shared" si="189"/>
        <v>0</v>
      </c>
      <c r="AH428" s="34">
        <f t="shared" si="189"/>
        <v>0</v>
      </c>
      <c r="AI428" s="34">
        <f t="shared" si="189"/>
        <v>0</v>
      </c>
      <c r="AJ428" s="34">
        <f t="shared" si="189"/>
        <v>0</v>
      </c>
      <c r="AK428" s="34">
        <f t="shared" si="189"/>
        <v>0</v>
      </c>
      <c r="AL428" s="34">
        <f t="shared" si="189"/>
        <v>0</v>
      </c>
      <c r="AM428" s="34">
        <f t="shared" si="189"/>
        <v>0</v>
      </c>
      <c r="AN428" s="34">
        <f t="shared" si="189"/>
        <v>0</v>
      </c>
      <c r="AO428" s="34">
        <f t="shared" si="189"/>
        <v>0</v>
      </c>
      <c r="AP428" s="54"/>
      <c r="AQ428" s="1"/>
    </row>
    <row r="429" ht="15.75" customHeight="1">
      <c r="A429" s="1"/>
      <c r="B429" s="35"/>
      <c r="C429" s="35"/>
      <c r="D429" s="35"/>
      <c r="E429" s="69" t="s">
        <v>24</v>
      </c>
      <c r="F429" s="36" t="s">
        <v>25</v>
      </c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8"/>
      <c r="T429" s="37"/>
      <c r="U429" s="38"/>
      <c r="V429" s="37"/>
      <c r="W429" s="37"/>
      <c r="X429" s="37"/>
      <c r="Y429" s="37"/>
      <c r="Z429" s="37"/>
      <c r="AA429" s="37"/>
      <c r="AB429" s="37"/>
      <c r="AC429" s="37"/>
      <c r="AD429" s="38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9">
        <f t="shared" ref="AP429:AP432" si="190">SUM(H429:AO429)</f>
        <v>0</v>
      </c>
      <c r="AQ429" s="1"/>
    </row>
    <row r="430" ht="15.75" customHeight="1">
      <c r="A430" s="1"/>
      <c r="B430" s="35"/>
      <c r="C430" s="35"/>
      <c r="D430" s="35"/>
      <c r="E430" s="69"/>
      <c r="F430" s="40" t="s">
        <v>26</v>
      </c>
      <c r="G430" s="37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7"/>
      <c r="AP430" s="39">
        <f t="shared" si="190"/>
        <v>0</v>
      </c>
      <c r="AQ430" s="1"/>
    </row>
    <row r="431" ht="15.75" customHeight="1">
      <c r="A431" s="1"/>
      <c r="B431" s="35"/>
      <c r="C431" s="35"/>
      <c r="D431" s="35"/>
      <c r="E431" s="69" t="s">
        <v>27</v>
      </c>
      <c r="F431" s="41" t="s">
        <v>28</v>
      </c>
      <c r="G431" s="37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7"/>
      <c r="AP431" s="39">
        <f t="shared" si="190"/>
        <v>0</v>
      </c>
      <c r="AQ431" s="1"/>
    </row>
    <row r="432" ht="15.75" customHeight="1">
      <c r="A432" s="1"/>
      <c r="B432" s="35"/>
      <c r="C432" s="35"/>
      <c r="D432" s="35"/>
      <c r="E432" s="69"/>
      <c r="F432" s="41" t="s">
        <v>29</v>
      </c>
      <c r="G432" s="37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7"/>
      <c r="AP432" s="39">
        <f t="shared" si="190"/>
        <v>0</v>
      </c>
      <c r="AQ432" s="1"/>
    </row>
    <row r="433" ht="15.75" customHeight="1">
      <c r="A433" s="1"/>
      <c r="B433" s="42"/>
      <c r="C433" s="42"/>
      <c r="D433" s="42"/>
      <c r="E433" s="69"/>
      <c r="F433" s="43" t="s">
        <v>30</v>
      </c>
      <c r="G433" s="44"/>
      <c r="H433" s="34">
        <f>H428+H429-H430+H431-H432</f>
        <v>0</v>
      </c>
      <c r="I433" s="34">
        <f t="shared" ref="I433:AK433" si="191">I428+I429-I430+I431</f>
        <v>0</v>
      </c>
      <c r="J433" s="34">
        <f t="shared" si="191"/>
        <v>0</v>
      </c>
      <c r="K433" s="34">
        <f t="shared" si="191"/>
        <v>0</v>
      </c>
      <c r="L433" s="34">
        <f t="shared" si="191"/>
        <v>0</v>
      </c>
      <c r="M433" s="34">
        <f t="shared" si="191"/>
        <v>0</v>
      </c>
      <c r="N433" s="34">
        <f t="shared" si="191"/>
        <v>0</v>
      </c>
      <c r="O433" s="34">
        <f t="shared" si="191"/>
        <v>0</v>
      </c>
      <c r="P433" s="34">
        <f t="shared" si="191"/>
        <v>0</v>
      </c>
      <c r="Q433" s="34">
        <f t="shared" si="191"/>
        <v>0</v>
      </c>
      <c r="R433" s="34">
        <f t="shared" si="191"/>
        <v>0</v>
      </c>
      <c r="S433" s="34">
        <f t="shared" si="191"/>
        <v>0</v>
      </c>
      <c r="T433" s="34">
        <f t="shared" si="191"/>
        <v>0</v>
      </c>
      <c r="U433" s="34">
        <f t="shared" si="191"/>
        <v>0</v>
      </c>
      <c r="V433" s="34">
        <f t="shared" si="191"/>
        <v>0</v>
      </c>
      <c r="W433" s="34">
        <f t="shared" si="191"/>
        <v>0</v>
      </c>
      <c r="X433" s="34">
        <f t="shared" si="191"/>
        <v>0</v>
      </c>
      <c r="Y433" s="34">
        <f t="shared" si="191"/>
        <v>0</v>
      </c>
      <c r="Z433" s="34">
        <f t="shared" si="191"/>
        <v>0</v>
      </c>
      <c r="AA433" s="34">
        <f t="shared" si="191"/>
        <v>0</v>
      </c>
      <c r="AB433" s="34">
        <f t="shared" si="191"/>
        <v>0</v>
      </c>
      <c r="AC433" s="34">
        <f t="shared" si="191"/>
        <v>0</v>
      </c>
      <c r="AD433" s="34">
        <f t="shared" si="191"/>
        <v>0</v>
      </c>
      <c r="AE433" s="34">
        <f t="shared" si="191"/>
        <v>0</v>
      </c>
      <c r="AF433" s="34">
        <f t="shared" si="191"/>
        <v>0</v>
      </c>
      <c r="AG433" s="34">
        <f t="shared" si="191"/>
        <v>0</v>
      </c>
      <c r="AH433" s="34">
        <f t="shared" si="191"/>
        <v>0</v>
      </c>
      <c r="AI433" s="34">
        <f t="shared" si="191"/>
        <v>0</v>
      </c>
      <c r="AJ433" s="34">
        <f t="shared" si="191"/>
        <v>0</v>
      </c>
      <c r="AK433" s="34">
        <f t="shared" si="191"/>
        <v>0</v>
      </c>
      <c r="AL433" s="34">
        <f t="shared" ref="AL433:AN433" si="192">AL428+AL429-AL430+AL431-AL432</f>
        <v>0</v>
      </c>
      <c r="AM433" s="34">
        <f t="shared" si="192"/>
        <v>0</v>
      </c>
      <c r="AN433" s="34">
        <f t="shared" si="192"/>
        <v>0</v>
      </c>
      <c r="AO433" s="34"/>
      <c r="AP433" s="45">
        <f>AO428</f>
        <v>0</v>
      </c>
      <c r="AQ433" s="1"/>
    </row>
    <row r="434" ht="15.75" customHeight="1">
      <c r="A434" s="1"/>
      <c r="B434" s="32"/>
      <c r="C434" s="57" t="s">
        <v>169</v>
      </c>
      <c r="D434" s="57" t="s">
        <v>170</v>
      </c>
      <c r="E434" s="13"/>
      <c r="F434" s="14" t="s">
        <v>23</v>
      </c>
      <c r="G434" s="44"/>
      <c r="H434" s="34">
        <v>0.0</v>
      </c>
      <c r="I434" s="34">
        <f t="shared" ref="I434:AO434" si="193">H439</f>
        <v>0</v>
      </c>
      <c r="J434" s="34">
        <f t="shared" si="193"/>
        <v>0</v>
      </c>
      <c r="K434" s="34">
        <f t="shared" si="193"/>
        <v>0</v>
      </c>
      <c r="L434" s="34">
        <f t="shared" si="193"/>
        <v>0</v>
      </c>
      <c r="M434" s="34">
        <f t="shared" si="193"/>
        <v>0</v>
      </c>
      <c r="N434" s="34">
        <f t="shared" si="193"/>
        <v>0</v>
      </c>
      <c r="O434" s="34">
        <f t="shared" si="193"/>
        <v>0</v>
      </c>
      <c r="P434" s="34">
        <f t="shared" si="193"/>
        <v>0</v>
      </c>
      <c r="Q434" s="34">
        <f t="shared" si="193"/>
        <v>0</v>
      </c>
      <c r="R434" s="34">
        <f t="shared" si="193"/>
        <v>0</v>
      </c>
      <c r="S434" s="34">
        <f t="shared" si="193"/>
        <v>0</v>
      </c>
      <c r="T434" s="34">
        <f t="shared" si="193"/>
        <v>0</v>
      </c>
      <c r="U434" s="34">
        <f t="shared" si="193"/>
        <v>0</v>
      </c>
      <c r="V434" s="34">
        <f t="shared" si="193"/>
        <v>0</v>
      </c>
      <c r="W434" s="34">
        <f t="shared" si="193"/>
        <v>0</v>
      </c>
      <c r="X434" s="34">
        <f t="shared" si="193"/>
        <v>0</v>
      </c>
      <c r="Y434" s="34">
        <f t="shared" si="193"/>
        <v>0</v>
      </c>
      <c r="Z434" s="34">
        <f t="shared" si="193"/>
        <v>0</v>
      </c>
      <c r="AA434" s="34">
        <f t="shared" si="193"/>
        <v>0</v>
      </c>
      <c r="AB434" s="34">
        <f t="shared" si="193"/>
        <v>0</v>
      </c>
      <c r="AC434" s="34">
        <f t="shared" si="193"/>
        <v>0</v>
      </c>
      <c r="AD434" s="34">
        <f t="shared" si="193"/>
        <v>0</v>
      </c>
      <c r="AE434" s="34">
        <f t="shared" si="193"/>
        <v>0</v>
      </c>
      <c r="AF434" s="34">
        <f t="shared" si="193"/>
        <v>0</v>
      </c>
      <c r="AG434" s="34">
        <f t="shared" si="193"/>
        <v>0</v>
      </c>
      <c r="AH434" s="34">
        <f t="shared" si="193"/>
        <v>0</v>
      </c>
      <c r="AI434" s="34">
        <f t="shared" si="193"/>
        <v>0</v>
      </c>
      <c r="AJ434" s="34">
        <f t="shared" si="193"/>
        <v>0</v>
      </c>
      <c r="AK434" s="34">
        <f t="shared" si="193"/>
        <v>0</v>
      </c>
      <c r="AL434" s="34">
        <f t="shared" si="193"/>
        <v>0</v>
      </c>
      <c r="AM434" s="34">
        <f t="shared" si="193"/>
        <v>0</v>
      </c>
      <c r="AN434" s="34">
        <f t="shared" si="193"/>
        <v>0</v>
      </c>
      <c r="AO434" s="34">
        <f t="shared" si="193"/>
        <v>0</v>
      </c>
      <c r="AP434" s="54"/>
      <c r="AQ434" s="1"/>
    </row>
    <row r="435" ht="15.75" customHeight="1">
      <c r="A435" s="1"/>
      <c r="B435" s="35"/>
      <c r="C435" s="35"/>
      <c r="D435" s="35"/>
      <c r="E435" s="33" t="s">
        <v>24</v>
      </c>
      <c r="F435" s="36" t="s">
        <v>25</v>
      </c>
      <c r="G435" s="44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8"/>
      <c r="T435" s="37"/>
      <c r="U435" s="38"/>
      <c r="V435" s="37"/>
      <c r="W435" s="37"/>
      <c r="X435" s="37"/>
      <c r="Y435" s="37"/>
      <c r="Z435" s="37"/>
      <c r="AA435" s="37"/>
      <c r="AB435" s="37"/>
      <c r="AC435" s="37"/>
      <c r="AD435" s="38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9">
        <f t="shared" ref="AP435:AP438" si="194">SUM(H435:AO435)</f>
        <v>0</v>
      </c>
      <c r="AQ435" s="1"/>
    </row>
    <row r="436" ht="15.75" customHeight="1">
      <c r="A436" s="1"/>
      <c r="B436" s="35"/>
      <c r="C436" s="35"/>
      <c r="D436" s="35"/>
      <c r="E436" s="33"/>
      <c r="F436" s="40" t="s">
        <v>26</v>
      </c>
      <c r="G436" s="44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8"/>
      <c r="T436" s="37"/>
      <c r="U436" s="38"/>
      <c r="V436" s="37"/>
      <c r="W436" s="37"/>
      <c r="X436" s="37"/>
      <c r="Y436" s="37"/>
      <c r="Z436" s="37"/>
      <c r="AA436" s="37"/>
      <c r="AB436" s="37"/>
      <c r="AC436" s="37"/>
      <c r="AD436" s="38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9">
        <f t="shared" si="194"/>
        <v>0</v>
      </c>
      <c r="AQ436" s="1"/>
    </row>
    <row r="437" ht="15.75" customHeight="1">
      <c r="A437" s="1"/>
      <c r="B437" s="35"/>
      <c r="C437" s="35"/>
      <c r="D437" s="35"/>
      <c r="E437" s="33" t="s">
        <v>27</v>
      </c>
      <c r="F437" s="41" t="s">
        <v>28</v>
      </c>
      <c r="G437" s="44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8"/>
      <c r="T437" s="37"/>
      <c r="U437" s="38"/>
      <c r="V437" s="37"/>
      <c r="W437" s="37"/>
      <c r="X437" s="37"/>
      <c r="Y437" s="37"/>
      <c r="Z437" s="37"/>
      <c r="AA437" s="37"/>
      <c r="AB437" s="37"/>
      <c r="AC437" s="37"/>
      <c r="AD437" s="38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9">
        <f t="shared" si="194"/>
        <v>0</v>
      </c>
      <c r="AQ437" s="1"/>
    </row>
    <row r="438" ht="15.75" customHeight="1">
      <c r="A438" s="1"/>
      <c r="B438" s="35"/>
      <c r="C438" s="35"/>
      <c r="D438" s="35"/>
      <c r="E438" s="33"/>
      <c r="F438" s="41" t="s">
        <v>29</v>
      </c>
      <c r="G438" s="44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8"/>
      <c r="T438" s="37"/>
      <c r="U438" s="38"/>
      <c r="V438" s="37"/>
      <c r="W438" s="37"/>
      <c r="X438" s="37"/>
      <c r="Y438" s="37"/>
      <c r="Z438" s="37"/>
      <c r="AA438" s="37"/>
      <c r="AB438" s="37"/>
      <c r="AC438" s="37"/>
      <c r="AD438" s="38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9">
        <f t="shared" si="194"/>
        <v>0</v>
      </c>
      <c r="AQ438" s="1"/>
    </row>
    <row r="439" ht="15.75" customHeight="1">
      <c r="A439" s="1"/>
      <c r="B439" s="42"/>
      <c r="C439" s="42"/>
      <c r="D439" s="42"/>
      <c r="E439" s="52"/>
      <c r="F439" s="43" t="s">
        <v>30</v>
      </c>
      <c r="G439" s="44"/>
      <c r="H439" s="34">
        <f t="shared" ref="H439:AN439" si="195">H434+H435-H436+H437-H438</f>
        <v>0</v>
      </c>
      <c r="I439" s="34">
        <f t="shared" si="195"/>
        <v>0</v>
      </c>
      <c r="J439" s="34">
        <f t="shared" si="195"/>
        <v>0</v>
      </c>
      <c r="K439" s="34">
        <f t="shared" si="195"/>
        <v>0</v>
      </c>
      <c r="L439" s="34">
        <f t="shared" si="195"/>
        <v>0</v>
      </c>
      <c r="M439" s="34">
        <f t="shared" si="195"/>
        <v>0</v>
      </c>
      <c r="N439" s="34">
        <f t="shared" si="195"/>
        <v>0</v>
      </c>
      <c r="O439" s="34">
        <f t="shared" si="195"/>
        <v>0</v>
      </c>
      <c r="P439" s="34">
        <f t="shared" si="195"/>
        <v>0</v>
      </c>
      <c r="Q439" s="34">
        <f t="shared" si="195"/>
        <v>0</v>
      </c>
      <c r="R439" s="34">
        <f t="shared" si="195"/>
        <v>0</v>
      </c>
      <c r="S439" s="34">
        <f t="shared" si="195"/>
        <v>0</v>
      </c>
      <c r="T439" s="34">
        <f t="shared" si="195"/>
        <v>0</v>
      </c>
      <c r="U439" s="34">
        <f t="shared" si="195"/>
        <v>0</v>
      </c>
      <c r="V439" s="34">
        <f t="shared" si="195"/>
        <v>0</v>
      </c>
      <c r="W439" s="34">
        <f t="shared" si="195"/>
        <v>0</v>
      </c>
      <c r="X439" s="34">
        <f t="shared" si="195"/>
        <v>0</v>
      </c>
      <c r="Y439" s="34">
        <f t="shared" si="195"/>
        <v>0</v>
      </c>
      <c r="Z439" s="34">
        <f t="shared" si="195"/>
        <v>0</v>
      </c>
      <c r="AA439" s="34">
        <f t="shared" si="195"/>
        <v>0</v>
      </c>
      <c r="AB439" s="34">
        <f t="shared" si="195"/>
        <v>0</v>
      </c>
      <c r="AC439" s="34">
        <f t="shared" si="195"/>
        <v>0</v>
      </c>
      <c r="AD439" s="34">
        <f t="shared" si="195"/>
        <v>0</v>
      </c>
      <c r="AE439" s="34">
        <f t="shared" si="195"/>
        <v>0</v>
      </c>
      <c r="AF439" s="34">
        <f t="shared" si="195"/>
        <v>0</v>
      </c>
      <c r="AG439" s="34">
        <f t="shared" si="195"/>
        <v>0</v>
      </c>
      <c r="AH439" s="34">
        <f t="shared" si="195"/>
        <v>0</v>
      </c>
      <c r="AI439" s="34">
        <f t="shared" si="195"/>
        <v>0</v>
      </c>
      <c r="AJ439" s="34">
        <f t="shared" si="195"/>
        <v>0</v>
      </c>
      <c r="AK439" s="34">
        <f t="shared" si="195"/>
        <v>0</v>
      </c>
      <c r="AL439" s="34">
        <f t="shared" si="195"/>
        <v>0</v>
      </c>
      <c r="AM439" s="34">
        <f t="shared" si="195"/>
        <v>0</v>
      </c>
      <c r="AN439" s="34">
        <f t="shared" si="195"/>
        <v>0</v>
      </c>
      <c r="AO439" s="34"/>
      <c r="AP439" s="45">
        <f>AO434</f>
        <v>0</v>
      </c>
      <c r="AQ439" s="1"/>
    </row>
    <row r="440" ht="15.75" customHeight="1">
      <c r="A440" s="1"/>
      <c r="B440" s="32"/>
      <c r="C440" s="32" t="s">
        <v>171</v>
      </c>
      <c r="D440" s="32" t="s">
        <v>172</v>
      </c>
      <c r="E440" s="13"/>
      <c r="F440" s="14" t="s">
        <v>23</v>
      </c>
      <c r="G440" s="44"/>
      <c r="H440" s="21">
        <v>5.0</v>
      </c>
      <c r="I440" s="21">
        <f t="shared" ref="I440:AO440" si="196">H446</f>
        <v>5</v>
      </c>
      <c r="J440" s="21">
        <f t="shared" si="196"/>
        <v>5</v>
      </c>
      <c r="K440" s="21">
        <f t="shared" si="196"/>
        <v>5</v>
      </c>
      <c r="L440" s="21">
        <f t="shared" si="196"/>
        <v>5</v>
      </c>
      <c r="M440" s="21">
        <f t="shared" si="196"/>
        <v>5</v>
      </c>
      <c r="N440" s="21">
        <f t="shared" si="196"/>
        <v>5</v>
      </c>
      <c r="O440" s="21">
        <f t="shared" si="196"/>
        <v>5</v>
      </c>
      <c r="P440" s="21">
        <f t="shared" si="196"/>
        <v>5</v>
      </c>
      <c r="Q440" s="21">
        <f t="shared" si="196"/>
        <v>5</v>
      </c>
      <c r="R440" s="21">
        <f t="shared" si="196"/>
        <v>5</v>
      </c>
      <c r="S440" s="21">
        <f t="shared" si="196"/>
        <v>5</v>
      </c>
      <c r="T440" s="21">
        <f t="shared" si="196"/>
        <v>5</v>
      </c>
      <c r="U440" s="21">
        <f t="shared" si="196"/>
        <v>5</v>
      </c>
      <c r="V440" s="21">
        <f t="shared" si="196"/>
        <v>5</v>
      </c>
      <c r="W440" s="21">
        <f t="shared" si="196"/>
        <v>5</v>
      </c>
      <c r="X440" s="21">
        <f t="shared" si="196"/>
        <v>5</v>
      </c>
      <c r="Y440" s="21">
        <f t="shared" si="196"/>
        <v>5</v>
      </c>
      <c r="Z440" s="21">
        <f t="shared" si="196"/>
        <v>5</v>
      </c>
      <c r="AA440" s="21">
        <f t="shared" si="196"/>
        <v>5</v>
      </c>
      <c r="AB440" s="21">
        <f t="shared" si="196"/>
        <v>5</v>
      </c>
      <c r="AC440" s="21">
        <f t="shared" si="196"/>
        <v>5</v>
      </c>
      <c r="AD440" s="21">
        <f t="shared" si="196"/>
        <v>5</v>
      </c>
      <c r="AE440" s="21">
        <f t="shared" si="196"/>
        <v>5</v>
      </c>
      <c r="AF440" s="21">
        <f t="shared" si="196"/>
        <v>5</v>
      </c>
      <c r="AG440" s="21">
        <f t="shared" si="196"/>
        <v>5</v>
      </c>
      <c r="AH440" s="21">
        <f t="shared" si="196"/>
        <v>5</v>
      </c>
      <c r="AI440" s="21">
        <f t="shared" si="196"/>
        <v>5</v>
      </c>
      <c r="AJ440" s="21">
        <f t="shared" si="196"/>
        <v>5</v>
      </c>
      <c r="AK440" s="21">
        <f t="shared" si="196"/>
        <v>5</v>
      </c>
      <c r="AL440" s="21">
        <f t="shared" si="196"/>
        <v>5</v>
      </c>
      <c r="AM440" s="21">
        <f t="shared" si="196"/>
        <v>5</v>
      </c>
      <c r="AN440" s="21">
        <f t="shared" si="196"/>
        <v>5</v>
      </c>
      <c r="AO440" s="21">
        <f t="shared" si="196"/>
        <v>5</v>
      </c>
      <c r="AP440" s="54"/>
      <c r="AQ440" s="1"/>
    </row>
    <row r="441" ht="15.75" customHeight="1">
      <c r="A441" s="1"/>
      <c r="B441" s="35"/>
      <c r="C441" s="35"/>
      <c r="D441" s="35"/>
      <c r="E441" s="33" t="s">
        <v>24</v>
      </c>
      <c r="F441" s="36" t="s">
        <v>25</v>
      </c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8"/>
      <c r="T441" s="37"/>
      <c r="U441" s="38"/>
      <c r="V441" s="37"/>
      <c r="W441" s="37"/>
      <c r="X441" s="37"/>
      <c r="Y441" s="37"/>
      <c r="Z441" s="37"/>
      <c r="AA441" s="37"/>
      <c r="AB441" s="37"/>
      <c r="AC441" s="37"/>
      <c r="AD441" s="38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9">
        <f t="shared" ref="AP441:AP445" si="197">SUM(H441:AO441)</f>
        <v>0</v>
      </c>
      <c r="AQ441" s="1"/>
    </row>
    <row r="442" ht="15.75" customHeight="1">
      <c r="A442" s="1"/>
      <c r="B442" s="35"/>
      <c r="C442" s="35"/>
      <c r="D442" s="35"/>
      <c r="E442" s="33" t="s">
        <v>173</v>
      </c>
      <c r="F442" s="36" t="s">
        <v>67</v>
      </c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8"/>
      <c r="T442" s="37"/>
      <c r="U442" s="38"/>
      <c r="V442" s="37"/>
      <c r="W442" s="37"/>
      <c r="X442" s="37"/>
      <c r="Y442" s="37"/>
      <c r="Z442" s="37"/>
      <c r="AA442" s="37"/>
      <c r="AB442" s="37"/>
      <c r="AC442" s="37"/>
      <c r="AD442" s="38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9">
        <f t="shared" si="197"/>
        <v>0</v>
      </c>
      <c r="AQ442" s="1"/>
    </row>
    <row r="443" ht="15.75" customHeight="1">
      <c r="A443" s="51"/>
      <c r="B443" s="35"/>
      <c r="C443" s="35"/>
      <c r="D443" s="35"/>
      <c r="E443" s="47"/>
      <c r="F443" s="40" t="s">
        <v>26</v>
      </c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8"/>
      <c r="T443" s="49"/>
      <c r="U443" s="48"/>
      <c r="V443" s="49"/>
      <c r="W443" s="49"/>
      <c r="X443" s="49"/>
      <c r="Y443" s="49"/>
      <c r="Z443" s="49"/>
      <c r="AA443" s="49"/>
      <c r="AB443" s="49"/>
      <c r="AC443" s="49"/>
      <c r="AD443" s="48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50">
        <f t="shared" si="197"/>
        <v>0</v>
      </c>
      <c r="AQ443" s="51"/>
    </row>
    <row r="444" ht="15.75" customHeight="1">
      <c r="A444" s="1"/>
      <c r="B444" s="35"/>
      <c r="C444" s="35"/>
      <c r="D444" s="35"/>
      <c r="E444" s="33" t="s">
        <v>27</v>
      </c>
      <c r="F444" s="41" t="s">
        <v>28</v>
      </c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8"/>
      <c r="T444" s="37"/>
      <c r="U444" s="38"/>
      <c r="V444" s="37"/>
      <c r="W444" s="37"/>
      <c r="X444" s="37"/>
      <c r="Y444" s="37"/>
      <c r="Z444" s="37"/>
      <c r="AA444" s="37"/>
      <c r="AB444" s="37"/>
      <c r="AC444" s="37"/>
      <c r="AD444" s="38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9">
        <f t="shared" si="197"/>
        <v>0</v>
      </c>
      <c r="AQ444" s="1"/>
    </row>
    <row r="445" ht="15.75" customHeight="1">
      <c r="A445" s="1"/>
      <c r="B445" s="35"/>
      <c r="C445" s="35"/>
      <c r="D445" s="35"/>
      <c r="E445" s="33"/>
      <c r="F445" s="41" t="s">
        <v>29</v>
      </c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8"/>
      <c r="T445" s="37"/>
      <c r="U445" s="38"/>
      <c r="V445" s="37"/>
      <c r="W445" s="37"/>
      <c r="X445" s="37"/>
      <c r="Y445" s="37"/>
      <c r="Z445" s="37"/>
      <c r="AA445" s="37"/>
      <c r="AB445" s="37"/>
      <c r="AC445" s="37"/>
      <c r="AD445" s="38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9">
        <f t="shared" si="197"/>
        <v>0</v>
      </c>
      <c r="AQ445" s="1"/>
    </row>
    <row r="446" ht="15.75" customHeight="1">
      <c r="A446" s="1"/>
      <c r="B446" s="42"/>
      <c r="C446" s="42"/>
      <c r="D446" s="42"/>
      <c r="E446" s="52"/>
      <c r="F446" s="43" t="s">
        <v>30</v>
      </c>
      <c r="G446" s="44"/>
      <c r="H446" s="34">
        <f t="shared" ref="H446:AN446" si="198">H440+H441+H442-H443+H444-H445</f>
        <v>5</v>
      </c>
      <c r="I446" s="34">
        <f t="shared" si="198"/>
        <v>5</v>
      </c>
      <c r="J446" s="34">
        <f t="shared" si="198"/>
        <v>5</v>
      </c>
      <c r="K446" s="34">
        <f t="shared" si="198"/>
        <v>5</v>
      </c>
      <c r="L446" s="34">
        <f t="shared" si="198"/>
        <v>5</v>
      </c>
      <c r="M446" s="34">
        <f t="shared" si="198"/>
        <v>5</v>
      </c>
      <c r="N446" s="34">
        <f t="shared" si="198"/>
        <v>5</v>
      </c>
      <c r="O446" s="34">
        <f t="shared" si="198"/>
        <v>5</v>
      </c>
      <c r="P446" s="34">
        <f t="shared" si="198"/>
        <v>5</v>
      </c>
      <c r="Q446" s="34">
        <f t="shared" si="198"/>
        <v>5</v>
      </c>
      <c r="R446" s="34">
        <f t="shared" si="198"/>
        <v>5</v>
      </c>
      <c r="S446" s="34">
        <f t="shared" si="198"/>
        <v>5</v>
      </c>
      <c r="T446" s="34">
        <f t="shared" si="198"/>
        <v>5</v>
      </c>
      <c r="U446" s="34">
        <f t="shared" si="198"/>
        <v>5</v>
      </c>
      <c r="V446" s="34">
        <f t="shared" si="198"/>
        <v>5</v>
      </c>
      <c r="W446" s="34">
        <f t="shared" si="198"/>
        <v>5</v>
      </c>
      <c r="X446" s="34">
        <f t="shared" si="198"/>
        <v>5</v>
      </c>
      <c r="Y446" s="34">
        <f t="shared" si="198"/>
        <v>5</v>
      </c>
      <c r="Z446" s="34">
        <f t="shared" si="198"/>
        <v>5</v>
      </c>
      <c r="AA446" s="34">
        <f t="shared" si="198"/>
        <v>5</v>
      </c>
      <c r="AB446" s="34">
        <f t="shared" si="198"/>
        <v>5</v>
      </c>
      <c r="AC446" s="34">
        <f t="shared" si="198"/>
        <v>5</v>
      </c>
      <c r="AD446" s="34">
        <f t="shared" si="198"/>
        <v>5</v>
      </c>
      <c r="AE446" s="34">
        <f t="shared" si="198"/>
        <v>5</v>
      </c>
      <c r="AF446" s="34">
        <f t="shared" si="198"/>
        <v>5</v>
      </c>
      <c r="AG446" s="34">
        <f t="shared" si="198"/>
        <v>5</v>
      </c>
      <c r="AH446" s="34">
        <f t="shared" si="198"/>
        <v>5</v>
      </c>
      <c r="AI446" s="34">
        <f t="shared" si="198"/>
        <v>5</v>
      </c>
      <c r="AJ446" s="34">
        <f t="shared" si="198"/>
        <v>5</v>
      </c>
      <c r="AK446" s="34">
        <f t="shared" si="198"/>
        <v>5</v>
      </c>
      <c r="AL446" s="34">
        <f t="shared" si="198"/>
        <v>5</v>
      </c>
      <c r="AM446" s="34">
        <f t="shared" si="198"/>
        <v>5</v>
      </c>
      <c r="AN446" s="34">
        <f t="shared" si="198"/>
        <v>5</v>
      </c>
      <c r="AO446" s="34"/>
      <c r="AP446" s="75">
        <f>AO440</f>
        <v>5</v>
      </c>
      <c r="AQ446" s="1"/>
    </row>
    <row r="447" ht="15.75" customHeight="1">
      <c r="A447" s="1"/>
      <c r="B447" s="56"/>
      <c r="C447" s="32" t="s">
        <v>174</v>
      </c>
      <c r="D447" s="57" t="s">
        <v>175</v>
      </c>
      <c r="E447" s="13"/>
      <c r="F447" s="41" t="s">
        <v>23</v>
      </c>
      <c r="G447" s="44"/>
      <c r="H447" s="34">
        <v>0.0</v>
      </c>
      <c r="I447" s="34">
        <f t="shared" ref="I447:AO447" si="199">H452</f>
        <v>0</v>
      </c>
      <c r="J447" s="34">
        <f t="shared" si="199"/>
        <v>0</v>
      </c>
      <c r="K447" s="34">
        <f t="shared" si="199"/>
        <v>0</v>
      </c>
      <c r="L447" s="34">
        <f t="shared" si="199"/>
        <v>0</v>
      </c>
      <c r="M447" s="34">
        <f t="shared" si="199"/>
        <v>0</v>
      </c>
      <c r="N447" s="34">
        <f t="shared" si="199"/>
        <v>0</v>
      </c>
      <c r="O447" s="34">
        <f t="shared" si="199"/>
        <v>0</v>
      </c>
      <c r="P447" s="34">
        <f t="shared" si="199"/>
        <v>0</v>
      </c>
      <c r="Q447" s="34">
        <f t="shared" si="199"/>
        <v>0</v>
      </c>
      <c r="R447" s="34">
        <f t="shared" si="199"/>
        <v>0</v>
      </c>
      <c r="S447" s="34">
        <f t="shared" si="199"/>
        <v>0</v>
      </c>
      <c r="T447" s="34">
        <f t="shared" si="199"/>
        <v>0</v>
      </c>
      <c r="U447" s="34">
        <f t="shared" si="199"/>
        <v>0</v>
      </c>
      <c r="V447" s="34">
        <f t="shared" si="199"/>
        <v>0</v>
      </c>
      <c r="W447" s="34">
        <f t="shared" si="199"/>
        <v>0</v>
      </c>
      <c r="X447" s="34">
        <f t="shared" si="199"/>
        <v>0</v>
      </c>
      <c r="Y447" s="34">
        <f t="shared" si="199"/>
        <v>0</v>
      </c>
      <c r="Z447" s="34">
        <f t="shared" si="199"/>
        <v>0</v>
      </c>
      <c r="AA447" s="34">
        <f t="shared" si="199"/>
        <v>0</v>
      </c>
      <c r="AB447" s="34">
        <f t="shared" si="199"/>
        <v>0</v>
      </c>
      <c r="AC447" s="34">
        <f t="shared" si="199"/>
        <v>0</v>
      </c>
      <c r="AD447" s="34">
        <f t="shared" si="199"/>
        <v>0</v>
      </c>
      <c r="AE447" s="34">
        <f t="shared" si="199"/>
        <v>0</v>
      </c>
      <c r="AF447" s="34">
        <f t="shared" si="199"/>
        <v>0</v>
      </c>
      <c r="AG447" s="34">
        <f t="shared" si="199"/>
        <v>0</v>
      </c>
      <c r="AH447" s="34">
        <f t="shared" si="199"/>
        <v>0</v>
      </c>
      <c r="AI447" s="34">
        <f t="shared" si="199"/>
        <v>0</v>
      </c>
      <c r="AJ447" s="34">
        <f t="shared" si="199"/>
        <v>0</v>
      </c>
      <c r="AK447" s="34">
        <f t="shared" si="199"/>
        <v>0</v>
      </c>
      <c r="AL447" s="34">
        <f t="shared" si="199"/>
        <v>0</v>
      </c>
      <c r="AM447" s="34">
        <f t="shared" si="199"/>
        <v>0</v>
      </c>
      <c r="AN447" s="34">
        <f t="shared" si="199"/>
        <v>0</v>
      </c>
      <c r="AO447" s="34">
        <f t="shared" si="199"/>
        <v>0</v>
      </c>
      <c r="AP447" s="54"/>
      <c r="AQ447" s="1"/>
    </row>
    <row r="448" ht="15.75" customHeight="1">
      <c r="A448" s="1"/>
      <c r="B448" s="58"/>
      <c r="C448" s="35"/>
      <c r="D448" s="35"/>
      <c r="E448" s="33" t="s">
        <v>24</v>
      </c>
      <c r="F448" s="59" t="s">
        <v>25</v>
      </c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8"/>
      <c r="T448" s="37"/>
      <c r="U448" s="38"/>
      <c r="V448" s="37"/>
      <c r="W448" s="37"/>
      <c r="X448" s="37"/>
      <c r="Y448" s="37"/>
      <c r="Z448" s="37"/>
      <c r="AA448" s="37"/>
      <c r="AB448" s="37"/>
      <c r="AC448" s="37"/>
      <c r="AD448" s="38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9">
        <f t="shared" ref="AP448:AP451" si="200">SUM(H448:AO448)</f>
        <v>0</v>
      </c>
      <c r="AQ448" s="1"/>
    </row>
    <row r="449" ht="15.75" customHeight="1">
      <c r="A449" s="1"/>
      <c r="B449" s="58"/>
      <c r="C449" s="35"/>
      <c r="D449" s="35"/>
      <c r="E449" s="33"/>
      <c r="F449" s="60" t="s">
        <v>26</v>
      </c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8"/>
      <c r="T449" s="37"/>
      <c r="U449" s="38"/>
      <c r="V449" s="37"/>
      <c r="W449" s="37"/>
      <c r="X449" s="37"/>
      <c r="Y449" s="37"/>
      <c r="Z449" s="37"/>
      <c r="AA449" s="37"/>
      <c r="AB449" s="37"/>
      <c r="AC449" s="37"/>
      <c r="AD449" s="38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9">
        <f t="shared" si="200"/>
        <v>0</v>
      </c>
      <c r="AQ449" s="1"/>
    </row>
    <row r="450" ht="15.75" customHeight="1">
      <c r="A450" s="1"/>
      <c r="B450" s="58"/>
      <c r="C450" s="35"/>
      <c r="D450" s="35"/>
      <c r="E450" s="33" t="s">
        <v>27</v>
      </c>
      <c r="F450" s="41" t="s">
        <v>28</v>
      </c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8"/>
      <c r="T450" s="37"/>
      <c r="U450" s="38"/>
      <c r="V450" s="37"/>
      <c r="W450" s="37"/>
      <c r="X450" s="37"/>
      <c r="Y450" s="37"/>
      <c r="Z450" s="37"/>
      <c r="AA450" s="37"/>
      <c r="AB450" s="37"/>
      <c r="AC450" s="37"/>
      <c r="AD450" s="38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9">
        <f t="shared" si="200"/>
        <v>0</v>
      </c>
      <c r="AQ450" s="1"/>
    </row>
    <row r="451" ht="15.75" customHeight="1">
      <c r="A451" s="1"/>
      <c r="B451" s="58"/>
      <c r="C451" s="35"/>
      <c r="D451" s="35"/>
      <c r="E451" s="33"/>
      <c r="F451" s="21" t="s">
        <v>29</v>
      </c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8"/>
      <c r="T451" s="37"/>
      <c r="U451" s="38"/>
      <c r="V451" s="37"/>
      <c r="W451" s="37"/>
      <c r="X451" s="37"/>
      <c r="Y451" s="37"/>
      <c r="Z451" s="37"/>
      <c r="AA451" s="37"/>
      <c r="AB451" s="37"/>
      <c r="AC451" s="37"/>
      <c r="AD451" s="38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9">
        <f t="shared" si="200"/>
        <v>0</v>
      </c>
      <c r="AQ451" s="1"/>
    </row>
    <row r="452" ht="15.75" customHeight="1">
      <c r="A452" s="1"/>
      <c r="B452" s="61"/>
      <c r="C452" s="42"/>
      <c r="D452" s="42"/>
      <c r="E452" s="52"/>
      <c r="F452" s="62" t="s">
        <v>30</v>
      </c>
      <c r="G452" s="44"/>
      <c r="H452" s="34">
        <f t="shared" ref="H452:AN452" si="201">H447+H448-H449+H450-H451</f>
        <v>0</v>
      </c>
      <c r="I452" s="34">
        <f t="shared" si="201"/>
        <v>0</v>
      </c>
      <c r="J452" s="34">
        <f t="shared" si="201"/>
        <v>0</v>
      </c>
      <c r="K452" s="34">
        <f t="shared" si="201"/>
        <v>0</v>
      </c>
      <c r="L452" s="34">
        <f t="shared" si="201"/>
        <v>0</v>
      </c>
      <c r="M452" s="34">
        <f t="shared" si="201"/>
        <v>0</v>
      </c>
      <c r="N452" s="34">
        <f t="shared" si="201"/>
        <v>0</v>
      </c>
      <c r="O452" s="34">
        <f t="shared" si="201"/>
        <v>0</v>
      </c>
      <c r="P452" s="34">
        <f t="shared" si="201"/>
        <v>0</v>
      </c>
      <c r="Q452" s="34">
        <f t="shared" si="201"/>
        <v>0</v>
      </c>
      <c r="R452" s="34">
        <f t="shared" si="201"/>
        <v>0</v>
      </c>
      <c r="S452" s="34">
        <f t="shared" si="201"/>
        <v>0</v>
      </c>
      <c r="T452" s="34">
        <f t="shared" si="201"/>
        <v>0</v>
      </c>
      <c r="U452" s="34">
        <f t="shared" si="201"/>
        <v>0</v>
      </c>
      <c r="V452" s="34">
        <f t="shared" si="201"/>
        <v>0</v>
      </c>
      <c r="W452" s="34">
        <f t="shared" si="201"/>
        <v>0</v>
      </c>
      <c r="X452" s="34">
        <f t="shared" si="201"/>
        <v>0</v>
      </c>
      <c r="Y452" s="34">
        <f t="shared" si="201"/>
        <v>0</v>
      </c>
      <c r="Z452" s="34">
        <f t="shared" si="201"/>
        <v>0</v>
      </c>
      <c r="AA452" s="34">
        <f t="shared" si="201"/>
        <v>0</v>
      </c>
      <c r="AB452" s="34">
        <f t="shared" si="201"/>
        <v>0</v>
      </c>
      <c r="AC452" s="34">
        <f t="shared" si="201"/>
        <v>0</v>
      </c>
      <c r="AD452" s="34">
        <f t="shared" si="201"/>
        <v>0</v>
      </c>
      <c r="AE452" s="34">
        <f t="shared" si="201"/>
        <v>0</v>
      </c>
      <c r="AF452" s="34">
        <f t="shared" si="201"/>
        <v>0</v>
      </c>
      <c r="AG452" s="34">
        <f t="shared" si="201"/>
        <v>0</v>
      </c>
      <c r="AH452" s="34">
        <f t="shared" si="201"/>
        <v>0</v>
      </c>
      <c r="AI452" s="34">
        <f t="shared" si="201"/>
        <v>0</v>
      </c>
      <c r="AJ452" s="34">
        <f t="shared" si="201"/>
        <v>0</v>
      </c>
      <c r="AK452" s="34">
        <f t="shared" si="201"/>
        <v>0</v>
      </c>
      <c r="AL452" s="34">
        <f t="shared" si="201"/>
        <v>0</v>
      </c>
      <c r="AM452" s="34">
        <f t="shared" si="201"/>
        <v>0</v>
      </c>
      <c r="AN452" s="34">
        <f t="shared" si="201"/>
        <v>0</v>
      </c>
      <c r="AO452" s="34"/>
      <c r="AP452" s="45">
        <f>AO447</f>
        <v>0</v>
      </c>
      <c r="AQ452" s="1"/>
    </row>
    <row r="453" ht="15.75" customHeight="1">
      <c r="A453" s="1"/>
      <c r="B453" s="56"/>
      <c r="C453" s="32" t="s">
        <v>176</v>
      </c>
      <c r="D453" s="57" t="s">
        <v>177</v>
      </c>
      <c r="E453" s="13"/>
      <c r="F453" s="41" t="s">
        <v>23</v>
      </c>
      <c r="G453" s="44"/>
      <c r="H453" s="34">
        <v>0.0</v>
      </c>
      <c r="I453" s="34">
        <f t="shared" ref="I453:AO453" si="202">H458</f>
        <v>0</v>
      </c>
      <c r="J453" s="34">
        <f t="shared" si="202"/>
        <v>0</v>
      </c>
      <c r="K453" s="34">
        <f t="shared" si="202"/>
        <v>0</v>
      </c>
      <c r="L453" s="34">
        <f t="shared" si="202"/>
        <v>0</v>
      </c>
      <c r="M453" s="34">
        <f t="shared" si="202"/>
        <v>0</v>
      </c>
      <c r="N453" s="34">
        <f t="shared" si="202"/>
        <v>0</v>
      </c>
      <c r="O453" s="34">
        <f t="shared" si="202"/>
        <v>0</v>
      </c>
      <c r="P453" s="34">
        <f t="shared" si="202"/>
        <v>0</v>
      </c>
      <c r="Q453" s="34">
        <f t="shared" si="202"/>
        <v>0</v>
      </c>
      <c r="R453" s="34">
        <f t="shared" si="202"/>
        <v>0</v>
      </c>
      <c r="S453" s="34">
        <f t="shared" si="202"/>
        <v>0</v>
      </c>
      <c r="T453" s="34">
        <f t="shared" si="202"/>
        <v>0</v>
      </c>
      <c r="U453" s="34">
        <f t="shared" si="202"/>
        <v>0</v>
      </c>
      <c r="V453" s="34">
        <f t="shared" si="202"/>
        <v>0</v>
      </c>
      <c r="W453" s="34">
        <f t="shared" si="202"/>
        <v>0</v>
      </c>
      <c r="X453" s="34">
        <f t="shared" si="202"/>
        <v>0</v>
      </c>
      <c r="Y453" s="34">
        <f t="shared" si="202"/>
        <v>0</v>
      </c>
      <c r="Z453" s="34">
        <f t="shared" si="202"/>
        <v>0</v>
      </c>
      <c r="AA453" s="34">
        <f t="shared" si="202"/>
        <v>0</v>
      </c>
      <c r="AB453" s="34">
        <f t="shared" si="202"/>
        <v>0</v>
      </c>
      <c r="AC453" s="34">
        <f t="shared" si="202"/>
        <v>0</v>
      </c>
      <c r="AD453" s="34">
        <f t="shared" si="202"/>
        <v>0</v>
      </c>
      <c r="AE453" s="34">
        <f t="shared" si="202"/>
        <v>0</v>
      </c>
      <c r="AF453" s="34">
        <f t="shared" si="202"/>
        <v>0</v>
      </c>
      <c r="AG453" s="34">
        <f t="shared" si="202"/>
        <v>0</v>
      </c>
      <c r="AH453" s="34">
        <f t="shared" si="202"/>
        <v>0</v>
      </c>
      <c r="AI453" s="34">
        <f t="shared" si="202"/>
        <v>0</v>
      </c>
      <c r="AJ453" s="34">
        <f t="shared" si="202"/>
        <v>0</v>
      </c>
      <c r="AK453" s="34">
        <f t="shared" si="202"/>
        <v>0</v>
      </c>
      <c r="AL453" s="34">
        <f t="shared" si="202"/>
        <v>0</v>
      </c>
      <c r="AM453" s="34">
        <f t="shared" si="202"/>
        <v>0</v>
      </c>
      <c r="AN453" s="34">
        <f t="shared" si="202"/>
        <v>0</v>
      </c>
      <c r="AO453" s="34">
        <f t="shared" si="202"/>
        <v>0</v>
      </c>
      <c r="AP453" s="54"/>
      <c r="AQ453" s="1"/>
    </row>
    <row r="454" ht="15.75" customHeight="1">
      <c r="A454" s="1"/>
      <c r="B454" s="58"/>
      <c r="C454" s="35"/>
      <c r="D454" s="35"/>
      <c r="E454" s="33" t="s">
        <v>24</v>
      </c>
      <c r="F454" s="59" t="s">
        <v>25</v>
      </c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8"/>
      <c r="T454" s="37"/>
      <c r="U454" s="38"/>
      <c r="V454" s="37"/>
      <c r="W454" s="37"/>
      <c r="X454" s="37"/>
      <c r="Y454" s="37"/>
      <c r="Z454" s="37"/>
      <c r="AA454" s="37"/>
      <c r="AB454" s="37"/>
      <c r="AC454" s="37"/>
      <c r="AD454" s="38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9">
        <f t="shared" ref="AP454:AP457" si="203">SUM(H454:AO454)</f>
        <v>0</v>
      </c>
      <c r="AQ454" s="1"/>
    </row>
    <row r="455" ht="15.75" customHeight="1">
      <c r="A455" s="1"/>
      <c r="B455" s="58"/>
      <c r="C455" s="35"/>
      <c r="D455" s="35"/>
      <c r="E455" s="33"/>
      <c r="F455" s="60" t="s">
        <v>26</v>
      </c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8"/>
      <c r="T455" s="37"/>
      <c r="U455" s="38"/>
      <c r="V455" s="37"/>
      <c r="W455" s="37"/>
      <c r="X455" s="37"/>
      <c r="Y455" s="37"/>
      <c r="Z455" s="37"/>
      <c r="AA455" s="37"/>
      <c r="AB455" s="37"/>
      <c r="AC455" s="37"/>
      <c r="AD455" s="38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9">
        <f t="shared" si="203"/>
        <v>0</v>
      </c>
      <c r="AQ455" s="1"/>
    </row>
    <row r="456" ht="15.75" customHeight="1">
      <c r="A456" s="1"/>
      <c r="B456" s="58"/>
      <c r="C456" s="35"/>
      <c r="D456" s="35"/>
      <c r="E456" s="33" t="s">
        <v>27</v>
      </c>
      <c r="F456" s="41" t="s">
        <v>28</v>
      </c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8"/>
      <c r="T456" s="37"/>
      <c r="U456" s="38"/>
      <c r="V456" s="37"/>
      <c r="W456" s="37"/>
      <c r="X456" s="37"/>
      <c r="Y456" s="37"/>
      <c r="Z456" s="37"/>
      <c r="AA456" s="37"/>
      <c r="AB456" s="37"/>
      <c r="AC456" s="37"/>
      <c r="AD456" s="38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9">
        <f t="shared" si="203"/>
        <v>0</v>
      </c>
      <c r="AQ456" s="1"/>
    </row>
    <row r="457" ht="15.75" customHeight="1">
      <c r="A457" s="1"/>
      <c r="B457" s="58"/>
      <c r="C457" s="35"/>
      <c r="D457" s="35"/>
      <c r="E457" s="33"/>
      <c r="F457" s="41" t="s">
        <v>29</v>
      </c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8"/>
      <c r="T457" s="37"/>
      <c r="U457" s="38"/>
      <c r="V457" s="37"/>
      <c r="W457" s="37"/>
      <c r="X457" s="37"/>
      <c r="Y457" s="37"/>
      <c r="Z457" s="37"/>
      <c r="AA457" s="37"/>
      <c r="AB457" s="37"/>
      <c r="AC457" s="37"/>
      <c r="AD457" s="38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9">
        <f t="shared" si="203"/>
        <v>0</v>
      </c>
      <c r="AQ457" s="1"/>
    </row>
    <row r="458" ht="15.75" customHeight="1">
      <c r="A458" s="1"/>
      <c r="B458" s="61"/>
      <c r="C458" s="42"/>
      <c r="D458" s="42"/>
      <c r="E458" s="52"/>
      <c r="F458" s="62" t="s">
        <v>30</v>
      </c>
      <c r="G458" s="44"/>
      <c r="H458" s="34">
        <f t="shared" ref="H458:AN458" si="204">H453+H454-H455+H456-H457</f>
        <v>0</v>
      </c>
      <c r="I458" s="34">
        <f t="shared" si="204"/>
        <v>0</v>
      </c>
      <c r="J458" s="34">
        <f t="shared" si="204"/>
        <v>0</v>
      </c>
      <c r="K458" s="34">
        <f t="shared" si="204"/>
        <v>0</v>
      </c>
      <c r="L458" s="34">
        <f t="shared" si="204"/>
        <v>0</v>
      </c>
      <c r="M458" s="34">
        <f t="shared" si="204"/>
        <v>0</v>
      </c>
      <c r="N458" s="34">
        <f t="shared" si="204"/>
        <v>0</v>
      </c>
      <c r="O458" s="34">
        <f t="shared" si="204"/>
        <v>0</v>
      </c>
      <c r="P458" s="34">
        <f t="shared" si="204"/>
        <v>0</v>
      </c>
      <c r="Q458" s="34">
        <f t="shared" si="204"/>
        <v>0</v>
      </c>
      <c r="R458" s="34">
        <f t="shared" si="204"/>
        <v>0</v>
      </c>
      <c r="S458" s="34">
        <f t="shared" si="204"/>
        <v>0</v>
      </c>
      <c r="T458" s="34">
        <f t="shared" si="204"/>
        <v>0</v>
      </c>
      <c r="U458" s="34">
        <f t="shared" si="204"/>
        <v>0</v>
      </c>
      <c r="V458" s="34">
        <f t="shared" si="204"/>
        <v>0</v>
      </c>
      <c r="W458" s="34">
        <f t="shared" si="204"/>
        <v>0</v>
      </c>
      <c r="X458" s="34">
        <f t="shared" si="204"/>
        <v>0</v>
      </c>
      <c r="Y458" s="34">
        <f t="shared" si="204"/>
        <v>0</v>
      </c>
      <c r="Z458" s="34">
        <f t="shared" si="204"/>
        <v>0</v>
      </c>
      <c r="AA458" s="34">
        <f t="shared" si="204"/>
        <v>0</v>
      </c>
      <c r="AB458" s="34">
        <f t="shared" si="204"/>
        <v>0</v>
      </c>
      <c r="AC458" s="34">
        <f t="shared" si="204"/>
        <v>0</v>
      </c>
      <c r="AD458" s="34">
        <f t="shared" si="204"/>
        <v>0</v>
      </c>
      <c r="AE458" s="34">
        <f t="shared" si="204"/>
        <v>0</v>
      </c>
      <c r="AF458" s="34">
        <f t="shared" si="204"/>
        <v>0</v>
      </c>
      <c r="AG458" s="34">
        <f t="shared" si="204"/>
        <v>0</v>
      </c>
      <c r="AH458" s="34">
        <f t="shared" si="204"/>
        <v>0</v>
      </c>
      <c r="AI458" s="34">
        <f t="shared" si="204"/>
        <v>0</v>
      </c>
      <c r="AJ458" s="34">
        <f t="shared" si="204"/>
        <v>0</v>
      </c>
      <c r="AK458" s="34">
        <f t="shared" si="204"/>
        <v>0</v>
      </c>
      <c r="AL458" s="34">
        <f t="shared" si="204"/>
        <v>0</v>
      </c>
      <c r="AM458" s="34">
        <f t="shared" si="204"/>
        <v>0</v>
      </c>
      <c r="AN458" s="34">
        <f t="shared" si="204"/>
        <v>0</v>
      </c>
      <c r="AO458" s="34"/>
      <c r="AP458" s="45">
        <f>AO453</f>
        <v>0</v>
      </c>
      <c r="AQ458" s="1"/>
    </row>
    <row r="459" ht="15.75" customHeight="1">
      <c r="A459" s="1"/>
      <c r="B459" s="56"/>
      <c r="C459" s="32" t="s">
        <v>178</v>
      </c>
      <c r="D459" s="57" t="s">
        <v>179</v>
      </c>
      <c r="E459" s="13"/>
      <c r="F459" s="41" t="s">
        <v>23</v>
      </c>
      <c r="G459" s="44"/>
      <c r="H459" s="34">
        <v>0.0</v>
      </c>
      <c r="I459" s="34">
        <f t="shared" ref="I459:AO459" si="205">H464</f>
        <v>0</v>
      </c>
      <c r="J459" s="34">
        <f t="shared" si="205"/>
        <v>0</v>
      </c>
      <c r="K459" s="34">
        <f t="shared" si="205"/>
        <v>0</v>
      </c>
      <c r="L459" s="34">
        <f t="shared" si="205"/>
        <v>0</v>
      </c>
      <c r="M459" s="34">
        <f t="shared" si="205"/>
        <v>0</v>
      </c>
      <c r="N459" s="34">
        <f t="shared" si="205"/>
        <v>0</v>
      </c>
      <c r="O459" s="34">
        <f t="shared" si="205"/>
        <v>0</v>
      </c>
      <c r="P459" s="34">
        <f t="shared" si="205"/>
        <v>0</v>
      </c>
      <c r="Q459" s="34">
        <f t="shared" si="205"/>
        <v>0</v>
      </c>
      <c r="R459" s="34">
        <f t="shared" si="205"/>
        <v>0</v>
      </c>
      <c r="S459" s="34">
        <f t="shared" si="205"/>
        <v>0</v>
      </c>
      <c r="T459" s="34">
        <f t="shared" si="205"/>
        <v>0</v>
      </c>
      <c r="U459" s="34">
        <f t="shared" si="205"/>
        <v>0</v>
      </c>
      <c r="V459" s="34">
        <f t="shared" si="205"/>
        <v>0</v>
      </c>
      <c r="W459" s="34">
        <f t="shared" si="205"/>
        <v>0</v>
      </c>
      <c r="X459" s="34">
        <f t="shared" si="205"/>
        <v>0</v>
      </c>
      <c r="Y459" s="34">
        <f t="shared" si="205"/>
        <v>0</v>
      </c>
      <c r="Z459" s="34">
        <f t="shared" si="205"/>
        <v>0</v>
      </c>
      <c r="AA459" s="34">
        <f t="shared" si="205"/>
        <v>0</v>
      </c>
      <c r="AB459" s="34">
        <f t="shared" si="205"/>
        <v>0</v>
      </c>
      <c r="AC459" s="34">
        <f t="shared" si="205"/>
        <v>0</v>
      </c>
      <c r="AD459" s="34">
        <f t="shared" si="205"/>
        <v>0</v>
      </c>
      <c r="AE459" s="34">
        <f t="shared" si="205"/>
        <v>0</v>
      </c>
      <c r="AF459" s="34">
        <f t="shared" si="205"/>
        <v>0</v>
      </c>
      <c r="AG459" s="34">
        <f t="shared" si="205"/>
        <v>0</v>
      </c>
      <c r="AH459" s="34">
        <f t="shared" si="205"/>
        <v>0</v>
      </c>
      <c r="AI459" s="34">
        <f t="shared" si="205"/>
        <v>0</v>
      </c>
      <c r="AJ459" s="34">
        <f t="shared" si="205"/>
        <v>0</v>
      </c>
      <c r="AK459" s="34">
        <f t="shared" si="205"/>
        <v>0</v>
      </c>
      <c r="AL459" s="34">
        <f t="shared" si="205"/>
        <v>0</v>
      </c>
      <c r="AM459" s="34">
        <f t="shared" si="205"/>
        <v>0</v>
      </c>
      <c r="AN459" s="34">
        <f t="shared" si="205"/>
        <v>0</v>
      </c>
      <c r="AO459" s="34">
        <f t="shared" si="205"/>
        <v>0</v>
      </c>
      <c r="AP459" s="54"/>
      <c r="AQ459" s="1"/>
    </row>
    <row r="460" ht="15.75" customHeight="1">
      <c r="A460" s="1"/>
      <c r="B460" s="58"/>
      <c r="C460" s="35"/>
      <c r="D460" s="35"/>
      <c r="E460" s="33" t="s">
        <v>24</v>
      </c>
      <c r="F460" s="59" t="s">
        <v>25</v>
      </c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8"/>
      <c r="T460" s="37"/>
      <c r="U460" s="38"/>
      <c r="V460" s="37"/>
      <c r="W460" s="37"/>
      <c r="X460" s="37"/>
      <c r="Y460" s="37"/>
      <c r="Z460" s="37"/>
      <c r="AA460" s="37"/>
      <c r="AB460" s="37"/>
      <c r="AC460" s="37"/>
      <c r="AD460" s="38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9">
        <f t="shared" ref="AP460:AP463" si="206">SUM(H460:AO460)</f>
        <v>0</v>
      </c>
      <c r="AQ460" s="1"/>
    </row>
    <row r="461" ht="15.75" customHeight="1">
      <c r="A461" s="51"/>
      <c r="B461" s="58"/>
      <c r="C461" s="35"/>
      <c r="D461" s="35"/>
      <c r="E461" s="47"/>
      <c r="F461" s="60" t="s">
        <v>26</v>
      </c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8"/>
      <c r="T461" s="49"/>
      <c r="U461" s="48"/>
      <c r="V461" s="49"/>
      <c r="W461" s="49"/>
      <c r="X461" s="49"/>
      <c r="Y461" s="49"/>
      <c r="Z461" s="49"/>
      <c r="AA461" s="49"/>
      <c r="AB461" s="49"/>
      <c r="AC461" s="49"/>
      <c r="AD461" s="48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50">
        <f t="shared" si="206"/>
        <v>0</v>
      </c>
      <c r="AQ461" s="51"/>
    </row>
    <row r="462" ht="15.75" customHeight="1">
      <c r="A462" s="1"/>
      <c r="B462" s="58"/>
      <c r="C462" s="35"/>
      <c r="D462" s="35"/>
      <c r="E462" s="33" t="s">
        <v>27</v>
      </c>
      <c r="F462" s="41" t="s">
        <v>28</v>
      </c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8"/>
      <c r="T462" s="37"/>
      <c r="U462" s="38"/>
      <c r="V462" s="37"/>
      <c r="W462" s="37"/>
      <c r="X462" s="37"/>
      <c r="Y462" s="37"/>
      <c r="Z462" s="37"/>
      <c r="AA462" s="37"/>
      <c r="AB462" s="37"/>
      <c r="AC462" s="37"/>
      <c r="AD462" s="38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9">
        <f t="shared" si="206"/>
        <v>0</v>
      </c>
      <c r="AQ462" s="1"/>
    </row>
    <row r="463" ht="15.75" customHeight="1">
      <c r="A463" s="1"/>
      <c r="B463" s="58"/>
      <c r="C463" s="35"/>
      <c r="D463" s="35"/>
      <c r="E463" s="33"/>
      <c r="F463" s="41" t="s">
        <v>29</v>
      </c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8"/>
      <c r="T463" s="37"/>
      <c r="U463" s="38"/>
      <c r="V463" s="37"/>
      <c r="W463" s="37"/>
      <c r="X463" s="37"/>
      <c r="Y463" s="37"/>
      <c r="Z463" s="37"/>
      <c r="AA463" s="37"/>
      <c r="AB463" s="37"/>
      <c r="AC463" s="37"/>
      <c r="AD463" s="38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9">
        <f t="shared" si="206"/>
        <v>0</v>
      </c>
      <c r="AQ463" s="1"/>
    </row>
    <row r="464" ht="15.75" customHeight="1">
      <c r="A464" s="1"/>
      <c r="B464" s="61"/>
      <c r="C464" s="42"/>
      <c r="D464" s="42"/>
      <c r="E464" s="52"/>
      <c r="F464" s="62" t="s">
        <v>30</v>
      </c>
      <c r="G464" s="44"/>
      <c r="H464" s="34">
        <f t="shared" ref="H464:AN464" si="207">H459+H460-H461+H462-H463</f>
        <v>0</v>
      </c>
      <c r="I464" s="34">
        <f t="shared" si="207"/>
        <v>0</v>
      </c>
      <c r="J464" s="34">
        <f t="shared" si="207"/>
        <v>0</v>
      </c>
      <c r="K464" s="34">
        <f t="shared" si="207"/>
        <v>0</v>
      </c>
      <c r="L464" s="34">
        <f t="shared" si="207"/>
        <v>0</v>
      </c>
      <c r="M464" s="34">
        <f t="shared" si="207"/>
        <v>0</v>
      </c>
      <c r="N464" s="34">
        <f t="shared" si="207"/>
        <v>0</v>
      </c>
      <c r="O464" s="34">
        <f t="shared" si="207"/>
        <v>0</v>
      </c>
      <c r="P464" s="34">
        <f t="shared" si="207"/>
        <v>0</v>
      </c>
      <c r="Q464" s="34">
        <f t="shared" si="207"/>
        <v>0</v>
      </c>
      <c r="R464" s="34">
        <f t="shared" si="207"/>
        <v>0</v>
      </c>
      <c r="S464" s="34">
        <f t="shared" si="207"/>
        <v>0</v>
      </c>
      <c r="T464" s="34">
        <f t="shared" si="207"/>
        <v>0</v>
      </c>
      <c r="U464" s="34">
        <f t="shared" si="207"/>
        <v>0</v>
      </c>
      <c r="V464" s="34">
        <f t="shared" si="207"/>
        <v>0</v>
      </c>
      <c r="W464" s="34">
        <f t="shared" si="207"/>
        <v>0</v>
      </c>
      <c r="X464" s="34">
        <f t="shared" si="207"/>
        <v>0</v>
      </c>
      <c r="Y464" s="34">
        <f t="shared" si="207"/>
        <v>0</v>
      </c>
      <c r="Z464" s="34">
        <f t="shared" si="207"/>
        <v>0</v>
      </c>
      <c r="AA464" s="34">
        <f t="shared" si="207"/>
        <v>0</v>
      </c>
      <c r="AB464" s="34">
        <f t="shared" si="207"/>
        <v>0</v>
      </c>
      <c r="AC464" s="34">
        <f t="shared" si="207"/>
        <v>0</v>
      </c>
      <c r="AD464" s="34">
        <f t="shared" si="207"/>
        <v>0</v>
      </c>
      <c r="AE464" s="34">
        <f t="shared" si="207"/>
        <v>0</v>
      </c>
      <c r="AF464" s="34">
        <f t="shared" si="207"/>
        <v>0</v>
      </c>
      <c r="AG464" s="34">
        <f t="shared" si="207"/>
        <v>0</v>
      </c>
      <c r="AH464" s="34">
        <f t="shared" si="207"/>
        <v>0</v>
      </c>
      <c r="AI464" s="34">
        <f t="shared" si="207"/>
        <v>0</v>
      </c>
      <c r="AJ464" s="34">
        <f t="shared" si="207"/>
        <v>0</v>
      </c>
      <c r="AK464" s="34">
        <f t="shared" si="207"/>
        <v>0</v>
      </c>
      <c r="AL464" s="34">
        <f t="shared" si="207"/>
        <v>0</v>
      </c>
      <c r="AM464" s="34">
        <f t="shared" si="207"/>
        <v>0</v>
      </c>
      <c r="AN464" s="34">
        <f t="shared" si="207"/>
        <v>0</v>
      </c>
      <c r="AO464" s="34"/>
      <c r="AP464" s="45">
        <f>AO459</f>
        <v>0</v>
      </c>
      <c r="AQ464" s="1"/>
    </row>
    <row r="465" ht="15.75" customHeight="1">
      <c r="A465" s="1"/>
      <c r="B465" s="56"/>
      <c r="C465" s="32" t="s">
        <v>180</v>
      </c>
      <c r="D465" s="57" t="s">
        <v>59</v>
      </c>
      <c r="E465" s="13"/>
      <c r="F465" s="41" t="s">
        <v>23</v>
      </c>
      <c r="G465" s="44"/>
      <c r="H465" s="34">
        <v>10.0</v>
      </c>
      <c r="I465" s="34">
        <f t="shared" ref="I465:AO465" si="208">H470</f>
        <v>10</v>
      </c>
      <c r="J465" s="34">
        <f t="shared" si="208"/>
        <v>10</v>
      </c>
      <c r="K465" s="34">
        <f t="shared" si="208"/>
        <v>10</v>
      </c>
      <c r="L465" s="34">
        <f t="shared" si="208"/>
        <v>10</v>
      </c>
      <c r="M465" s="34">
        <f t="shared" si="208"/>
        <v>10</v>
      </c>
      <c r="N465" s="34">
        <f t="shared" si="208"/>
        <v>10</v>
      </c>
      <c r="O465" s="34">
        <f t="shared" si="208"/>
        <v>10</v>
      </c>
      <c r="P465" s="34">
        <f t="shared" si="208"/>
        <v>10</v>
      </c>
      <c r="Q465" s="34">
        <f t="shared" si="208"/>
        <v>10</v>
      </c>
      <c r="R465" s="34">
        <f t="shared" si="208"/>
        <v>10</v>
      </c>
      <c r="S465" s="34">
        <f t="shared" si="208"/>
        <v>10</v>
      </c>
      <c r="T465" s="34">
        <f t="shared" si="208"/>
        <v>10</v>
      </c>
      <c r="U465" s="34">
        <f t="shared" si="208"/>
        <v>10</v>
      </c>
      <c r="V465" s="34">
        <f t="shared" si="208"/>
        <v>10</v>
      </c>
      <c r="W465" s="34">
        <f t="shared" si="208"/>
        <v>10</v>
      </c>
      <c r="X465" s="34">
        <f t="shared" si="208"/>
        <v>10</v>
      </c>
      <c r="Y465" s="34">
        <f t="shared" si="208"/>
        <v>10</v>
      </c>
      <c r="Z465" s="34">
        <f t="shared" si="208"/>
        <v>10</v>
      </c>
      <c r="AA465" s="34">
        <f t="shared" si="208"/>
        <v>10</v>
      </c>
      <c r="AB465" s="34">
        <f t="shared" si="208"/>
        <v>10</v>
      </c>
      <c r="AC465" s="34">
        <f t="shared" si="208"/>
        <v>10</v>
      </c>
      <c r="AD465" s="34">
        <f t="shared" si="208"/>
        <v>10</v>
      </c>
      <c r="AE465" s="34">
        <f t="shared" si="208"/>
        <v>10</v>
      </c>
      <c r="AF465" s="34">
        <f t="shared" si="208"/>
        <v>10</v>
      </c>
      <c r="AG465" s="34">
        <f t="shared" si="208"/>
        <v>10</v>
      </c>
      <c r="AH465" s="34">
        <f t="shared" si="208"/>
        <v>10</v>
      </c>
      <c r="AI465" s="34">
        <f t="shared" si="208"/>
        <v>10</v>
      </c>
      <c r="AJ465" s="34">
        <f t="shared" si="208"/>
        <v>10</v>
      </c>
      <c r="AK465" s="34">
        <f t="shared" si="208"/>
        <v>10</v>
      </c>
      <c r="AL465" s="34">
        <f t="shared" si="208"/>
        <v>10</v>
      </c>
      <c r="AM465" s="34">
        <f t="shared" si="208"/>
        <v>10</v>
      </c>
      <c r="AN465" s="34">
        <f t="shared" si="208"/>
        <v>10</v>
      </c>
      <c r="AO465" s="34">
        <f t="shared" si="208"/>
        <v>10</v>
      </c>
      <c r="AP465" s="54"/>
      <c r="AQ465" s="1"/>
    </row>
    <row r="466" ht="15.75" customHeight="1">
      <c r="A466" s="1"/>
      <c r="B466" s="58"/>
      <c r="C466" s="35"/>
      <c r="D466" s="35"/>
      <c r="E466" s="33" t="s">
        <v>24</v>
      </c>
      <c r="F466" s="59" t="s">
        <v>25</v>
      </c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8"/>
      <c r="T466" s="37"/>
      <c r="U466" s="38"/>
      <c r="V466" s="37"/>
      <c r="W466" s="37"/>
      <c r="X466" s="37"/>
      <c r="Y466" s="37"/>
      <c r="Z466" s="37"/>
      <c r="AA466" s="37"/>
      <c r="AB466" s="37"/>
      <c r="AC466" s="37"/>
      <c r="AD466" s="38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9">
        <f t="shared" ref="AP466:AP469" si="209">SUM(H466:AO466)</f>
        <v>0</v>
      </c>
      <c r="AQ466" s="1"/>
    </row>
    <row r="467" ht="15.75" customHeight="1">
      <c r="A467" s="51"/>
      <c r="B467" s="58"/>
      <c r="C467" s="35"/>
      <c r="D467" s="35"/>
      <c r="E467" s="47"/>
      <c r="F467" s="60" t="s">
        <v>26</v>
      </c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8"/>
      <c r="T467" s="49"/>
      <c r="U467" s="48"/>
      <c r="V467" s="49"/>
      <c r="W467" s="49"/>
      <c r="X467" s="49"/>
      <c r="Y467" s="49"/>
      <c r="Z467" s="49"/>
      <c r="AA467" s="49"/>
      <c r="AB467" s="49"/>
      <c r="AC467" s="49"/>
      <c r="AD467" s="48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50">
        <f t="shared" si="209"/>
        <v>0</v>
      </c>
      <c r="AQ467" s="51"/>
    </row>
    <row r="468" ht="15.75" customHeight="1">
      <c r="A468" s="1"/>
      <c r="B468" s="58"/>
      <c r="C468" s="35"/>
      <c r="D468" s="35"/>
      <c r="E468" s="33" t="s">
        <v>27</v>
      </c>
      <c r="F468" s="41" t="s">
        <v>28</v>
      </c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8"/>
      <c r="T468" s="37"/>
      <c r="U468" s="38"/>
      <c r="V468" s="37"/>
      <c r="W468" s="37"/>
      <c r="X468" s="37"/>
      <c r="Y468" s="37"/>
      <c r="Z468" s="37"/>
      <c r="AA468" s="37"/>
      <c r="AB468" s="37"/>
      <c r="AC468" s="37"/>
      <c r="AD468" s="38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9">
        <f t="shared" si="209"/>
        <v>0</v>
      </c>
      <c r="AQ468" s="1"/>
    </row>
    <row r="469" ht="15.75" customHeight="1">
      <c r="A469" s="1"/>
      <c r="B469" s="58"/>
      <c r="C469" s="35"/>
      <c r="D469" s="35"/>
      <c r="E469" s="33"/>
      <c r="F469" s="41" t="s">
        <v>29</v>
      </c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8"/>
      <c r="T469" s="37"/>
      <c r="U469" s="38"/>
      <c r="V469" s="37"/>
      <c r="W469" s="37"/>
      <c r="X469" s="37"/>
      <c r="Y469" s="37"/>
      <c r="Z469" s="37"/>
      <c r="AA469" s="37"/>
      <c r="AB469" s="37"/>
      <c r="AC469" s="37"/>
      <c r="AD469" s="38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9">
        <f t="shared" si="209"/>
        <v>0</v>
      </c>
      <c r="AQ469" s="1"/>
    </row>
    <row r="470" ht="15.75" customHeight="1">
      <c r="A470" s="1"/>
      <c r="B470" s="61"/>
      <c r="C470" s="42"/>
      <c r="D470" s="42"/>
      <c r="E470" s="52"/>
      <c r="F470" s="62" t="s">
        <v>30</v>
      </c>
      <c r="G470" s="44"/>
      <c r="H470" s="34">
        <f t="shared" ref="H470:AN470" si="210">H465+H466-H467+H468-H469</f>
        <v>10</v>
      </c>
      <c r="I470" s="34">
        <f t="shared" si="210"/>
        <v>10</v>
      </c>
      <c r="J470" s="34">
        <f t="shared" si="210"/>
        <v>10</v>
      </c>
      <c r="K470" s="34">
        <f t="shared" si="210"/>
        <v>10</v>
      </c>
      <c r="L470" s="34">
        <f t="shared" si="210"/>
        <v>10</v>
      </c>
      <c r="M470" s="34">
        <f t="shared" si="210"/>
        <v>10</v>
      </c>
      <c r="N470" s="34">
        <f t="shared" si="210"/>
        <v>10</v>
      </c>
      <c r="O470" s="34">
        <f t="shared" si="210"/>
        <v>10</v>
      </c>
      <c r="P470" s="34">
        <f t="shared" si="210"/>
        <v>10</v>
      </c>
      <c r="Q470" s="34">
        <f t="shared" si="210"/>
        <v>10</v>
      </c>
      <c r="R470" s="34">
        <f t="shared" si="210"/>
        <v>10</v>
      </c>
      <c r="S470" s="34">
        <f t="shared" si="210"/>
        <v>10</v>
      </c>
      <c r="T470" s="34">
        <f t="shared" si="210"/>
        <v>10</v>
      </c>
      <c r="U470" s="34">
        <f t="shared" si="210"/>
        <v>10</v>
      </c>
      <c r="V470" s="34">
        <f t="shared" si="210"/>
        <v>10</v>
      </c>
      <c r="W470" s="34">
        <f t="shared" si="210"/>
        <v>10</v>
      </c>
      <c r="X470" s="34">
        <f t="shared" si="210"/>
        <v>10</v>
      </c>
      <c r="Y470" s="34">
        <f t="shared" si="210"/>
        <v>10</v>
      </c>
      <c r="Z470" s="34">
        <f t="shared" si="210"/>
        <v>10</v>
      </c>
      <c r="AA470" s="34">
        <f t="shared" si="210"/>
        <v>10</v>
      </c>
      <c r="AB470" s="34">
        <f t="shared" si="210"/>
        <v>10</v>
      </c>
      <c r="AC470" s="34">
        <f t="shared" si="210"/>
        <v>10</v>
      </c>
      <c r="AD470" s="34">
        <f t="shared" si="210"/>
        <v>10</v>
      </c>
      <c r="AE470" s="34">
        <f t="shared" si="210"/>
        <v>10</v>
      </c>
      <c r="AF470" s="34">
        <f t="shared" si="210"/>
        <v>10</v>
      </c>
      <c r="AG470" s="34">
        <f t="shared" si="210"/>
        <v>10</v>
      </c>
      <c r="AH470" s="34">
        <f t="shared" si="210"/>
        <v>10</v>
      </c>
      <c r="AI470" s="34">
        <f t="shared" si="210"/>
        <v>10</v>
      </c>
      <c r="AJ470" s="34">
        <f t="shared" si="210"/>
        <v>10</v>
      </c>
      <c r="AK470" s="34">
        <f t="shared" si="210"/>
        <v>10</v>
      </c>
      <c r="AL470" s="34">
        <f t="shared" si="210"/>
        <v>10</v>
      </c>
      <c r="AM470" s="34">
        <f t="shared" si="210"/>
        <v>10</v>
      </c>
      <c r="AN470" s="34">
        <f t="shared" si="210"/>
        <v>10</v>
      </c>
      <c r="AO470" s="34"/>
      <c r="AP470" s="45">
        <f>AO465</f>
        <v>10</v>
      </c>
      <c r="AQ470" s="1"/>
    </row>
    <row r="471" ht="15.75" customHeight="1">
      <c r="A471" s="1"/>
      <c r="B471" s="32"/>
      <c r="C471" s="32" t="s">
        <v>181</v>
      </c>
      <c r="D471" s="32" t="s">
        <v>182</v>
      </c>
      <c r="E471" s="33"/>
      <c r="F471" s="14" t="s">
        <v>23</v>
      </c>
      <c r="G471" s="44"/>
      <c r="H471" s="21">
        <v>22.0</v>
      </c>
      <c r="I471" s="21">
        <f t="shared" ref="I471:AO471" si="211">H478</f>
        <v>22</v>
      </c>
      <c r="J471" s="21">
        <f t="shared" si="211"/>
        <v>22</v>
      </c>
      <c r="K471" s="21">
        <f t="shared" si="211"/>
        <v>22</v>
      </c>
      <c r="L471" s="21">
        <f t="shared" si="211"/>
        <v>22</v>
      </c>
      <c r="M471" s="21">
        <f t="shared" si="211"/>
        <v>22</v>
      </c>
      <c r="N471" s="21">
        <f t="shared" si="211"/>
        <v>22</v>
      </c>
      <c r="O471" s="21">
        <f t="shared" si="211"/>
        <v>22</v>
      </c>
      <c r="P471" s="21">
        <f t="shared" si="211"/>
        <v>52</v>
      </c>
      <c r="Q471" s="21">
        <f t="shared" si="211"/>
        <v>58</v>
      </c>
      <c r="R471" s="21">
        <f t="shared" si="211"/>
        <v>72</v>
      </c>
      <c r="S471" s="21">
        <f t="shared" si="211"/>
        <v>72</v>
      </c>
      <c r="T471" s="21">
        <f t="shared" si="211"/>
        <v>72</v>
      </c>
      <c r="U471" s="21">
        <f t="shared" si="211"/>
        <v>72</v>
      </c>
      <c r="V471" s="21">
        <f t="shared" si="211"/>
        <v>72</v>
      </c>
      <c r="W471" s="21">
        <f t="shared" si="211"/>
        <v>72</v>
      </c>
      <c r="X471" s="21">
        <f t="shared" si="211"/>
        <v>72</v>
      </c>
      <c r="Y471" s="21">
        <f t="shared" si="211"/>
        <v>72</v>
      </c>
      <c r="Z471" s="21">
        <f t="shared" si="211"/>
        <v>3</v>
      </c>
      <c r="AA471" s="21">
        <f t="shared" si="211"/>
        <v>31</v>
      </c>
      <c r="AB471" s="21">
        <f t="shared" si="211"/>
        <v>31</v>
      </c>
      <c r="AC471" s="21">
        <f t="shared" si="211"/>
        <v>31</v>
      </c>
      <c r="AD471" s="21">
        <f t="shared" si="211"/>
        <v>31</v>
      </c>
      <c r="AE471" s="21">
        <f t="shared" si="211"/>
        <v>31</v>
      </c>
      <c r="AF471" s="21">
        <f t="shared" si="211"/>
        <v>31</v>
      </c>
      <c r="AG471" s="21">
        <f t="shared" si="211"/>
        <v>31</v>
      </c>
      <c r="AH471" s="21">
        <f t="shared" si="211"/>
        <v>31</v>
      </c>
      <c r="AI471" s="21">
        <f t="shared" si="211"/>
        <v>31</v>
      </c>
      <c r="AJ471" s="21">
        <f t="shared" si="211"/>
        <v>31</v>
      </c>
      <c r="AK471" s="21">
        <f t="shared" si="211"/>
        <v>31</v>
      </c>
      <c r="AL471" s="21">
        <f t="shared" si="211"/>
        <v>31</v>
      </c>
      <c r="AM471" s="21">
        <f t="shared" si="211"/>
        <v>31</v>
      </c>
      <c r="AN471" s="21">
        <f t="shared" si="211"/>
        <v>31</v>
      </c>
      <c r="AO471" s="21">
        <f t="shared" si="211"/>
        <v>31</v>
      </c>
      <c r="AP471" s="54"/>
      <c r="AQ471" s="1"/>
    </row>
    <row r="472" ht="15.0" customHeight="1">
      <c r="A472" s="1"/>
      <c r="B472" s="35"/>
      <c r="C472" s="35"/>
      <c r="D472" s="35"/>
      <c r="E472" s="70" t="s">
        <v>24</v>
      </c>
      <c r="F472" s="36" t="s">
        <v>25</v>
      </c>
      <c r="G472" s="37"/>
      <c r="H472" s="37"/>
      <c r="I472" s="37"/>
      <c r="J472" s="37"/>
      <c r="K472" s="37"/>
      <c r="L472" s="37"/>
      <c r="M472" s="37"/>
      <c r="N472" s="37"/>
      <c r="O472" s="37">
        <v>30.0</v>
      </c>
      <c r="P472" s="37">
        <v>6.0</v>
      </c>
      <c r="Q472" s="37">
        <v>14.0</v>
      </c>
      <c r="R472" s="37"/>
      <c r="S472" s="38"/>
      <c r="T472" s="37"/>
      <c r="U472" s="38"/>
      <c r="V472" s="37"/>
      <c r="W472" s="37"/>
      <c r="X472" s="37"/>
      <c r="Y472" s="37"/>
      <c r="Z472" s="37">
        <v>28.0</v>
      </c>
      <c r="AA472" s="37"/>
      <c r="AB472" s="37"/>
      <c r="AC472" s="37"/>
      <c r="AD472" s="38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9">
        <f t="shared" ref="AP472:AP477" si="212">SUM(H472:AO472)</f>
        <v>78</v>
      </c>
      <c r="AQ472" s="1"/>
    </row>
    <row r="473" ht="15.0" customHeight="1">
      <c r="A473" s="1"/>
      <c r="B473" s="35"/>
      <c r="C473" s="35"/>
      <c r="D473" s="35"/>
      <c r="E473" s="87" t="s">
        <v>39</v>
      </c>
      <c r="F473" s="36" t="s">
        <v>67</v>
      </c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8"/>
      <c r="T473" s="37"/>
      <c r="U473" s="38"/>
      <c r="V473" s="37"/>
      <c r="W473" s="37"/>
      <c r="X473" s="37"/>
      <c r="Y473" s="37"/>
      <c r="Z473" s="37"/>
      <c r="AA473" s="37"/>
      <c r="AB473" s="37"/>
      <c r="AC473" s="37"/>
      <c r="AD473" s="38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9">
        <f t="shared" si="212"/>
        <v>0</v>
      </c>
      <c r="AQ473" s="1"/>
    </row>
    <row r="474" ht="15.0" customHeight="1">
      <c r="A474" s="1"/>
      <c r="B474" s="35"/>
      <c r="C474" s="35"/>
      <c r="D474" s="35"/>
      <c r="E474" s="87" t="s">
        <v>183</v>
      </c>
      <c r="F474" s="36" t="s">
        <v>67</v>
      </c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8"/>
      <c r="T474" s="37"/>
      <c r="U474" s="38"/>
      <c r="V474" s="37"/>
      <c r="W474" s="37"/>
      <c r="X474" s="37"/>
      <c r="Y474" s="37"/>
      <c r="Z474" s="37"/>
      <c r="AA474" s="37"/>
      <c r="AB474" s="37"/>
      <c r="AC474" s="37"/>
      <c r="AD474" s="38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9">
        <f t="shared" si="212"/>
        <v>0</v>
      </c>
      <c r="AQ474" s="1"/>
    </row>
    <row r="475" ht="15.0" customHeight="1">
      <c r="A475" s="51"/>
      <c r="B475" s="35"/>
      <c r="C475" s="35"/>
      <c r="D475" s="35"/>
      <c r="E475" s="47"/>
      <c r="F475" s="40" t="s">
        <v>26</v>
      </c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8"/>
      <c r="T475" s="49"/>
      <c r="U475" s="48"/>
      <c r="V475" s="49"/>
      <c r="W475" s="49"/>
      <c r="X475" s="49"/>
      <c r="Y475" s="49">
        <v>69.0</v>
      </c>
      <c r="Z475" s="49"/>
      <c r="AA475" s="49"/>
      <c r="AB475" s="49"/>
      <c r="AC475" s="49"/>
      <c r="AD475" s="48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50">
        <f t="shared" si="212"/>
        <v>69</v>
      </c>
      <c r="AQ475" s="51"/>
    </row>
    <row r="476" ht="15.0" customHeight="1">
      <c r="A476" s="1"/>
      <c r="B476" s="35"/>
      <c r="C476" s="35"/>
      <c r="D476" s="35"/>
      <c r="E476" s="33" t="s">
        <v>27</v>
      </c>
      <c r="F476" s="41" t="s">
        <v>28</v>
      </c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8"/>
      <c r="T476" s="37"/>
      <c r="U476" s="38"/>
      <c r="V476" s="37"/>
      <c r="W476" s="37"/>
      <c r="X476" s="37"/>
      <c r="Y476" s="37"/>
      <c r="Z476" s="37"/>
      <c r="AA476" s="37"/>
      <c r="AB476" s="37"/>
      <c r="AC476" s="37"/>
      <c r="AD476" s="38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9">
        <f t="shared" si="212"/>
        <v>0</v>
      </c>
      <c r="AQ476" s="1"/>
    </row>
    <row r="477" ht="15.0" customHeight="1">
      <c r="A477" s="1"/>
      <c r="B477" s="35"/>
      <c r="C477" s="35"/>
      <c r="D477" s="35"/>
      <c r="E477" s="33"/>
      <c r="F477" s="41" t="s">
        <v>29</v>
      </c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8"/>
      <c r="T477" s="37"/>
      <c r="U477" s="38"/>
      <c r="V477" s="37"/>
      <c r="W477" s="37"/>
      <c r="X477" s="37"/>
      <c r="Y477" s="37"/>
      <c r="Z477" s="37"/>
      <c r="AA477" s="37"/>
      <c r="AB477" s="37"/>
      <c r="AC477" s="37"/>
      <c r="AD477" s="38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9">
        <f t="shared" si="212"/>
        <v>0</v>
      </c>
      <c r="AQ477" s="1"/>
    </row>
    <row r="478" ht="15.0" customHeight="1">
      <c r="A478" s="1"/>
      <c r="B478" s="42"/>
      <c r="C478" s="42"/>
      <c r="D478" s="42"/>
      <c r="E478" s="19"/>
      <c r="F478" s="43" t="s">
        <v>30</v>
      </c>
      <c r="G478" s="44"/>
      <c r="H478" s="34">
        <f t="shared" ref="H478:AN478" si="213">H471+H472+H473+H474-H475+H476-H477</f>
        <v>22</v>
      </c>
      <c r="I478" s="34">
        <f t="shared" si="213"/>
        <v>22</v>
      </c>
      <c r="J478" s="34">
        <f t="shared" si="213"/>
        <v>22</v>
      </c>
      <c r="K478" s="34">
        <f t="shared" si="213"/>
        <v>22</v>
      </c>
      <c r="L478" s="34">
        <f t="shared" si="213"/>
        <v>22</v>
      </c>
      <c r="M478" s="34">
        <f t="shared" si="213"/>
        <v>22</v>
      </c>
      <c r="N478" s="34">
        <f t="shared" si="213"/>
        <v>22</v>
      </c>
      <c r="O478" s="34">
        <f t="shared" si="213"/>
        <v>52</v>
      </c>
      <c r="P478" s="34">
        <f t="shared" si="213"/>
        <v>58</v>
      </c>
      <c r="Q478" s="34">
        <f t="shared" si="213"/>
        <v>72</v>
      </c>
      <c r="R478" s="34">
        <f t="shared" si="213"/>
        <v>72</v>
      </c>
      <c r="S478" s="34">
        <f t="shared" si="213"/>
        <v>72</v>
      </c>
      <c r="T478" s="34">
        <f t="shared" si="213"/>
        <v>72</v>
      </c>
      <c r="U478" s="34">
        <f t="shared" si="213"/>
        <v>72</v>
      </c>
      <c r="V478" s="34">
        <f t="shared" si="213"/>
        <v>72</v>
      </c>
      <c r="W478" s="34">
        <f t="shared" si="213"/>
        <v>72</v>
      </c>
      <c r="X478" s="34">
        <f t="shared" si="213"/>
        <v>72</v>
      </c>
      <c r="Y478" s="34">
        <f t="shared" si="213"/>
        <v>3</v>
      </c>
      <c r="Z478" s="34">
        <f t="shared" si="213"/>
        <v>31</v>
      </c>
      <c r="AA478" s="34">
        <f t="shared" si="213"/>
        <v>31</v>
      </c>
      <c r="AB478" s="34">
        <f t="shared" si="213"/>
        <v>31</v>
      </c>
      <c r="AC478" s="34">
        <f t="shared" si="213"/>
        <v>31</v>
      </c>
      <c r="AD478" s="34">
        <f t="shared" si="213"/>
        <v>31</v>
      </c>
      <c r="AE478" s="34">
        <f t="shared" si="213"/>
        <v>31</v>
      </c>
      <c r="AF478" s="34">
        <f t="shared" si="213"/>
        <v>31</v>
      </c>
      <c r="AG478" s="34">
        <f t="shared" si="213"/>
        <v>31</v>
      </c>
      <c r="AH478" s="34">
        <f t="shared" si="213"/>
        <v>31</v>
      </c>
      <c r="AI478" s="34">
        <f t="shared" si="213"/>
        <v>31</v>
      </c>
      <c r="AJ478" s="34">
        <f t="shared" si="213"/>
        <v>31</v>
      </c>
      <c r="AK478" s="34">
        <f t="shared" si="213"/>
        <v>31</v>
      </c>
      <c r="AL478" s="34">
        <f t="shared" si="213"/>
        <v>31</v>
      </c>
      <c r="AM478" s="34">
        <f t="shared" si="213"/>
        <v>31</v>
      </c>
      <c r="AN478" s="34">
        <f t="shared" si="213"/>
        <v>31</v>
      </c>
      <c r="AO478" s="34"/>
      <c r="AP478" s="75">
        <f>AO471</f>
        <v>31</v>
      </c>
      <c r="AQ478" s="1"/>
    </row>
    <row r="479" ht="15.75" customHeight="1">
      <c r="A479" s="1"/>
      <c r="B479" s="32"/>
      <c r="C479" s="32" t="s">
        <v>184</v>
      </c>
      <c r="D479" s="32" t="s">
        <v>185</v>
      </c>
      <c r="E479" s="33"/>
      <c r="F479" s="14" t="s">
        <v>23</v>
      </c>
      <c r="G479" s="44"/>
      <c r="H479" s="21">
        <v>114.0</v>
      </c>
      <c r="I479" s="21">
        <f t="shared" ref="I479:AO479" si="214">H485</f>
        <v>114</v>
      </c>
      <c r="J479" s="21">
        <f t="shared" si="214"/>
        <v>14</v>
      </c>
      <c r="K479" s="21">
        <f t="shared" si="214"/>
        <v>14</v>
      </c>
      <c r="L479" s="21">
        <f t="shared" si="214"/>
        <v>14</v>
      </c>
      <c r="M479" s="21">
        <f t="shared" si="214"/>
        <v>14</v>
      </c>
      <c r="N479" s="21">
        <f t="shared" si="214"/>
        <v>14</v>
      </c>
      <c r="O479" s="21">
        <f t="shared" si="214"/>
        <v>14</v>
      </c>
      <c r="P479" s="21">
        <f t="shared" si="214"/>
        <v>14</v>
      </c>
      <c r="Q479" s="21">
        <f t="shared" si="214"/>
        <v>14</v>
      </c>
      <c r="R479" s="21">
        <f t="shared" si="214"/>
        <v>14</v>
      </c>
      <c r="S479" s="21">
        <f t="shared" si="214"/>
        <v>14</v>
      </c>
      <c r="T479" s="21">
        <f t="shared" si="214"/>
        <v>14</v>
      </c>
      <c r="U479" s="21">
        <f t="shared" si="214"/>
        <v>14</v>
      </c>
      <c r="V479" s="21">
        <f t="shared" si="214"/>
        <v>14</v>
      </c>
      <c r="W479" s="21">
        <f t="shared" si="214"/>
        <v>14</v>
      </c>
      <c r="X479" s="21">
        <f t="shared" si="214"/>
        <v>14</v>
      </c>
      <c r="Y479" s="21">
        <f t="shared" si="214"/>
        <v>14</v>
      </c>
      <c r="Z479" s="21">
        <f t="shared" si="214"/>
        <v>14</v>
      </c>
      <c r="AA479" s="21">
        <f t="shared" si="214"/>
        <v>14</v>
      </c>
      <c r="AB479" s="21">
        <f t="shared" si="214"/>
        <v>14</v>
      </c>
      <c r="AC479" s="21">
        <f t="shared" si="214"/>
        <v>14</v>
      </c>
      <c r="AD479" s="21">
        <f t="shared" si="214"/>
        <v>14</v>
      </c>
      <c r="AE479" s="21">
        <f t="shared" si="214"/>
        <v>14</v>
      </c>
      <c r="AF479" s="21">
        <f t="shared" si="214"/>
        <v>14</v>
      </c>
      <c r="AG479" s="21">
        <f t="shared" si="214"/>
        <v>14</v>
      </c>
      <c r="AH479" s="21">
        <f t="shared" si="214"/>
        <v>14</v>
      </c>
      <c r="AI479" s="21">
        <f t="shared" si="214"/>
        <v>14</v>
      </c>
      <c r="AJ479" s="21">
        <f t="shared" si="214"/>
        <v>14</v>
      </c>
      <c r="AK479" s="21">
        <f t="shared" si="214"/>
        <v>14</v>
      </c>
      <c r="AL479" s="21">
        <f t="shared" si="214"/>
        <v>14</v>
      </c>
      <c r="AM479" s="21">
        <f t="shared" si="214"/>
        <v>14</v>
      </c>
      <c r="AN479" s="21">
        <f t="shared" si="214"/>
        <v>14</v>
      </c>
      <c r="AO479" s="21">
        <f t="shared" si="214"/>
        <v>14</v>
      </c>
      <c r="AP479" s="54"/>
      <c r="AQ479" s="1"/>
    </row>
    <row r="480" ht="15.0" customHeight="1">
      <c r="A480" s="1"/>
      <c r="B480" s="35"/>
      <c r="C480" s="35"/>
      <c r="D480" s="35"/>
      <c r="E480" s="70" t="s">
        <v>24</v>
      </c>
      <c r="F480" s="36" t="s">
        <v>25</v>
      </c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8"/>
      <c r="T480" s="37"/>
      <c r="U480" s="38"/>
      <c r="V480" s="37"/>
      <c r="W480" s="37"/>
      <c r="X480" s="37"/>
      <c r="Y480" s="37"/>
      <c r="Z480" s="37"/>
      <c r="AA480" s="37"/>
      <c r="AB480" s="37"/>
      <c r="AC480" s="37"/>
      <c r="AD480" s="38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9">
        <f t="shared" ref="AP480:AP484" si="215">SUM(H480:AO480)</f>
        <v>0</v>
      </c>
      <c r="AQ480" s="1"/>
    </row>
    <row r="481" ht="15.0" customHeight="1">
      <c r="A481" s="1"/>
      <c r="B481" s="35"/>
      <c r="C481" s="35"/>
      <c r="D481" s="35"/>
      <c r="E481" s="87" t="s">
        <v>183</v>
      </c>
      <c r="F481" s="36" t="s">
        <v>67</v>
      </c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8"/>
      <c r="T481" s="37"/>
      <c r="U481" s="38"/>
      <c r="V481" s="37"/>
      <c r="W481" s="37"/>
      <c r="X481" s="37"/>
      <c r="Y481" s="37"/>
      <c r="Z481" s="37"/>
      <c r="AA481" s="37"/>
      <c r="AB481" s="37"/>
      <c r="AC481" s="37"/>
      <c r="AD481" s="38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9">
        <f t="shared" si="215"/>
        <v>0</v>
      </c>
      <c r="AQ481" s="1"/>
    </row>
    <row r="482" ht="15.0" customHeight="1">
      <c r="A482" s="51"/>
      <c r="B482" s="35"/>
      <c r="C482" s="35"/>
      <c r="D482" s="35"/>
      <c r="E482" s="47"/>
      <c r="F482" s="40" t="s">
        <v>26</v>
      </c>
      <c r="G482" s="49"/>
      <c r="H482" s="49"/>
      <c r="I482" s="49">
        <v>100.0</v>
      </c>
      <c r="J482" s="49"/>
      <c r="K482" s="49"/>
      <c r="L482" s="49"/>
      <c r="M482" s="49"/>
      <c r="N482" s="49"/>
      <c r="O482" s="49"/>
      <c r="P482" s="49"/>
      <c r="Q482" s="49"/>
      <c r="R482" s="49"/>
      <c r="S482" s="48"/>
      <c r="T482" s="49"/>
      <c r="U482" s="48"/>
      <c r="V482" s="49"/>
      <c r="W482" s="49"/>
      <c r="X482" s="49"/>
      <c r="Y482" s="49"/>
      <c r="Z482" s="49"/>
      <c r="AA482" s="49"/>
      <c r="AB482" s="49"/>
      <c r="AC482" s="49"/>
      <c r="AD482" s="48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8"/>
      <c r="AP482" s="50">
        <f t="shared" si="215"/>
        <v>100</v>
      </c>
      <c r="AQ482" s="51"/>
    </row>
    <row r="483" ht="15.0" customHeight="1">
      <c r="A483" s="1"/>
      <c r="B483" s="35"/>
      <c r="C483" s="35"/>
      <c r="D483" s="35"/>
      <c r="E483" s="33" t="s">
        <v>27</v>
      </c>
      <c r="F483" s="41" t="s">
        <v>28</v>
      </c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8"/>
      <c r="T483" s="37"/>
      <c r="U483" s="38"/>
      <c r="V483" s="37"/>
      <c r="W483" s="37"/>
      <c r="X483" s="37"/>
      <c r="Y483" s="37"/>
      <c r="Z483" s="37"/>
      <c r="AA483" s="37"/>
      <c r="AB483" s="37"/>
      <c r="AC483" s="37"/>
      <c r="AD483" s="38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9">
        <f t="shared" si="215"/>
        <v>0</v>
      </c>
      <c r="AQ483" s="1"/>
    </row>
    <row r="484" ht="15.0" customHeight="1">
      <c r="A484" s="1"/>
      <c r="B484" s="35"/>
      <c r="C484" s="35"/>
      <c r="D484" s="35"/>
      <c r="E484" s="33"/>
      <c r="F484" s="41" t="s">
        <v>29</v>
      </c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8"/>
      <c r="T484" s="37"/>
      <c r="U484" s="38"/>
      <c r="V484" s="37"/>
      <c r="W484" s="37"/>
      <c r="X484" s="37"/>
      <c r="Y484" s="37"/>
      <c r="Z484" s="37"/>
      <c r="AA484" s="37"/>
      <c r="AB484" s="37"/>
      <c r="AC484" s="37"/>
      <c r="AD484" s="38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9">
        <f t="shared" si="215"/>
        <v>0</v>
      </c>
      <c r="AQ484" s="1"/>
    </row>
    <row r="485" ht="15.75" customHeight="1">
      <c r="A485" s="1"/>
      <c r="B485" s="42"/>
      <c r="C485" s="42"/>
      <c r="D485" s="42"/>
      <c r="E485" s="52"/>
      <c r="F485" s="43" t="s">
        <v>30</v>
      </c>
      <c r="G485" s="44"/>
      <c r="H485" s="34">
        <f t="shared" ref="H485:AN485" si="216">H479+H480+H481-H482+H483-H484</f>
        <v>114</v>
      </c>
      <c r="I485" s="34">
        <f t="shared" si="216"/>
        <v>14</v>
      </c>
      <c r="J485" s="34">
        <f t="shared" si="216"/>
        <v>14</v>
      </c>
      <c r="K485" s="34">
        <f t="shared" si="216"/>
        <v>14</v>
      </c>
      <c r="L485" s="34">
        <f t="shared" si="216"/>
        <v>14</v>
      </c>
      <c r="M485" s="34">
        <f t="shared" si="216"/>
        <v>14</v>
      </c>
      <c r="N485" s="34">
        <f t="shared" si="216"/>
        <v>14</v>
      </c>
      <c r="O485" s="34">
        <f t="shared" si="216"/>
        <v>14</v>
      </c>
      <c r="P485" s="34">
        <f t="shared" si="216"/>
        <v>14</v>
      </c>
      <c r="Q485" s="34">
        <f t="shared" si="216"/>
        <v>14</v>
      </c>
      <c r="R485" s="34">
        <f t="shared" si="216"/>
        <v>14</v>
      </c>
      <c r="S485" s="34">
        <f t="shared" si="216"/>
        <v>14</v>
      </c>
      <c r="T485" s="34">
        <f t="shared" si="216"/>
        <v>14</v>
      </c>
      <c r="U485" s="34">
        <f t="shared" si="216"/>
        <v>14</v>
      </c>
      <c r="V485" s="34">
        <f t="shared" si="216"/>
        <v>14</v>
      </c>
      <c r="W485" s="34">
        <f t="shared" si="216"/>
        <v>14</v>
      </c>
      <c r="X485" s="34">
        <f t="shared" si="216"/>
        <v>14</v>
      </c>
      <c r="Y485" s="34">
        <f t="shared" si="216"/>
        <v>14</v>
      </c>
      <c r="Z485" s="34">
        <f t="shared" si="216"/>
        <v>14</v>
      </c>
      <c r="AA485" s="34">
        <f t="shared" si="216"/>
        <v>14</v>
      </c>
      <c r="AB485" s="34">
        <f t="shared" si="216"/>
        <v>14</v>
      </c>
      <c r="AC485" s="34">
        <f t="shared" si="216"/>
        <v>14</v>
      </c>
      <c r="AD485" s="34">
        <f t="shared" si="216"/>
        <v>14</v>
      </c>
      <c r="AE485" s="34">
        <f t="shared" si="216"/>
        <v>14</v>
      </c>
      <c r="AF485" s="34">
        <f t="shared" si="216"/>
        <v>14</v>
      </c>
      <c r="AG485" s="34">
        <f t="shared" si="216"/>
        <v>14</v>
      </c>
      <c r="AH485" s="34">
        <f t="shared" si="216"/>
        <v>14</v>
      </c>
      <c r="AI485" s="34">
        <f t="shared" si="216"/>
        <v>14</v>
      </c>
      <c r="AJ485" s="34">
        <f t="shared" si="216"/>
        <v>14</v>
      </c>
      <c r="AK485" s="34">
        <f t="shared" si="216"/>
        <v>14</v>
      </c>
      <c r="AL485" s="34">
        <f t="shared" si="216"/>
        <v>14</v>
      </c>
      <c r="AM485" s="34">
        <f t="shared" si="216"/>
        <v>14</v>
      </c>
      <c r="AN485" s="34">
        <f t="shared" si="216"/>
        <v>14</v>
      </c>
      <c r="AO485" s="34"/>
      <c r="AP485" s="75">
        <f>AO479</f>
        <v>14</v>
      </c>
      <c r="AQ485" s="1"/>
    </row>
    <row r="486" ht="15.75" customHeight="1">
      <c r="A486" s="1"/>
      <c r="B486" s="32"/>
      <c r="C486" s="32" t="s">
        <v>186</v>
      </c>
      <c r="D486" s="32" t="s">
        <v>187</v>
      </c>
      <c r="E486" s="13"/>
      <c r="F486" s="14" t="s">
        <v>23</v>
      </c>
      <c r="G486" s="44"/>
      <c r="H486" s="34">
        <v>17.0</v>
      </c>
      <c r="I486" s="34">
        <f t="shared" ref="I486:AO486" si="217">H492</f>
        <v>17</v>
      </c>
      <c r="J486" s="34">
        <f t="shared" si="217"/>
        <v>17</v>
      </c>
      <c r="K486" s="34">
        <f t="shared" si="217"/>
        <v>17</v>
      </c>
      <c r="L486" s="34">
        <f t="shared" si="217"/>
        <v>17</v>
      </c>
      <c r="M486" s="34">
        <f t="shared" si="217"/>
        <v>17</v>
      </c>
      <c r="N486" s="34">
        <f t="shared" si="217"/>
        <v>17</v>
      </c>
      <c r="O486" s="34">
        <f t="shared" si="217"/>
        <v>17</v>
      </c>
      <c r="P486" s="34">
        <f t="shared" si="217"/>
        <v>17</v>
      </c>
      <c r="Q486" s="34">
        <f t="shared" si="217"/>
        <v>17</v>
      </c>
      <c r="R486" s="34">
        <f t="shared" si="217"/>
        <v>17</v>
      </c>
      <c r="S486" s="34">
        <f t="shared" si="217"/>
        <v>17</v>
      </c>
      <c r="T486" s="34">
        <f t="shared" si="217"/>
        <v>17</v>
      </c>
      <c r="U486" s="34">
        <f t="shared" si="217"/>
        <v>17</v>
      </c>
      <c r="V486" s="34">
        <f t="shared" si="217"/>
        <v>17</v>
      </c>
      <c r="W486" s="34">
        <f t="shared" si="217"/>
        <v>17</v>
      </c>
      <c r="X486" s="34">
        <f t="shared" si="217"/>
        <v>17</v>
      </c>
      <c r="Y486" s="34">
        <f t="shared" si="217"/>
        <v>17</v>
      </c>
      <c r="Z486" s="34">
        <f t="shared" si="217"/>
        <v>17</v>
      </c>
      <c r="AA486" s="34">
        <f t="shared" si="217"/>
        <v>17</v>
      </c>
      <c r="AB486" s="34">
        <f t="shared" si="217"/>
        <v>17</v>
      </c>
      <c r="AC486" s="34">
        <f t="shared" si="217"/>
        <v>17</v>
      </c>
      <c r="AD486" s="34">
        <f t="shared" si="217"/>
        <v>17</v>
      </c>
      <c r="AE486" s="34">
        <f t="shared" si="217"/>
        <v>17</v>
      </c>
      <c r="AF486" s="34">
        <f t="shared" si="217"/>
        <v>17</v>
      </c>
      <c r="AG486" s="34">
        <f t="shared" si="217"/>
        <v>17</v>
      </c>
      <c r="AH486" s="34">
        <f t="shared" si="217"/>
        <v>17</v>
      </c>
      <c r="AI486" s="34">
        <f t="shared" si="217"/>
        <v>17</v>
      </c>
      <c r="AJ486" s="34">
        <f t="shared" si="217"/>
        <v>17</v>
      </c>
      <c r="AK486" s="34">
        <f t="shared" si="217"/>
        <v>17</v>
      </c>
      <c r="AL486" s="34">
        <f t="shared" si="217"/>
        <v>17</v>
      </c>
      <c r="AM486" s="34">
        <f t="shared" si="217"/>
        <v>17</v>
      </c>
      <c r="AN486" s="34">
        <f t="shared" si="217"/>
        <v>17</v>
      </c>
      <c r="AO486" s="34">
        <f t="shared" si="217"/>
        <v>17</v>
      </c>
      <c r="AP486" s="54"/>
      <c r="AQ486" s="1"/>
    </row>
    <row r="487" ht="15.75" customHeight="1">
      <c r="A487" s="1"/>
      <c r="B487" s="35"/>
      <c r="C487" s="35"/>
      <c r="D487" s="35"/>
      <c r="E487" s="33" t="s">
        <v>24</v>
      </c>
      <c r="F487" s="36" t="s">
        <v>25</v>
      </c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8"/>
      <c r="T487" s="37"/>
      <c r="U487" s="38"/>
      <c r="V487" s="37"/>
      <c r="W487" s="37"/>
      <c r="X487" s="37"/>
      <c r="Y487" s="37"/>
      <c r="Z487" s="37"/>
      <c r="AA487" s="37"/>
      <c r="AB487" s="37"/>
      <c r="AC487" s="37"/>
      <c r="AD487" s="38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88"/>
      <c r="AP487" s="39">
        <f>SUM(H487:AO487)</f>
        <v>0</v>
      </c>
      <c r="AQ487" s="1"/>
    </row>
    <row r="488" ht="15.75" customHeight="1">
      <c r="A488" s="1"/>
      <c r="B488" s="35"/>
      <c r="C488" s="35"/>
      <c r="D488" s="35"/>
      <c r="E488" s="33" t="s">
        <v>188</v>
      </c>
      <c r="F488" s="36" t="s">
        <v>25</v>
      </c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8"/>
      <c r="T488" s="37"/>
      <c r="U488" s="38"/>
      <c r="V488" s="37"/>
      <c r="W488" s="37"/>
      <c r="X488" s="37"/>
      <c r="Y488" s="37"/>
      <c r="Z488" s="37"/>
      <c r="AA488" s="37"/>
      <c r="AB488" s="37"/>
      <c r="AC488" s="37"/>
      <c r="AD488" s="38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88"/>
      <c r="AP488" s="39"/>
      <c r="AQ488" s="1"/>
    </row>
    <row r="489" ht="15.75" customHeight="1">
      <c r="A489" s="51"/>
      <c r="B489" s="35"/>
      <c r="C489" s="35"/>
      <c r="D489" s="35"/>
      <c r="E489" s="47"/>
      <c r="F489" s="40" t="s">
        <v>26</v>
      </c>
      <c r="G489" s="49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89"/>
      <c r="AP489" s="50">
        <f t="shared" ref="AP489:AP491" si="218">SUM(H489:AO489)</f>
        <v>0</v>
      </c>
      <c r="AQ489" s="51"/>
    </row>
    <row r="490" ht="15.75" customHeight="1">
      <c r="A490" s="1"/>
      <c r="B490" s="35"/>
      <c r="C490" s="35"/>
      <c r="D490" s="35"/>
      <c r="E490" s="33" t="s">
        <v>27</v>
      </c>
      <c r="F490" s="41" t="s">
        <v>28</v>
      </c>
      <c r="G490" s="37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8"/>
      <c r="AP490" s="39">
        <f t="shared" si="218"/>
        <v>0</v>
      </c>
      <c r="AQ490" s="1"/>
    </row>
    <row r="491" ht="15.75" customHeight="1">
      <c r="A491" s="1"/>
      <c r="B491" s="35"/>
      <c r="C491" s="35"/>
      <c r="D491" s="35"/>
      <c r="E491" s="33"/>
      <c r="F491" s="41" t="s">
        <v>29</v>
      </c>
      <c r="G491" s="37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8"/>
      <c r="AP491" s="39">
        <f t="shared" si="218"/>
        <v>0</v>
      </c>
      <c r="AQ491" s="1"/>
    </row>
    <row r="492" ht="15.75" customHeight="1">
      <c r="A492" s="1"/>
      <c r="B492" s="35"/>
      <c r="C492" s="42"/>
      <c r="D492" s="42"/>
      <c r="E492" s="52"/>
      <c r="F492" s="43" t="s">
        <v>30</v>
      </c>
      <c r="G492" s="44"/>
      <c r="H492" s="34">
        <f>H486+H487-H489+H490-H491</f>
        <v>17</v>
      </c>
      <c r="I492" s="34">
        <f t="shared" ref="I492:L492" si="219">I486+I487-I489+I490</f>
        <v>17</v>
      </c>
      <c r="J492" s="34">
        <f t="shared" si="219"/>
        <v>17</v>
      </c>
      <c r="K492" s="34">
        <f t="shared" si="219"/>
        <v>17</v>
      </c>
      <c r="L492" s="34">
        <f t="shared" si="219"/>
        <v>17</v>
      </c>
      <c r="M492" s="34">
        <f>M486+M488-M489+M490</f>
        <v>17</v>
      </c>
      <c r="N492" s="34">
        <f t="shared" ref="N492:AK492" si="220">N486+N487-N489+N490</f>
        <v>17</v>
      </c>
      <c r="O492" s="34">
        <f t="shared" si="220"/>
        <v>17</v>
      </c>
      <c r="P492" s="34">
        <f t="shared" si="220"/>
        <v>17</v>
      </c>
      <c r="Q492" s="34">
        <f t="shared" si="220"/>
        <v>17</v>
      </c>
      <c r="R492" s="34">
        <f t="shared" si="220"/>
        <v>17</v>
      </c>
      <c r="S492" s="34">
        <f t="shared" si="220"/>
        <v>17</v>
      </c>
      <c r="T492" s="34">
        <f t="shared" si="220"/>
        <v>17</v>
      </c>
      <c r="U492" s="34">
        <f t="shared" si="220"/>
        <v>17</v>
      </c>
      <c r="V492" s="34">
        <f t="shared" si="220"/>
        <v>17</v>
      </c>
      <c r="W492" s="34">
        <f t="shared" si="220"/>
        <v>17</v>
      </c>
      <c r="X492" s="34">
        <f t="shared" si="220"/>
        <v>17</v>
      </c>
      <c r="Y492" s="34">
        <f t="shared" si="220"/>
        <v>17</v>
      </c>
      <c r="Z492" s="34">
        <f t="shared" si="220"/>
        <v>17</v>
      </c>
      <c r="AA492" s="34">
        <f t="shared" si="220"/>
        <v>17</v>
      </c>
      <c r="AB492" s="34">
        <f t="shared" si="220"/>
        <v>17</v>
      </c>
      <c r="AC492" s="34">
        <f t="shared" si="220"/>
        <v>17</v>
      </c>
      <c r="AD492" s="34">
        <f t="shared" si="220"/>
        <v>17</v>
      </c>
      <c r="AE492" s="34">
        <f t="shared" si="220"/>
        <v>17</v>
      </c>
      <c r="AF492" s="34">
        <f t="shared" si="220"/>
        <v>17</v>
      </c>
      <c r="AG492" s="34">
        <f t="shared" si="220"/>
        <v>17</v>
      </c>
      <c r="AH492" s="34">
        <f t="shared" si="220"/>
        <v>17</v>
      </c>
      <c r="AI492" s="34">
        <f t="shared" si="220"/>
        <v>17</v>
      </c>
      <c r="AJ492" s="34">
        <f t="shared" si="220"/>
        <v>17</v>
      </c>
      <c r="AK492" s="34">
        <f t="shared" si="220"/>
        <v>17</v>
      </c>
      <c r="AL492" s="34">
        <f t="shared" ref="AL492:AN492" si="221">AL486+AL487-AL489+AL490-AL491</f>
        <v>17</v>
      </c>
      <c r="AM492" s="34">
        <f t="shared" si="221"/>
        <v>17</v>
      </c>
      <c r="AN492" s="34">
        <f t="shared" si="221"/>
        <v>17</v>
      </c>
      <c r="AO492" s="34"/>
      <c r="AP492" s="75">
        <f>AO486</f>
        <v>17</v>
      </c>
      <c r="AQ492" s="1"/>
    </row>
    <row r="493" ht="15.75" customHeight="1">
      <c r="A493" s="1"/>
      <c r="B493" s="32"/>
      <c r="C493" s="32" t="s">
        <v>189</v>
      </c>
      <c r="D493" s="32" t="s">
        <v>190</v>
      </c>
      <c r="E493" s="13"/>
      <c r="F493" s="14" t="s">
        <v>23</v>
      </c>
      <c r="G493" s="44"/>
      <c r="H493" s="34">
        <v>0.0</v>
      </c>
      <c r="I493" s="34">
        <f t="shared" ref="I493:AO493" si="222">H498</f>
        <v>0</v>
      </c>
      <c r="J493" s="34">
        <f t="shared" si="222"/>
        <v>0</v>
      </c>
      <c r="K493" s="34">
        <f t="shared" si="222"/>
        <v>0</v>
      </c>
      <c r="L493" s="34">
        <f t="shared" si="222"/>
        <v>0</v>
      </c>
      <c r="M493" s="34">
        <f t="shared" si="222"/>
        <v>0</v>
      </c>
      <c r="N493" s="34">
        <f t="shared" si="222"/>
        <v>0</v>
      </c>
      <c r="O493" s="34">
        <f t="shared" si="222"/>
        <v>0</v>
      </c>
      <c r="P493" s="34">
        <f t="shared" si="222"/>
        <v>0</v>
      </c>
      <c r="Q493" s="34">
        <f t="shared" si="222"/>
        <v>0</v>
      </c>
      <c r="R493" s="34">
        <f t="shared" si="222"/>
        <v>0</v>
      </c>
      <c r="S493" s="34">
        <f t="shared" si="222"/>
        <v>0</v>
      </c>
      <c r="T493" s="34">
        <f t="shared" si="222"/>
        <v>0</v>
      </c>
      <c r="U493" s="34">
        <f t="shared" si="222"/>
        <v>0</v>
      </c>
      <c r="V493" s="34">
        <f t="shared" si="222"/>
        <v>0</v>
      </c>
      <c r="W493" s="34">
        <f t="shared" si="222"/>
        <v>0</v>
      </c>
      <c r="X493" s="34">
        <f t="shared" si="222"/>
        <v>0</v>
      </c>
      <c r="Y493" s="34">
        <f t="shared" si="222"/>
        <v>0</v>
      </c>
      <c r="Z493" s="34">
        <f t="shared" si="222"/>
        <v>0</v>
      </c>
      <c r="AA493" s="34">
        <f t="shared" si="222"/>
        <v>0</v>
      </c>
      <c r="AB493" s="34">
        <f t="shared" si="222"/>
        <v>0</v>
      </c>
      <c r="AC493" s="34">
        <f t="shared" si="222"/>
        <v>0</v>
      </c>
      <c r="AD493" s="34">
        <f t="shared" si="222"/>
        <v>0</v>
      </c>
      <c r="AE493" s="34">
        <f t="shared" si="222"/>
        <v>0</v>
      </c>
      <c r="AF493" s="34">
        <f t="shared" si="222"/>
        <v>0</v>
      </c>
      <c r="AG493" s="34">
        <f t="shared" si="222"/>
        <v>0</v>
      </c>
      <c r="AH493" s="34">
        <f t="shared" si="222"/>
        <v>0</v>
      </c>
      <c r="AI493" s="34">
        <f t="shared" si="222"/>
        <v>0</v>
      </c>
      <c r="AJ493" s="34">
        <f t="shared" si="222"/>
        <v>0</v>
      </c>
      <c r="AK493" s="34">
        <f t="shared" si="222"/>
        <v>0</v>
      </c>
      <c r="AL493" s="34">
        <f t="shared" si="222"/>
        <v>0</v>
      </c>
      <c r="AM493" s="34">
        <f t="shared" si="222"/>
        <v>0</v>
      </c>
      <c r="AN493" s="34">
        <f t="shared" si="222"/>
        <v>0</v>
      </c>
      <c r="AO493" s="34">
        <f t="shared" si="222"/>
        <v>0</v>
      </c>
      <c r="AP493" s="54"/>
      <c r="AQ493" s="1"/>
    </row>
    <row r="494" ht="15.75" customHeight="1">
      <c r="A494" s="1"/>
      <c r="B494" s="35"/>
      <c r="C494" s="35"/>
      <c r="D494" s="35"/>
      <c r="E494" s="33" t="s">
        <v>24</v>
      </c>
      <c r="F494" s="36" t="s">
        <v>25</v>
      </c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8"/>
      <c r="T494" s="37"/>
      <c r="U494" s="38"/>
      <c r="V494" s="37"/>
      <c r="W494" s="37"/>
      <c r="X494" s="37"/>
      <c r="Y494" s="37"/>
      <c r="Z494" s="37"/>
      <c r="AA494" s="37"/>
      <c r="AB494" s="37"/>
      <c r="AC494" s="37"/>
      <c r="AD494" s="38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88"/>
      <c r="AP494" s="39">
        <f t="shared" ref="AP494:AP497" si="223">SUM(H494:AO494)</f>
        <v>0</v>
      </c>
      <c r="AQ494" s="1"/>
    </row>
    <row r="495" ht="15.75" customHeight="1">
      <c r="A495" s="1"/>
      <c r="B495" s="35"/>
      <c r="C495" s="35"/>
      <c r="D495" s="35"/>
      <c r="E495" s="33"/>
      <c r="F495" s="40" t="s">
        <v>26</v>
      </c>
      <c r="G495" s="37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8"/>
      <c r="AP495" s="39">
        <f t="shared" si="223"/>
        <v>0</v>
      </c>
      <c r="AQ495" s="1"/>
    </row>
    <row r="496" ht="15.75" customHeight="1">
      <c r="A496" s="1"/>
      <c r="B496" s="35"/>
      <c r="C496" s="35"/>
      <c r="D496" s="35"/>
      <c r="E496" s="33" t="s">
        <v>27</v>
      </c>
      <c r="F496" s="41" t="s">
        <v>28</v>
      </c>
      <c r="G496" s="37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8"/>
      <c r="AP496" s="39">
        <f t="shared" si="223"/>
        <v>0</v>
      </c>
      <c r="AQ496" s="1"/>
    </row>
    <row r="497" ht="15.75" customHeight="1">
      <c r="A497" s="1"/>
      <c r="B497" s="35"/>
      <c r="C497" s="35"/>
      <c r="D497" s="35"/>
      <c r="E497" s="33"/>
      <c r="F497" s="41" t="s">
        <v>29</v>
      </c>
      <c r="G497" s="37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8"/>
      <c r="AP497" s="39">
        <f t="shared" si="223"/>
        <v>0</v>
      </c>
      <c r="AQ497" s="1"/>
    </row>
    <row r="498" ht="15.75" customHeight="1">
      <c r="A498" s="1"/>
      <c r="B498" s="35"/>
      <c r="C498" s="42"/>
      <c r="D498" s="42"/>
      <c r="E498" s="52"/>
      <c r="F498" s="43" t="s">
        <v>30</v>
      </c>
      <c r="G498" s="44"/>
      <c r="H498" s="34">
        <f>H493+H494-H495+H496-H497</f>
        <v>0</v>
      </c>
      <c r="I498" s="34">
        <f t="shared" ref="I498:AK498" si="224">I493+I494-I495+I496</f>
        <v>0</v>
      </c>
      <c r="J498" s="34">
        <f t="shared" si="224"/>
        <v>0</v>
      </c>
      <c r="K498" s="34">
        <f t="shared" si="224"/>
        <v>0</v>
      </c>
      <c r="L498" s="34">
        <f t="shared" si="224"/>
        <v>0</v>
      </c>
      <c r="M498" s="34">
        <f t="shared" si="224"/>
        <v>0</v>
      </c>
      <c r="N498" s="34">
        <f t="shared" si="224"/>
        <v>0</v>
      </c>
      <c r="O498" s="34">
        <f t="shared" si="224"/>
        <v>0</v>
      </c>
      <c r="P498" s="34">
        <f t="shared" si="224"/>
        <v>0</v>
      </c>
      <c r="Q498" s="34">
        <f t="shared" si="224"/>
        <v>0</v>
      </c>
      <c r="R498" s="34">
        <f t="shared" si="224"/>
        <v>0</v>
      </c>
      <c r="S498" s="34">
        <f t="shared" si="224"/>
        <v>0</v>
      </c>
      <c r="T498" s="34">
        <f t="shared" si="224"/>
        <v>0</v>
      </c>
      <c r="U498" s="34">
        <f t="shared" si="224"/>
        <v>0</v>
      </c>
      <c r="V498" s="34">
        <f t="shared" si="224"/>
        <v>0</v>
      </c>
      <c r="W498" s="34">
        <f t="shared" si="224"/>
        <v>0</v>
      </c>
      <c r="X498" s="34">
        <f t="shared" si="224"/>
        <v>0</v>
      </c>
      <c r="Y498" s="34">
        <f t="shared" si="224"/>
        <v>0</v>
      </c>
      <c r="Z498" s="34">
        <f t="shared" si="224"/>
        <v>0</v>
      </c>
      <c r="AA498" s="34">
        <f t="shared" si="224"/>
        <v>0</v>
      </c>
      <c r="AB498" s="34">
        <f t="shared" si="224"/>
        <v>0</v>
      </c>
      <c r="AC498" s="34">
        <f t="shared" si="224"/>
        <v>0</v>
      </c>
      <c r="AD498" s="34">
        <f t="shared" si="224"/>
        <v>0</v>
      </c>
      <c r="AE498" s="34">
        <f t="shared" si="224"/>
        <v>0</v>
      </c>
      <c r="AF498" s="34">
        <f t="shared" si="224"/>
        <v>0</v>
      </c>
      <c r="AG498" s="34">
        <f t="shared" si="224"/>
        <v>0</v>
      </c>
      <c r="AH498" s="34">
        <f t="shared" si="224"/>
        <v>0</v>
      </c>
      <c r="AI498" s="34">
        <f t="shared" si="224"/>
        <v>0</v>
      </c>
      <c r="AJ498" s="34">
        <f t="shared" si="224"/>
        <v>0</v>
      </c>
      <c r="AK498" s="34">
        <f t="shared" si="224"/>
        <v>0</v>
      </c>
      <c r="AL498" s="34">
        <f t="shared" ref="AL498:AN498" si="225">AL493+AL494-AL495+AL496-AL497</f>
        <v>0</v>
      </c>
      <c r="AM498" s="34">
        <f t="shared" si="225"/>
        <v>0</v>
      </c>
      <c r="AN498" s="34">
        <f t="shared" si="225"/>
        <v>0</v>
      </c>
      <c r="AO498" s="34"/>
      <c r="AP498" s="75">
        <f>AO493</f>
        <v>0</v>
      </c>
      <c r="AQ498" s="1"/>
    </row>
    <row r="499" ht="15.75" customHeight="1">
      <c r="A499" s="1"/>
      <c r="B499" s="32"/>
      <c r="C499" s="32" t="s">
        <v>191</v>
      </c>
      <c r="D499" s="32" t="s">
        <v>192</v>
      </c>
      <c r="E499" s="13"/>
      <c r="F499" s="14" t="s">
        <v>23</v>
      </c>
      <c r="G499" s="44"/>
      <c r="H499" s="34">
        <v>0.0</v>
      </c>
      <c r="I499" s="34">
        <f t="shared" ref="I499:AO499" si="226">H504</f>
        <v>0</v>
      </c>
      <c r="J499" s="34">
        <f t="shared" si="226"/>
        <v>0</v>
      </c>
      <c r="K499" s="34">
        <f t="shared" si="226"/>
        <v>0</v>
      </c>
      <c r="L499" s="34">
        <f t="shared" si="226"/>
        <v>0</v>
      </c>
      <c r="M499" s="34">
        <f t="shared" si="226"/>
        <v>0</v>
      </c>
      <c r="N499" s="34">
        <f t="shared" si="226"/>
        <v>0</v>
      </c>
      <c r="O499" s="34">
        <f t="shared" si="226"/>
        <v>0</v>
      </c>
      <c r="P499" s="34">
        <f t="shared" si="226"/>
        <v>0</v>
      </c>
      <c r="Q499" s="34">
        <f t="shared" si="226"/>
        <v>0</v>
      </c>
      <c r="R499" s="34">
        <f t="shared" si="226"/>
        <v>0</v>
      </c>
      <c r="S499" s="34">
        <f t="shared" si="226"/>
        <v>0</v>
      </c>
      <c r="T499" s="34">
        <f t="shared" si="226"/>
        <v>0</v>
      </c>
      <c r="U499" s="34">
        <f t="shared" si="226"/>
        <v>0</v>
      </c>
      <c r="V499" s="34">
        <f t="shared" si="226"/>
        <v>0</v>
      </c>
      <c r="W499" s="34">
        <f t="shared" si="226"/>
        <v>0</v>
      </c>
      <c r="X499" s="34">
        <f t="shared" si="226"/>
        <v>0</v>
      </c>
      <c r="Y499" s="34">
        <f t="shared" si="226"/>
        <v>0</v>
      </c>
      <c r="Z499" s="34">
        <f t="shared" si="226"/>
        <v>0</v>
      </c>
      <c r="AA499" s="34">
        <f t="shared" si="226"/>
        <v>0</v>
      </c>
      <c r="AB499" s="34">
        <f t="shared" si="226"/>
        <v>0</v>
      </c>
      <c r="AC499" s="34">
        <f t="shared" si="226"/>
        <v>0</v>
      </c>
      <c r="AD499" s="34">
        <f t="shared" si="226"/>
        <v>0</v>
      </c>
      <c r="AE499" s="34">
        <f t="shared" si="226"/>
        <v>0</v>
      </c>
      <c r="AF499" s="34">
        <f t="shared" si="226"/>
        <v>0</v>
      </c>
      <c r="AG499" s="34">
        <f t="shared" si="226"/>
        <v>0</v>
      </c>
      <c r="AH499" s="34">
        <f t="shared" si="226"/>
        <v>0</v>
      </c>
      <c r="AI499" s="34">
        <f t="shared" si="226"/>
        <v>0</v>
      </c>
      <c r="AJ499" s="34">
        <f t="shared" si="226"/>
        <v>0</v>
      </c>
      <c r="AK499" s="34">
        <f t="shared" si="226"/>
        <v>0</v>
      </c>
      <c r="AL499" s="34">
        <f t="shared" si="226"/>
        <v>0</v>
      </c>
      <c r="AM499" s="34">
        <f t="shared" si="226"/>
        <v>0</v>
      </c>
      <c r="AN499" s="34">
        <f t="shared" si="226"/>
        <v>0</v>
      </c>
      <c r="AO499" s="34">
        <f t="shared" si="226"/>
        <v>0</v>
      </c>
      <c r="AP499" s="54"/>
      <c r="AQ499" s="1"/>
    </row>
    <row r="500" ht="15.75" customHeight="1">
      <c r="A500" s="1"/>
      <c r="B500" s="35"/>
      <c r="C500" s="35"/>
      <c r="D500" s="35"/>
      <c r="E500" s="33" t="s">
        <v>24</v>
      </c>
      <c r="F500" s="36" t="s">
        <v>25</v>
      </c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8"/>
      <c r="T500" s="37"/>
      <c r="U500" s="38"/>
      <c r="V500" s="37"/>
      <c r="W500" s="37"/>
      <c r="X500" s="37"/>
      <c r="Y500" s="37"/>
      <c r="Z500" s="37"/>
      <c r="AA500" s="37"/>
      <c r="AB500" s="37"/>
      <c r="AC500" s="37"/>
      <c r="AD500" s="38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88"/>
      <c r="AP500" s="39">
        <f t="shared" ref="AP500:AP503" si="227">SUM(H500:AO500)</f>
        <v>0</v>
      </c>
      <c r="AQ500" s="1"/>
    </row>
    <row r="501" ht="15.75" customHeight="1">
      <c r="A501" s="1"/>
      <c r="B501" s="35"/>
      <c r="C501" s="35"/>
      <c r="D501" s="35"/>
      <c r="E501" s="33"/>
      <c r="F501" s="40" t="s">
        <v>26</v>
      </c>
      <c r="G501" s="37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8"/>
      <c r="AP501" s="39">
        <f t="shared" si="227"/>
        <v>0</v>
      </c>
      <c r="AQ501" s="1"/>
    </row>
    <row r="502" ht="15.75" customHeight="1">
      <c r="A502" s="1"/>
      <c r="B502" s="35"/>
      <c r="C502" s="35"/>
      <c r="D502" s="35"/>
      <c r="E502" s="33" t="s">
        <v>27</v>
      </c>
      <c r="F502" s="41" t="s">
        <v>28</v>
      </c>
      <c r="G502" s="37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8"/>
      <c r="AP502" s="39">
        <f t="shared" si="227"/>
        <v>0</v>
      </c>
      <c r="AQ502" s="1"/>
    </row>
    <row r="503" ht="15.75" customHeight="1">
      <c r="A503" s="1"/>
      <c r="B503" s="35"/>
      <c r="C503" s="35"/>
      <c r="D503" s="35"/>
      <c r="E503" s="33"/>
      <c r="F503" s="41" t="s">
        <v>29</v>
      </c>
      <c r="G503" s="37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8"/>
      <c r="AP503" s="39">
        <f t="shared" si="227"/>
        <v>0</v>
      </c>
      <c r="AQ503" s="1"/>
    </row>
    <row r="504" ht="15.75" customHeight="1">
      <c r="A504" s="1"/>
      <c r="B504" s="35"/>
      <c r="C504" s="42"/>
      <c r="D504" s="42"/>
      <c r="E504" s="52"/>
      <c r="F504" s="43" t="s">
        <v>30</v>
      </c>
      <c r="G504" s="44"/>
      <c r="H504" s="34">
        <f>H499+H500-H501+H502-H503</f>
        <v>0</v>
      </c>
      <c r="I504" s="34">
        <f t="shared" ref="I504:AK504" si="228">I499+I500-I501+I502</f>
        <v>0</v>
      </c>
      <c r="J504" s="34">
        <f t="shared" si="228"/>
        <v>0</v>
      </c>
      <c r="K504" s="34">
        <f t="shared" si="228"/>
        <v>0</v>
      </c>
      <c r="L504" s="34">
        <f t="shared" si="228"/>
        <v>0</v>
      </c>
      <c r="M504" s="34">
        <f t="shared" si="228"/>
        <v>0</v>
      </c>
      <c r="N504" s="34">
        <f t="shared" si="228"/>
        <v>0</v>
      </c>
      <c r="O504" s="34">
        <f t="shared" si="228"/>
        <v>0</v>
      </c>
      <c r="P504" s="34">
        <f t="shared" si="228"/>
        <v>0</v>
      </c>
      <c r="Q504" s="34">
        <f t="shared" si="228"/>
        <v>0</v>
      </c>
      <c r="R504" s="34">
        <f t="shared" si="228"/>
        <v>0</v>
      </c>
      <c r="S504" s="34">
        <f t="shared" si="228"/>
        <v>0</v>
      </c>
      <c r="T504" s="34">
        <f t="shared" si="228"/>
        <v>0</v>
      </c>
      <c r="U504" s="34">
        <f t="shared" si="228"/>
        <v>0</v>
      </c>
      <c r="V504" s="34">
        <f t="shared" si="228"/>
        <v>0</v>
      </c>
      <c r="W504" s="34">
        <f t="shared" si="228"/>
        <v>0</v>
      </c>
      <c r="X504" s="34">
        <f t="shared" si="228"/>
        <v>0</v>
      </c>
      <c r="Y504" s="34">
        <f t="shared" si="228"/>
        <v>0</v>
      </c>
      <c r="Z504" s="34">
        <f t="shared" si="228"/>
        <v>0</v>
      </c>
      <c r="AA504" s="34">
        <f t="shared" si="228"/>
        <v>0</v>
      </c>
      <c r="AB504" s="34">
        <f t="shared" si="228"/>
        <v>0</v>
      </c>
      <c r="AC504" s="34">
        <f t="shared" si="228"/>
        <v>0</v>
      </c>
      <c r="AD504" s="34">
        <f t="shared" si="228"/>
        <v>0</v>
      </c>
      <c r="AE504" s="34">
        <f t="shared" si="228"/>
        <v>0</v>
      </c>
      <c r="AF504" s="34">
        <f t="shared" si="228"/>
        <v>0</v>
      </c>
      <c r="AG504" s="34">
        <f t="shared" si="228"/>
        <v>0</v>
      </c>
      <c r="AH504" s="34">
        <f t="shared" si="228"/>
        <v>0</v>
      </c>
      <c r="AI504" s="34">
        <f t="shared" si="228"/>
        <v>0</v>
      </c>
      <c r="AJ504" s="34">
        <f t="shared" si="228"/>
        <v>0</v>
      </c>
      <c r="AK504" s="34">
        <f t="shared" si="228"/>
        <v>0</v>
      </c>
      <c r="AL504" s="34">
        <f t="shared" ref="AL504:AN504" si="229">AL499+AL500-AL501+AL502-AL503</f>
        <v>0</v>
      </c>
      <c r="AM504" s="34">
        <f t="shared" si="229"/>
        <v>0</v>
      </c>
      <c r="AN504" s="34">
        <f t="shared" si="229"/>
        <v>0</v>
      </c>
      <c r="AO504" s="34"/>
      <c r="AP504" s="75">
        <f>AO499</f>
        <v>0</v>
      </c>
      <c r="AQ504" s="1"/>
    </row>
    <row r="505" ht="15.75" customHeight="1">
      <c r="A505" s="1"/>
      <c r="B505" s="32"/>
      <c r="C505" s="32" t="s">
        <v>193</v>
      </c>
      <c r="D505" s="32" t="s">
        <v>33</v>
      </c>
      <c r="E505" s="13"/>
      <c r="F505" s="14" t="s">
        <v>23</v>
      </c>
      <c r="G505" s="44"/>
      <c r="H505" s="34">
        <v>1.0</v>
      </c>
      <c r="I505" s="34">
        <f t="shared" ref="I505:AO505" si="230">H510</f>
        <v>1</v>
      </c>
      <c r="J505" s="34">
        <f t="shared" si="230"/>
        <v>1</v>
      </c>
      <c r="K505" s="34">
        <f t="shared" si="230"/>
        <v>1</v>
      </c>
      <c r="L505" s="34">
        <f t="shared" si="230"/>
        <v>1</v>
      </c>
      <c r="M505" s="34">
        <f t="shared" si="230"/>
        <v>1</v>
      </c>
      <c r="N505" s="34">
        <f t="shared" si="230"/>
        <v>1</v>
      </c>
      <c r="O505" s="34">
        <f t="shared" si="230"/>
        <v>1</v>
      </c>
      <c r="P505" s="34">
        <f t="shared" si="230"/>
        <v>1</v>
      </c>
      <c r="Q505" s="34">
        <f t="shared" si="230"/>
        <v>1</v>
      </c>
      <c r="R505" s="34">
        <f t="shared" si="230"/>
        <v>1</v>
      </c>
      <c r="S505" s="34">
        <f t="shared" si="230"/>
        <v>1</v>
      </c>
      <c r="T505" s="34">
        <f t="shared" si="230"/>
        <v>1</v>
      </c>
      <c r="U505" s="34">
        <f t="shared" si="230"/>
        <v>1</v>
      </c>
      <c r="V505" s="34">
        <f t="shared" si="230"/>
        <v>1</v>
      </c>
      <c r="W505" s="34">
        <f t="shared" si="230"/>
        <v>1</v>
      </c>
      <c r="X505" s="34">
        <f t="shared" si="230"/>
        <v>1</v>
      </c>
      <c r="Y505" s="34">
        <f t="shared" si="230"/>
        <v>1</v>
      </c>
      <c r="Z505" s="34">
        <f t="shared" si="230"/>
        <v>101</v>
      </c>
      <c r="AA505" s="34">
        <f t="shared" si="230"/>
        <v>1</v>
      </c>
      <c r="AB505" s="34">
        <f t="shared" si="230"/>
        <v>1</v>
      </c>
      <c r="AC505" s="34">
        <f t="shared" si="230"/>
        <v>1</v>
      </c>
      <c r="AD505" s="34">
        <f t="shared" si="230"/>
        <v>1</v>
      </c>
      <c r="AE505" s="34">
        <f t="shared" si="230"/>
        <v>1</v>
      </c>
      <c r="AF505" s="34">
        <f t="shared" si="230"/>
        <v>1</v>
      </c>
      <c r="AG505" s="34">
        <f t="shared" si="230"/>
        <v>1</v>
      </c>
      <c r="AH505" s="34">
        <f t="shared" si="230"/>
        <v>1</v>
      </c>
      <c r="AI505" s="34">
        <f t="shared" si="230"/>
        <v>1</v>
      </c>
      <c r="AJ505" s="34">
        <f t="shared" si="230"/>
        <v>1</v>
      </c>
      <c r="AK505" s="34">
        <f t="shared" si="230"/>
        <v>1</v>
      </c>
      <c r="AL505" s="34">
        <f t="shared" si="230"/>
        <v>1</v>
      </c>
      <c r="AM505" s="34">
        <f t="shared" si="230"/>
        <v>1</v>
      </c>
      <c r="AN505" s="34">
        <f t="shared" si="230"/>
        <v>1</v>
      </c>
      <c r="AO505" s="34">
        <f t="shared" si="230"/>
        <v>1</v>
      </c>
      <c r="AP505" s="54"/>
      <c r="AQ505" s="1"/>
    </row>
    <row r="506" ht="15.75" customHeight="1">
      <c r="A506" s="1"/>
      <c r="B506" s="35"/>
      <c r="C506" s="35"/>
      <c r="D506" s="35"/>
      <c r="E506" s="33" t="s">
        <v>24</v>
      </c>
      <c r="F506" s="36" t="s">
        <v>25</v>
      </c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8"/>
      <c r="T506" s="37"/>
      <c r="U506" s="38"/>
      <c r="V506" s="37"/>
      <c r="W506" s="37"/>
      <c r="X506" s="37"/>
      <c r="Y506" s="37">
        <v>100.0</v>
      </c>
      <c r="Z506" s="37"/>
      <c r="AA506" s="37"/>
      <c r="AB506" s="37"/>
      <c r="AC506" s="37"/>
      <c r="AD506" s="38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88"/>
      <c r="AP506" s="39">
        <f t="shared" ref="AP506:AP509" si="231">SUM(H506:AO506)</f>
        <v>100</v>
      </c>
      <c r="AQ506" s="1"/>
    </row>
    <row r="507" ht="15.75" customHeight="1">
      <c r="A507" s="51"/>
      <c r="B507" s="35"/>
      <c r="C507" s="35"/>
      <c r="D507" s="35"/>
      <c r="E507" s="47"/>
      <c r="F507" s="40" t="s">
        <v>26</v>
      </c>
      <c r="G507" s="49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>
        <v>100.0</v>
      </c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89"/>
      <c r="AP507" s="50">
        <f t="shared" si="231"/>
        <v>100</v>
      </c>
      <c r="AQ507" s="51"/>
    </row>
    <row r="508" ht="15.75" customHeight="1">
      <c r="A508" s="1"/>
      <c r="B508" s="35"/>
      <c r="C508" s="35"/>
      <c r="D508" s="35"/>
      <c r="E508" s="33" t="s">
        <v>27</v>
      </c>
      <c r="F508" s="41" t="s">
        <v>28</v>
      </c>
      <c r="G508" s="37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8"/>
      <c r="AP508" s="39">
        <f t="shared" si="231"/>
        <v>0</v>
      </c>
      <c r="AQ508" s="1"/>
    </row>
    <row r="509" ht="15.75" customHeight="1">
      <c r="A509" s="1"/>
      <c r="B509" s="35"/>
      <c r="C509" s="35"/>
      <c r="D509" s="35"/>
      <c r="E509" s="33"/>
      <c r="F509" s="41" t="s">
        <v>29</v>
      </c>
      <c r="G509" s="37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8"/>
      <c r="AP509" s="39">
        <f t="shared" si="231"/>
        <v>0</v>
      </c>
      <c r="AQ509" s="1"/>
    </row>
    <row r="510" ht="15.75" customHeight="1">
      <c r="A510" s="1"/>
      <c r="B510" s="35"/>
      <c r="C510" s="42"/>
      <c r="D510" s="42"/>
      <c r="E510" s="52"/>
      <c r="F510" s="43" t="s">
        <v>30</v>
      </c>
      <c r="G510" s="44"/>
      <c r="H510" s="34">
        <f>H505+H506-H507+H508-H509</f>
        <v>1</v>
      </c>
      <c r="I510" s="34">
        <f t="shared" ref="I510:AK510" si="232">I505+I506-I507+I508</f>
        <v>1</v>
      </c>
      <c r="J510" s="34">
        <f t="shared" si="232"/>
        <v>1</v>
      </c>
      <c r="K510" s="34">
        <f t="shared" si="232"/>
        <v>1</v>
      </c>
      <c r="L510" s="34">
        <f t="shared" si="232"/>
        <v>1</v>
      </c>
      <c r="M510" s="34">
        <f t="shared" si="232"/>
        <v>1</v>
      </c>
      <c r="N510" s="34">
        <f t="shared" si="232"/>
        <v>1</v>
      </c>
      <c r="O510" s="34">
        <f t="shared" si="232"/>
        <v>1</v>
      </c>
      <c r="P510" s="34">
        <f t="shared" si="232"/>
        <v>1</v>
      </c>
      <c r="Q510" s="34">
        <f t="shared" si="232"/>
        <v>1</v>
      </c>
      <c r="R510" s="34">
        <f t="shared" si="232"/>
        <v>1</v>
      </c>
      <c r="S510" s="34">
        <f t="shared" si="232"/>
        <v>1</v>
      </c>
      <c r="T510" s="34">
        <f t="shared" si="232"/>
        <v>1</v>
      </c>
      <c r="U510" s="34">
        <f t="shared" si="232"/>
        <v>1</v>
      </c>
      <c r="V510" s="34">
        <f t="shared" si="232"/>
        <v>1</v>
      </c>
      <c r="W510" s="34">
        <f t="shared" si="232"/>
        <v>1</v>
      </c>
      <c r="X510" s="34">
        <f t="shared" si="232"/>
        <v>1</v>
      </c>
      <c r="Y510" s="34">
        <f t="shared" si="232"/>
        <v>101</v>
      </c>
      <c r="Z510" s="34">
        <f t="shared" si="232"/>
        <v>1</v>
      </c>
      <c r="AA510" s="34">
        <f t="shared" si="232"/>
        <v>1</v>
      </c>
      <c r="AB510" s="34">
        <f t="shared" si="232"/>
        <v>1</v>
      </c>
      <c r="AC510" s="34">
        <f t="shared" si="232"/>
        <v>1</v>
      </c>
      <c r="AD510" s="34">
        <f t="shared" si="232"/>
        <v>1</v>
      </c>
      <c r="AE510" s="34">
        <f t="shared" si="232"/>
        <v>1</v>
      </c>
      <c r="AF510" s="34">
        <f t="shared" si="232"/>
        <v>1</v>
      </c>
      <c r="AG510" s="34">
        <f t="shared" si="232"/>
        <v>1</v>
      </c>
      <c r="AH510" s="34">
        <f t="shared" si="232"/>
        <v>1</v>
      </c>
      <c r="AI510" s="34">
        <f t="shared" si="232"/>
        <v>1</v>
      </c>
      <c r="AJ510" s="34">
        <f t="shared" si="232"/>
        <v>1</v>
      </c>
      <c r="AK510" s="34">
        <f t="shared" si="232"/>
        <v>1</v>
      </c>
      <c r="AL510" s="34">
        <f t="shared" ref="AL510:AN510" si="233">AL505+AL506-AL507+AL508-AL509</f>
        <v>1</v>
      </c>
      <c r="AM510" s="34">
        <f t="shared" si="233"/>
        <v>1</v>
      </c>
      <c r="AN510" s="34">
        <f t="shared" si="233"/>
        <v>1</v>
      </c>
      <c r="AO510" s="34"/>
      <c r="AP510" s="75">
        <f>AO505</f>
        <v>1</v>
      </c>
      <c r="AQ510" s="1"/>
    </row>
    <row r="511" ht="15.75" customHeight="1">
      <c r="A511" s="1"/>
      <c r="B511" s="56"/>
      <c r="C511" s="32" t="s">
        <v>194</v>
      </c>
      <c r="D511" s="32" t="s">
        <v>195</v>
      </c>
      <c r="E511" s="13"/>
      <c r="F511" s="41" t="s">
        <v>23</v>
      </c>
      <c r="G511" s="44"/>
      <c r="H511" s="34" t="str">
        <f t="shared" ref="H511:AO511" si="234">G516</f>
        <v/>
      </c>
      <c r="I511" s="34">
        <f t="shared" si="234"/>
        <v>0</v>
      </c>
      <c r="J511" s="34">
        <f t="shared" si="234"/>
        <v>0</v>
      </c>
      <c r="K511" s="34">
        <f t="shared" si="234"/>
        <v>0</v>
      </c>
      <c r="L511" s="34">
        <f t="shared" si="234"/>
        <v>0</v>
      </c>
      <c r="M511" s="34">
        <f t="shared" si="234"/>
        <v>0</v>
      </c>
      <c r="N511" s="34">
        <f t="shared" si="234"/>
        <v>0</v>
      </c>
      <c r="O511" s="34">
        <f t="shared" si="234"/>
        <v>0</v>
      </c>
      <c r="P511" s="34">
        <f t="shared" si="234"/>
        <v>0</v>
      </c>
      <c r="Q511" s="34">
        <f t="shared" si="234"/>
        <v>0</v>
      </c>
      <c r="R511" s="34">
        <f t="shared" si="234"/>
        <v>0</v>
      </c>
      <c r="S511" s="34">
        <f t="shared" si="234"/>
        <v>0</v>
      </c>
      <c r="T511" s="34">
        <f t="shared" si="234"/>
        <v>0</v>
      </c>
      <c r="U511" s="34">
        <f t="shared" si="234"/>
        <v>0</v>
      </c>
      <c r="V511" s="34">
        <f t="shared" si="234"/>
        <v>0</v>
      </c>
      <c r="W511" s="34">
        <f t="shared" si="234"/>
        <v>0</v>
      </c>
      <c r="X511" s="34">
        <f t="shared" si="234"/>
        <v>0</v>
      </c>
      <c r="Y511" s="34">
        <f t="shared" si="234"/>
        <v>0</v>
      </c>
      <c r="Z511" s="34">
        <f t="shared" si="234"/>
        <v>0</v>
      </c>
      <c r="AA511" s="34">
        <f t="shared" si="234"/>
        <v>0</v>
      </c>
      <c r="AB511" s="34">
        <f t="shared" si="234"/>
        <v>0</v>
      </c>
      <c r="AC511" s="34">
        <f t="shared" si="234"/>
        <v>0</v>
      </c>
      <c r="AD511" s="34">
        <f t="shared" si="234"/>
        <v>0</v>
      </c>
      <c r="AE511" s="34">
        <f t="shared" si="234"/>
        <v>0</v>
      </c>
      <c r="AF511" s="34">
        <f t="shared" si="234"/>
        <v>0</v>
      </c>
      <c r="AG511" s="34">
        <f t="shared" si="234"/>
        <v>0</v>
      </c>
      <c r="AH511" s="34">
        <f t="shared" si="234"/>
        <v>0</v>
      </c>
      <c r="AI511" s="34">
        <f t="shared" si="234"/>
        <v>0</v>
      </c>
      <c r="AJ511" s="34">
        <f t="shared" si="234"/>
        <v>0</v>
      </c>
      <c r="AK511" s="34">
        <f t="shared" si="234"/>
        <v>0</v>
      </c>
      <c r="AL511" s="34">
        <f t="shared" si="234"/>
        <v>0</v>
      </c>
      <c r="AM511" s="34">
        <f t="shared" si="234"/>
        <v>0</v>
      </c>
      <c r="AN511" s="34">
        <f t="shared" si="234"/>
        <v>0</v>
      </c>
      <c r="AO511" s="34">
        <f t="shared" si="234"/>
        <v>0</v>
      </c>
      <c r="AP511" s="54"/>
      <c r="AQ511" s="1"/>
    </row>
    <row r="512" ht="15.75" customHeight="1">
      <c r="A512" s="1"/>
      <c r="B512" s="58"/>
      <c r="C512" s="35"/>
      <c r="D512" s="35"/>
      <c r="E512" s="33" t="s">
        <v>24</v>
      </c>
      <c r="F512" s="59" t="s">
        <v>25</v>
      </c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8"/>
      <c r="T512" s="37"/>
      <c r="U512" s="38"/>
      <c r="V512" s="37"/>
      <c r="W512" s="37"/>
      <c r="X512" s="37"/>
      <c r="Y512" s="37"/>
      <c r="Z512" s="37"/>
      <c r="AA512" s="37"/>
      <c r="AB512" s="37"/>
      <c r="AC512" s="37"/>
      <c r="AD512" s="38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9">
        <f t="shared" ref="AP512:AP515" si="235">SUM(H512:AO512)</f>
        <v>0</v>
      </c>
      <c r="AQ512" s="1"/>
    </row>
    <row r="513" ht="15.75" customHeight="1">
      <c r="A513" s="1"/>
      <c r="B513" s="58"/>
      <c r="C513" s="35"/>
      <c r="D513" s="35"/>
      <c r="E513" s="33"/>
      <c r="F513" s="60" t="s">
        <v>26</v>
      </c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8"/>
      <c r="T513" s="37"/>
      <c r="U513" s="38"/>
      <c r="V513" s="37"/>
      <c r="W513" s="37"/>
      <c r="X513" s="37"/>
      <c r="Y513" s="37"/>
      <c r="Z513" s="37"/>
      <c r="AA513" s="37"/>
      <c r="AB513" s="37"/>
      <c r="AC513" s="37"/>
      <c r="AD513" s="38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9">
        <f t="shared" si="235"/>
        <v>0</v>
      </c>
      <c r="AQ513" s="1"/>
    </row>
    <row r="514" ht="15.75" customHeight="1">
      <c r="A514" s="1"/>
      <c r="B514" s="58"/>
      <c r="C514" s="35"/>
      <c r="D514" s="35"/>
      <c r="E514" s="33" t="s">
        <v>27</v>
      </c>
      <c r="F514" s="41" t="s">
        <v>28</v>
      </c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8"/>
      <c r="T514" s="37"/>
      <c r="U514" s="38"/>
      <c r="V514" s="37"/>
      <c r="W514" s="37"/>
      <c r="X514" s="37"/>
      <c r="Y514" s="37"/>
      <c r="Z514" s="37"/>
      <c r="AA514" s="37"/>
      <c r="AB514" s="37"/>
      <c r="AC514" s="37"/>
      <c r="AD514" s="38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9">
        <f t="shared" si="235"/>
        <v>0</v>
      </c>
      <c r="AQ514" s="1"/>
    </row>
    <row r="515" ht="15.75" customHeight="1">
      <c r="A515" s="1"/>
      <c r="B515" s="58"/>
      <c r="C515" s="35"/>
      <c r="D515" s="35"/>
      <c r="E515" s="33"/>
      <c r="F515" s="21" t="s">
        <v>29</v>
      </c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8"/>
      <c r="T515" s="37"/>
      <c r="U515" s="38"/>
      <c r="V515" s="37"/>
      <c r="W515" s="37"/>
      <c r="X515" s="37"/>
      <c r="Y515" s="37"/>
      <c r="Z515" s="37"/>
      <c r="AA515" s="37"/>
      <c r="AB515" s="37"/>
      <c r="AC515" s="37"/>
      <c r="AD515" s="38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9">
        <f t="shared" si="235"/>
        <v>0</v>
      </c>
      <c r="AQ515" s="1"/>
    </row>
    <row r="516" ht="15.75" customHeight="1">
      <c r="A516" s="1"/>
      <c r="B516" s="61"/>
      <c r="C516" s="42"/>
      <c r="D516" s="42"/>
      <c r="E516" s="52"/>
      <c r="F516" s="62" t="s">
        <v>30</v>
      </c>
      <c r="G516" s="44"/>
      <c r="H516" s="34">
        <f t="shared" ref="H516:AN516" si="236">H511+H512-H513+H514-H515</f>
        <v>0</v>
      </c>
      <c r="I516" s="34">
        <f t="shared" si="236"/>
        <v>0</v>
      </c>
      <c r="J516" s="34">
        <f t="shared" si="236"/>
        <v>0</v>
      </c>
      <c r="K516" s="34">
        <f t="shared" si="236"/>
        <v>0</v>
      </c>
      <c r="L516" s="34">
        <f t="shared" si="236"/>
        <v>0</v>
      </c>
      <c r="M516" s="34">
        <f t="shared" si="236"/>
        <v>0</v>
      </c>
      <c r="N516" s="34">
        <f t="shared" si="236"/>
        <v>0</v>
      </c>
      <c r="O516" s="34">
        <f t="shared" si="236"/>
        <v>0</v>
      </c>
      <c r="P516" s="34">
        <f t="shared" si="236"/>
        <v>0</v>
      </c>
      <c r="Q516" s="34">
        <f t="shared" si="236"/>
        <v>0</v>
      </c>
      <c r="R516" s="34">
        <f t="shared" si="236"/>
        <v>0</v>
      </c>
      <c r="S516" s="34">
        <f t="shared" si="236"/>
        <v>0</v>
      </c>
      <c r="T516" s="34">
        <f t="shared" si="236"/>
        <v>0</v>
      </c>
      <c r="U516" s="34">
        <f t="shared" si="236"/>
        <v>0</v>
      </c>
      <c r="V516" s="34">
        <f t="shared" si="236"/>
        <v>0</v>
      </c>
      <c r="W516" s="34">
        <f t="shared" si="236"/>
        <v>0</v>
      </c>
      <c r="X516" s="34">
        <f t="shared" si="236"/>
        <v>0</v>
      </c>
      <c r="Y516" s="34">
        <f t="shared" si="236"/>
        <v>0</v>
      </c>
      <c r="Z516" s="34">
        <f t="shared" si="236"/>
        <v>0</v>
      </c>
      <c r="AA516" s="34">
        <f t="shared" si="236"/>
        <v>0</v>
      </c>
      <c r="AB516" s="34">
        <f t="shared" si="236"/>
        <v>0</v>
      </c>
      <c r="AC516" s="34">
        <f t="shared" si="236"/>
        <v>0</v>
      </c>
      <c r="AD516" s="34">
        <f t="shared" si="236"/>
        <v>0</v>
      </c>
      <c r="AE516" s="34">
        <f t="shared" si="236"/>
        <v>0</v>
      </c>
      <c r="AF516" s="34">
        <f t="shared" si="236"/>
        <v>0</v>
      </c>
      <c r="AG516" s="34">
        <f t="shared" si="236"/>
        <v>0</v>
      </c>
      <c r="AH516" s="34">
        <f t="shared" si="236"/>
        <v>0</v>
      </c>
      <c r="AI516" s="34">
        <f t="shared" si="236"/>
        <v>0</v>
      </c>
      <c r="AJ516" s="34">
        <f t="shared" si="236"/>
        <v>0</v>
      </c>
      <c r="AK516" s="34">
        <f t="shared" si="236"/>
        <v>0</v>
      </c>
      <c r="AL516" s="34">
        <f t="shared" si="236"/>
        <v>0</v>
      </c>
      <c r="AM516" s="34">
        <f t="shared" si="236"/>
        <v>0</v>
      </c>
      <c r="AN516" s="34">
        <f t="shared" si="236"/>
        <v>0</v>
      </c>
      <c r="AO516" s="34"/>
      <c r="AP516" s="45">
        <f>AO511</f>
        <v>0</v>
      </c>
      <c r="AQ516" s="1"/>
    </row>
    <row r="517" ht="15.75" customHeight="1">
      <c r="A517" s="1"/>
      <c r="B517" s="32"/>
      <c r="C517" s="32" t="s">
        <v>196</v>
      </c>
      <c r="D517" s="32" t="s">
        <v>197</v>
      </c>
      <c r="E517" s="13"/>
      <c r="F517" s="14" t="s">
        <v>23</v>
      </c>
      <c r="G517" s="44"/>
      <c r="H517" s="34" t="str">
        <f t="shared" ref="H517:AO517" si="237">G522</f>
        <v/>
      </c>
      <c r="I517" s="34">
        <f t="shared" si="237"/>
        <v>0</v>
      </c>
      <c r="J517" s="34">
        <f t="shared" si="237"/>
        <v>0</v>
      </c>
      <c r="K517" s="34">
        <f t="shared" si="237"/>
        <v>0</v>
      </c>
      <c r="L517" s="34">
        <f t="shared" si="237"/>
        <v>0</v>
      </c>
      <c r="M517" s="34">
        <f t="shared" si="237"/>
        <v>0</v>
      </c>
      <c r="N517" s="34">
        <f t="shared" si="237"/>
        <v>0</v>
      </c>
      <c r="O517" s="34">
        <f t="shared" si="237"/>
        <v>0</v>
      </c>
      <c r="P517" s="34">
        <f t="shared" si="237"/>
        <v>0</v>
      </c>
      <c r="Q517" s="34">
        <f t="shared" si="237"/>
        <v>0</v>
      </c>
      <c r="R517" s="34">
        <f t="shared" si="237"/>
        <v>0</v>
      </c>
      <c r="S517" s="34">
        <f t="shared" si="237"/>
        <v>0</v>
      </c>
      <c r="T517" s="34">
        <f t="shared" si="237"/>
        <v>0</v>
      </c>
      <c r="U517" s="34">
        <f t="shared" si="237"/>
        <v>0</v>
      </c>
      <c r="V517" s="34">
        <f t="shared" si="237"/>
        <v>0</v>
      </c>
      <c r="W517" s="34">
        <f t="shared" si="237"/>
        <v>0</v>
      </c>
      <c r="X517" s="34">
        <f t="shared" si="237"/>
        <v>0</v>
      </c>
      <c r="Y517" s="34">
        <f t="shared" si="237"/>
        <v>0</v>
      </c>
      <c r="Z517" s="34">
        <f t="shared" si="237"/>
        <v>0</v>
      </c>
      <c r="AA517" s="34">
        <f t="shared" si="237"/>
        <v>0</v>
      </c>
      <c r="AB517" s="34">
        <f t="shared" si="237"/>
        <v>0</v>
      </c>
      <c r="AC517" s="34">
        <f t="shared" si="237"/>
        <v>0</v>
      </c>
      <c r="AD517" s="34">
        <f t="shared" si="237"/>
        <v>0</v>
      </c>
      <c r="AE517" s="34">
        <f t="shared" si="237"/>
        <v>0</v>
      </c>
      <c r="AF517" s="34">
        <f t="shared" si="237"/>
        <v>0</v>
      </c>
      <c r="AG517" s="34">
        <f t="shared" si="237"/>
        <v>0</v>
      </c>
      <c r="AH517" s="34">
        <f t="shared" si="237"/>
        <v>0</v>
      </c>
      <c r="AI517" s="34">
        <f t="shared" si="237"/>
        <v>0</v>
      </c>
      <c r="AJ517" s="34">
        <f t="shared" si="237"/>
        <v>0</v>
      </c>
      <c r="AK517" s="34">
        <f t="shared" si="237"/>
        <v>0</v>
      </c>
      <c r="AL517" s="34">
        <f t="shared" si="237"/>
        <v>0</v>
      </c>
      <c r="AM517" s="34">
        <f t="shared" si="237"/>
        <v>0</v>
      </c>
      <c r="AN517" s="34">
        <f t="shared" si="237"/>
        <v>0</v>
      </c>
      <c r="AO517" s="34">
        <f t="shared" si="237"/>
        <v>0</v>
      </c>
      <c r="AP517" s="54"/>
      <c r="AQ517" s="1"/>
    </row>
    <row r="518" ht="15.75" customHeight="1">
      <c r="A518" s="1"/>
      <c r="B518" s="35"/>
      <c r="C518" s="35"/>
      <c r="D518" s="35"/>
      <c r="E518" s="33" t="s">
        <v>24</v>
      </c>
      <c r="F518" s="36" t="s">
        <v>25</v>
      </c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8"/>
      <c r="T518" s="37"/>
      <c r="U518" s="38"/>
      <c r="V518" s="37"/>
      <c r="W518" s="37"/>
      <c r="X518" s="37"/>
      <c r="Y518" s="37"/>
      <c r="Z518" s="37"/>
      <c r="AA518" s="37"/>
      <c r="AB518" s="37"/>
      <c r="AC518" s="37"/>
      <c r="AD518" s="38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4"/>
      <c r="AP518" s="39">
        <f t="shared" ref="AP518:AP521" si="238">SUM(H518:AO518)</f>
        <v>0</v>
      </c>
      <c r="AQ518" s="1"/>
    </row>
    <row r="519" ht="15.75" customHeight="1">
      <c r="A519" s="1"/>
      <c r="B519" s="35"/>
      <c r="C519" s="35"/>
      <c r="D519" s="35"/>
      <c r="E519" s="33"/>
      <c r="F519" s="40" t="s">
        <v>26</v>
      </c>
      <c r="G519" s="37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4"/>
      <c r="AP519" s="39">
        <f t="shared" si="238"/>
        <v>0</v>
      </c>
      <c r="AQ519" s="1"/>
    </row>
    <row r="520" ht="15.75" customHeight="1">
      <c r="A520" s="1"/>
      <c r="B520" s="35"/>
      <c r="C520" s="35"/>
      <c r="D520" s="35"/>
      <c r="E520" s="33" t="s">
        <v>27</v>
      </c>
      <c r="F520" s="41" t="s">
        <v>28</v>
      </c>
      <c r="G520" s="37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4"/>
      <c r="AP520" s="39">
        <f t="shared" si="238"/>
        <v>0</v>
      </c>
      <c r="AQ520" s="1"/>
    </row>
    <row r="521" ht="15.75" customHeight="1">
      <c r="A521" s="1"/>
      <c r="B521" s="35"/>
      <c r="C521" s="35"/>
      <c r="D521" s="35"/>
      <c r="E521" s="33"/>
      <c r="F521" s="41" t="s">
        <v>29</v>
      </c>
      <c r="G521" s="37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4"/>
      <c r="AP521" s="39">
        <f t="shared" si="238"/>
        <v>0</v>
      </c>
      <c r="AQ521" s="1"/>
    </row>
    <row r="522" ht="15.75" customHeight="1">
      <c r="A522" s="1"/>
      <c r="B522" s="35"/>
      <c r="C522" s="42"/>
      <c r="D522" s="42"/>
      <c r="E522" s="52"/>
      <c r="F522" s="43" t="s">
        <v>30</v>
      </c>
      <c r="G522" s="44"/>
      <c r="H522" s="34">
        <f>H517+H518-H519+H520-H521</f>
        <v>0</v>
      </c>
      <c r="I522" s="34">
        <f t="shared" ref="I522:AK522" si="239">I517+I518-I519+I520</f>
        <v>0</v>
      </c>
      <c r="J522" s="34">
        <f t="shared" si="239"/>
        <v>0</v>
      </c>
      <c r="K522" s="34">
        <f t="shared" si="239"/>
        <v>0</v>
      </c>
      <c r="L522" s="34">
        <f t="shared" si="239"/>
        <v>0</v>
      </c>
      <c r="M522" s="34">
        <f t="shared" si="239"/>
        <v>0</v>
      </c>
      <c r="N522" s="34">
        <f t="shared" si="239"/>
        <v>0</v>
      </c>
      <c r="O522" s="34">
        <f t="shared" si="239"/>
        <v>0</v>
      </c>
      <c r="P522" s="34">
        <f t="shared" si="239"/>
        <v>0</v>
      </c>
      <c r="Q522" s="34">
        <f t="shared" si="239"/>
        <v>0</v>
      </c>
      <c r="R522" s="34">
        <f t="shared" si="239"/>
        <v>0</v>
      </c>
      <c r="S522" s="34">
        <f t="shared" si="239"/>
        <v>0</v>
      </c>
      <c r="T522" s="34">
        <f t="shared" si="239"/>
        <v>0</v>
      </c>
      <c r="U522" s="34">
        <f t="shared" si="239"/>
        <v>0</v>
      </c>
      <c r="V522" s="34">
        <f t="shared" si="239"/>
        <v>0</v>
      </c>
      <c r="W522" s="34">
        <f t="shared" si="239"/>
        <v>0</v>
      </c>
      <c r="X522" s="34">
        <f t="shared" si="239"/>
        <v>0</v>
      </c>
      <c r="Y522" s="34">
        <f t="shared" si="239"/>
        <v>0</v>
      </c>
      <c r="Z522" s="34">
        <f t="shared" si="239"/>
        <v>0</v>
      </c>
      <c r="AA522" s="34">
        <f t="shared" si="239"/>
        <v>0</v>
      </c>
      <c r="AB522" s="34">
        <f t="shared" si="239"/>
        <v>0</v>
      </c>
      <c r="AC522" s="34">
        <f t="shared" si="239"/>
        <v>0</v>
      </c>
      <c r="AD522" s="34">
        <f t="shared" si="239"/>
        <v>0</v>
      </c>
      <c r="AE522" s="34">
        <f t="shared" si="239"/>
        <v>0</v>
      </c>
      <c r="AF522" s="34">
        <f t="shared" si="239"/>
        <v>0</v>
      </c>
      <c r="AG522" s="34">
        <f t="shared" si="239"/>
        <v>0</v>
      </c>
      <c r="AH522" s="34">
        <f t="shared" si="239"/>
        <v>0</v>
      </c>
      <c r="AI522" s="34">
        <f t="shared" si="239"/>
        <v>0</v>
      </c>
      <c r="AJ522" s="34">
        <f t="shared" si="239"/>
        <v>0</v>
      </c>
      <c r="AK522" s="34">
        <f t="shared" si="239"/>
        <v>0</v>
      </c>
      <c r="AL522" s="34">
        <f t="shared" ref="AL522:AN522" si="240">AL517+AL518-AL519+AL520-AL521</f>
        <v>0</v>
      </c>
      <c r="AM522" s="34">
        <f t="shared" si="240"/>
        <v>0</v>
      </c>
      <c r="AN522" s="34">
        <f t="shared" si="240"/>
        <v>0</v>
      </c>
      <c r="AO522" s="34"/>
      <c r="AP522" s="45">
        <f>AO517</f>
        <v>0</v>
      </c>
      <c r="AQ522" s="1"/>
    </row>
    <row r="523" ht="15.75" customHeight="1">
      <c r="A523" s="1"/>
      <c r="B523" s="56"/>
      <c r="C523" s="32" t="s">
        <v>198</v>
      </c>
      <c r="D523" s="57" t="s">
        <v>199</v>
      </c>
      <c r="E523" s="13"/>
      <c r="F523" s="41" t="s">
        <v>23</v>
      </c>
      <c r="G523" s="44"/>
      <c r="H523" s="34" t="str">
        <f t="shared" ref="H523:AO523" si="241">G528</f>
        <v/>
      </c>
      <c r="I523" s="34">
        <f t="shared" si="241"/>
        <v>0</v>
      </c>
      <c r="J523" s="34">
        <f t="shared" si="241"/>
        <v>0</v>
      </c>
      <c r="K523" s="34">
        <f t="shared" si="241"/>
        <v>0</v>
      </c>
      <c r="L523" s="34">
        <f t="shared" si="241"/>
        <v>0</v>
      </c>
      <c r="M523" s="34">
        <f t="shared" si="241"/>
        <v>0</v>
      </c>
      <c r="N523" s="34">
        <f t="shared" si="241"/>
        <v>0</v>
      </c>
      <c r="O523" s="34">
        <f t="shared" si="241"/>
        <v>0</v>
      </c>
      <c r="P523" s="34">
        <f t="shared" si="241"/>
        <v>0</v>
      </c>
      <c r="Q523" s="34">
        <f t="shared" si="241"/>
        <v>0</v>
      </c>
      <c r="R523" s="34">
        <f t="shared" si="241"/>
        <v>0</v>
      </c>
      <c r="S523" s="34">
        <f t="shared" si="241"/>
        <v>0</v>
      </c>
      <c r="T523" s="34">
        <f t="shared" si="241"/>
        <v>0</v>
      </c>
      <c r="U523" s="34">
        <f t="shared" si="241"/>
        <v>0</v>
      </c>
      <c r="V523" s="34">
        <f t="shared" si="241"/>
        <v>0</v>
      </c>
      <c r="W523" s="34">
        <f t="shared" si="241"/>
        <v>0</v>
      </c>
      <c r="X523" s="34">
        <f t="shared" si="241"/>
        <v>0</v>
      </c>
      <c r="Y523" s="34">
        <f t="shared" si="241"/>
        <v>0</v>
      </c>
      <c r="Z523" s="34">
        <f t="shared" si="241"/>
        <v>0</v>
      </c>
      <c r="AA523" s="34">
        <f t="shared" si="241"/>
        <v>0</v>
      </c>
      <c r="AB523" s="34">
        <f t="shared" si="241"/>
        <v>0</v>
      </c>
      <c r="AC523" s="34">
        <f t="shared" si="241"/>
        <v>0</v>
      </c>
      <c r="AD523" s="34">
        <f t="shared" si="241"/>
        <v>0</v>
      </c>
      <c r="AE523" s="34">
        <f t="shared" si="241"/>
        <v>0</v>
      </c>
      <c r="AF523" s="34">
        <f t="shared" si="241"/>
        <v>0</v>
      </c>
      <c r="AG523" s="34">
        <f t="shared" si="241"/>
        <v>0</v>
      </c>
      <c r="AH523" s="34">
        <f t="shared" si="241"/>
        <v>0</v>
      </c>
      <c r="AI523" s="34">
        <f t="shared" si="241"/>
        <v>0</v>
      </c>
      <c r="AJ523" s="34">
        <f t="shared" si="241"/>
        <v>0</v>
      </c>
      <c r="AK523" s="34">
        <f t="shared" si="241"/>
        <v>0</v>
      </c>
      <c r="AL523" s="34">
        <f t="shared" si="241"/>
        <v>0</v>
      </c>
      <c r="AM523" s="34">
        <f t="shared" si="241"/>
        <v>0</v>
      </c>
      <c r="AN523" s="34">
        <f t="shared" si="241"/>
        <v>0</v>
      </c>
      <c r="AO523" s="34">
        <f t="shared" si="241"/>
        <v>0</v>
      </c>
      <c r="AP523" s="54"/>
      <c r="AQ523" s="1"/>
    </row>
    <row r="524" ht="15.75" customHeight="1">
      <c r="A524" s="1"/>
      <c r="B524" s="58"/>
      <c r="C524" s="35"/>
      <c r="D524" s="35"/>
      <c r="E524" s="33" t="s">
        <v>24</v>
      </c>
      <c r="F524" s="59" t="s">
        <v>25</v>
      </c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8"/>
      <c r="T524" s="37"/>
      <c r="U524" s="38"/>
      <c r="V524" s="37"/>
      <c r="W524" s="37"/>
      <c r="X524" s="37"/>
      <c r="Y524" s="37"/>
      <c r="Z524" s="37"/>
      <c r="AA524" s="37"/>
      <c r="AB524" s="37"/>
      <c r="AC524" s="37"/>
      <c r="AD524" s="38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9">
        <f t="shared" ref="AP524:AP527" si="242">SUM(H524:AO524)</f>
        <v>0</v>
      </c>
      <c r="AQ524" s="1"/>
    </row>
    <row r="525" ht="15.75" customHeight="1">
      <c r="A525" s="1"/>
      <c r="B525" s="58"/>
      <c r="C525" s="35"/>
      <c r="D525" s="35"/>
      <c r="E525" s="33"/>
      <c r="F525" s="60" t="s">
        <v>26</v>
      </c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8"/>
      <c r="T525" s="37"/>
      <c r="U525" s="38"/>
      <c r="V525" s="37"/>
      <c r="W525" s="37"/>
      <c r="X525" s="37"/>
      <c r="Y525" s="37"/>
      <c r="Z525" s="37"/>
      <c r="AA525" s="37"/>
      <c r="AB525" s="37"/>
      <c r="AC525" s="37"/>
      <c r="AD525" s="38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9">
        <f t="shared" si="242"/>
        <v>0</v>
      </c>
      <c r="AQ525" s="1"/>
    </row>
    <row r="526" ht="15.75" customHeight="1">
      <c r="A526" s="1"/>
      <c r="B526" s="58"/>
      <c r="C526" s="35"/>
      <c r="D526" s="35"/>
      <c r="E526" s="33" t="s">
        <v>27</v>
      </c>
      <c r="F526" s="41" t="s">
        <v>28</v>
      </c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8"/>
      <c r="T526" s="37"/>
      <c r="U526" s="38"/>
      <c r="V526" s="37"/>
      <c r="W526" s="37"/>
      <c r="X526" s="37"/>
      <c r="Y526" s="37"/>
      <c r="Z526" s="37"/>
      <c r="AA526" s="37"/>
      <c r="AB526" s="37"/>
      <c r="AC526" s="37"/>
      <c r="AD526" s="38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9">
        <f t="shared" si="242"/>
        <v>0</v>
      </c>
      <c r="AQ526" s="1"/>
    </row>
    <row r="527" ht="15.75" customHeight="1">
      <c r="A527" s="1"/>
      <c r="B527" s="58"/>
      <c r="C527" s="35"/>
      <c r="D527" s="35"/>
      <c r="E527" s="33"/>
      <c r="F527" s="21" t="s">
        <v>29</v>
      </c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8"/>
      <c r="T527" s="37"/>
      <c r="U527" s="38"/>
      <c r="V527" s="37"/>
      <c r="W527" s="37"/>
      <c r="X527" s="37"/>
      <c r="Y527" s="37"/>
      <c r="Z527" s="37"/>
      <c r="AA527" s="37"/>
      <c r="AB527" s="37"/>
      <c r="AC527" s="37"/>
      <c r="AD527" s="38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9">
        <f t="shared" si="242"/>
        <v>0</v>
      </c>
      <c r="AQ527" s="1"/>
    </row>
    <row r="528" ht="15.75" customHeight="1">
      <c r="A528" s="1"/>
      <c r="B528" s="61"/>
      <c r="C528" s="42"/>
      <c r="D528" s="42"/>
      <c r="E528" s="52"/>
      <c r="F528" s="62" t="s">
        <v>30</v>
      </c>
      <c r="G528" s="44"/>
      <c r="H528" s="34">
        <f t="shared" ref="H528:AN528" si="243">H523+H524-H525+H526-H527</f>
        <v>0</v>
      </c>
      <c r="I528" s="34">
        <f t="shared" si="243"/>
        <v>0</v>
      </c>
      <c r="J528" s="34">
        <f t="shared" si="243"/>
        <v>0</v>
      </c>
      <c r="K528" s="34">
        <f t="shared" si="243"/>
        <v>0</v>
      </c>
      <c r="L528" s="34">
        <f t="shared" si="243"/>
        <v>0</v>
      </c>
      <c r="M528" s="34">
        <f t="shared" si="243"/>
        <v>0</v>
      </c>
      <c r="N528" s="34">
        <f t="shared" si="243"/>
        <v>0</v>
      </c>
      <c r="O528" s="34">
        <f t="shared" si="243"/>
        <v>0</v>
      </c>
      <c r="P528" s="34">
        <f t="shared" si="243"/>
        <v>0</v>
      </c>
      <c r="Q528" s="34">
        <f t="shared" si="243"/>
        <v>0</v>
      </c>
      <c r="R528" s="34">
        <f t="shared" si="243"/>
        <v>0</v>
      </c>
      <c r="S528" s="34">
        <f t="shared" si="243"/>
        <v>0</v>
      </c>
      <c r="T528" s="34">
        <f t="shared" si="243"/>
        <v>0</v>
      </c>
      <c r="U528" s="34">
        <f t="shared" si="243"/>
        <v>0</v>
      </c>
      <c r="V528" s="34">
        <f t="shared" si="243"/>
        <v>0</v>
      </c>
      <c r="W528" s="34">
        <f t="shared" si="243"/>
        <v>0</v>
      </c>
      <c r="X528" s="34">
        <f t="shared" si="243"/>
        <v>0</v>
      </c>
      <c r="Y528" s="34">
        <f t="shared" si="243"/>
        <v>0</v>
      </c>
      <c r="Z528" s="34">
        <f t="shared" si="243"/>
        <v>0</v>
      </c>
      <c r="AA528" s="34">
        <f t="shared" si="243"/>
        <v>0</v>
      </c>
      <c r="AB528" s="34">
        <f t="shared" si="243"/>
        <v>0</v>
      </c>
      <c r="AC528" s="34">
        <f t="shared" si="243"/>
        <v>0</v>
      </c>
      <c r="AD528" s="34">
        <f t="shared" si="243"/>
        <v>0</v>
      </c>
      <c r="AE528" s="34">
        <f t="shared" si="243"/>
        <v>0</v>
      </c>
      <c r="AF528" s="34">
        <f t="shared" si="243"/>
        <v>0</v>
      </c>
      <c r="AG528" s="34">
        <f t="shared" si="243"/>
        <v>0</v>
      </c>
      <c r="AH528" s="34">
        <f t="shared" si="243"/>
        <v>0</v>
      </c>
      <c r="AI528" s="34">
        <f t="shared" si="243"/>
        <v>0</v>
      </c>
      <c r="AJ528" s="34">
        <f t="shared" si="243"/>
        <v>0</v>
      </c>
      <c r="AK528" s="34">
        <f t="shared" si="243"/>
        <v>0</v>
      </c>
      <c r="AL528" s="34">
        <f t="shared" si="243"/>
        <v>0</v>
      </c>
      <c r="AM528" s="34">
        <f t="shared" si="243"/>
        <v>0</v>
      </c>
      <c r="AN528" s="34">
        <f t="shared" si="243"/>
        <v>0</v>
      </c>
      <c r="AO528" s="34"/>
      <c r="AP528" s="45">
        <f>AO523</f>
        <v>0</v>
      </c>
      <c r="AQ528" s="1"/>
    </row>
    <row r="529" ht="15.75" customHeight="1">
      <c r="A529" s="1"/>
      <c r="B529" s="56"/>
      <c r="C529" s="32" t="s">
        <v>200</v>
      </c>
      <c r="D529" s="57" t="s">
        <v>201</v>
      </c>
      <c r="E529" s="13"/>
      <c r="F529" s="41" t="s">
        <v>23</v>
      </c>
      <c r="G529" s="44"/>
      <c r="H529" s="34" t="str">
        <f t="shared" ref="H529:AO529" si="244">G534</f>
        <v/>
      </c>
      <c r="I529" s="34">
        <f t="shared" si="244"/>
        <v>0</v>
      </c>
      <c r="J529" s="34">
        <f t="shared" si="244"/>
        <v>0</v>
      </c>
      <c r="K529" s="34">
        <f t="shared" si="244"/>
        <v>0</v>
      </c>
      <c r="L529" s="34">
        <f t="shared" si="244"/>
        <v>0</v>
      </c>
      <c r="M529" s="34">
        <f t="shared" si="244"/>
        <v>0</v>
      </c>
      <c r="N529" s="34">
        <f t="shared" si="244"/>
        <v>0</v>
      </c>
      <c r="O529" s="34">
        <f t="shared" si="244"/>
        <v>0</v>
      </c>
      <c r="P529" s="34">
        <f t="shared" si="244"/>
        <v>0</v>
      </c>
      <c r="Q529" s="34">
        <f t="shared" si="244"/>
        <v>0</v>
      </c>
      <c r="R529" s="34">
        <f t="shared" si="244"/>
        <v>0</v>
      </c>
      <c r="S529" s="34">
        <f t="shared" si="244"/>
        <v>0</v>
      </c>
      <c r="T529" s="34">
        <f t="shared" si="244"/>
        <v>0</v>
      </c>
      <c r="U529" s="34">
        <f t="shared" si="244"/>
        <v>0</v>
      </c>
      <c r="V529" s="34">
        <f t="shared" si="244"/>
        <v>0</v>
      </c>
      <c r="W529" s="34">
        <f t="shared" si="244"/>
        <v>0</v>
      </c>
      <c r="X529" s="34">
        <f t="shared" si="244"/>
        <v>0</v>
      </c>
      <c r="Y529" s="34">
        <f t="shared" si="244"/>
        <v>0</v>
      </c>
      <c r="Z529" s="34">
        <f t="shared" si="244"/>
        <v>0</v>
      </c>
      <c r="AA529" s="34">
        <f t="shared" si="244"/>
        <v>0</v>
      </c>
      <c r="AB529" s="34">
        <f t="shared" si="244"/>
        <v>0</v>
      </c>
      <c r="AC529" s="34">
        <f t="shared" si="244"/>
        <v>0</v>
      </c>
      <c r="AD529" s="34">
        <f t="shared" si="244"/>
        <v>0</v>
      </c>
      <c r="AE529" s="34">
        <f t="shared" si="244"/>
        <v>0</v>
      </c>
      <c r="AF529" s="34">
        <f t="shared" si="244"/>
        <v>0</v>
      </c>
      <c r="AG529" s="34">
        <f t="shared" si="244"/>
        <v>0</v>
      </c>
      <c r="AH529" s="34">
        <f t="shared" si="244"/>
        <v>0</v>
      </c>
      <c r="AI529" s="34">
        <f t="shared" si="244"/>
        <v>0</v>
      </c>
      <c r="AJ529" s="34">
        <f t="shared" si="244"/>
        <v>0</v>
      </c>
      <c r="AK529" s="34">
        <f t="shared" si="244"/>
        <v>0</v>
      </c>
      <c r="AL529" s="34">
        <f t="shared" si="244"/>
        <v>0</v>
      </c>
      <c r="AM529" s="34">
        <f t="shared" si="244"/>
        <v>0</v>
      </c>
      <c r="AN529" s="34">
        <f t="shared" si="244"/>
        <v>0</v>
      </c>
      <c r="AO529" s="34">
        <f t="shared" si="244"/>
        <v>0</v>
      </c>
      <c r="AP529" s="54"/>
      <c r="AQ529" s="1"/>
    </row>
    <row r="530" ht="15.75" customHeight="1">
      <c r="A530" s="1"/>
      <c r="B530" s="58"/>
      <c r="C530" s="35"/>
      <c r="D530" s="35"/>
      <c r="E530" s="33" t="s">
        <v>24</v>
      </c>
      <c r="F530" s="59" t="s">
        <v>25</v>
      </c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8"/>
      <c r="T530" s="37"/>
      <c r="U530" s="38"/>
      <c r="V530" s="37"/>
      <c r="W530" s="37"/>
      <c r="X530" s="37"/>
      <c r="Y530" s="37"/>
      <c r="Z530" s="37"/>
      <c r="AA530" s="37"/>
      <c r="AB530" s="37"/>
      <c r="AC530" s="37"/>
      <c r="AD530" s="38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9">
        <f t="shared" ref="AP530:AP533" si="245">SUM(H530:AO530)</f>
        <v>0</v>
      </c>
      <c r="AQ530" s="1"/>
    </row>
    <row r="531" ht="15.75" customHeight="1">
      <c r="A531" s="1"/>
      <c r="B531" s="58"/>
      <c r="C531" s="35"/>
      <c r="D531" s="35"/>
      <c r="E531" s="33"/>
      <c r="F531" s="60" t="s">
        <v>26</v>
      </c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8"/>
      <c r="T531" s="37"/>
      <c r="U531" s="38"/>
      <c r="V531" s="37"/>
      <c r="W531" s="37"/>
      <c r="X531" s="37"/>
      <c r="Y531" s="37"/>
      <c r="Z531" s="37"/>
      <c r="AA531" s="37"/>
      <c r="AB531" s="37"/>
      <c r="AC531" s="37"/>
      <c r="AD531" s="38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9">
        <f t="shared" si="245"/>
        <v>0</v>
      </c>
      <c r="AQ531" s="1"/>
    </row>
    <row r="532" ht="15.75" customHeight="1">
      <c r="A532" s="1"/>
      <c r="B532" s="58"/>
      <c r="C532" s="35"/>
      <c r="D532" s="35"/>
      <c r="E532" s="33" t="s">
        <v>27</v>
      </c>
      <c r="F532" s="41" t="s">
        <v>28</v>
      </c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8"/>
      <c r="T532" s="37"/>
      <c r="U532" s="38"/>
      <c r="V532" s="37"/>
      <c r="W532" s="37"/>
      <c r="X532" s="37"/>
      <c r="Y532" s="37"/>
      <c r="Z532" s="37"/>
      <c r="AA532" s="37"/>
      <c r="AB532" s="37"/>
      <c r="AC532" s="37"/>
      <c r="AD532" s="38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9">
        <f t="shared" si="245"/>
        <v>0</v>
      </c>
      <c r="AQ532" s="1"/>
    </row>
    <row r="533" ht="15.75" customHeight="1">
      <c r="A533" s="1"/>
      <c r="B533" s="58"/>
      <c r="C533" s="35"/>
      <c r="D533" s="35"/>
      <c r="E533" s="33"/>
      <c r="F533" s="21" t="s">
        <v>29</v>
      </c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8"/>
      <c r="T533" s="37"/>
      <c r="U533" s="38"/>
      <c r="V533" s="37"/>
      <c r="W533" s="37"/>
      <c r="X533" s="37"/>
      <c r="Y533" s="37"/>
      <c r="Z533" s="37"/>
      <c r="AA533" s="37"/>
      <c r="AB533" s="37"/>
      <c r="AC533" s="37"/>
      <c r="AD533" s="38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9">
        <f t="shared" si="245"/>
        <v>0</v>
      </c>
      <c r="AQ533" s="1"/>
    </row>
    <row r="534" ht="15.75" customHeight="1">
      <c r="A534" s="1"/>
      <c r="B534" s="61"/>
      <c r="C534" s="42"/>
      <c r="D534" s="42"/>
      <c r="E534" s="52"/>
      <c r="F534" s="62" t="s">
        <v>30</v>
      </c>
      <c r="G534" s="44"/>
      <c r="H534" s="34">
        <f t="shared" ref="H534:AN534" si="246">H529+H530-H531+H532-H533</f>
        <v>0</v>
      </c>
      <c r="I534" s="34">
        <f t="shared" si="246"/>
        <v>0</v>
      </c>
      <c r="J534" s="34">
        <f t="shared" si="246"/>
        <v>0</v>
      </c>
      <c r="K534" s="34">
        <f t="shared" si="246"/>
        <v>0</v>
      </c>
      <c r="L534" s="34">
        <f t="shared" si="246"/>
        <v>0</v>
      </c>
      <c r="M534" s="34">
        <f t="shared" si="246"/>
        <v>0</v>
      </c>
      <c r="N534" s="34">
        <f t="shared" si="246"/>
        <v>0</v>
      </c>
      <c r="O534" s="34">
        <f t="shared" si="246"/>
        <v>0</v>
      </c>
      <c r="P534" s="34">
        <f t="shared" si="246"/>
        <v>0</v>
      </c>
      <c r="Q534" s="34">
        <f t="shared" si="246"/>
        <v>0</v>
      </c>
      <c r="R534" s="34">
        <f t="shared" si="246"/>
        <v>0</v>
      </c>
      <c r="S534" s="34">
        <f t="shared" si="246"/>
        <v>0</v>
      </c>
      <c r="T534" s="34">
        <f t="shared" si="246"/>
        <v>0</v>
      </c>
      <c r="U534" s="34">
        <f t="shared" si="246"/>
        <v>0</v>
      </c>
      <c r="V534" s="34">
        <f t="shared" si="246"/>
        <v>0</v>
      </c>
      <c r="W534" s="34">
        <f t="shared" si="246"/>
        <v>0</v>
      </c>
      <c r="X534" s="34">
        <f t="shared" si="246"/>
        <v>0</v>
      </c>
      <c r="Y534" s="34">
        <f t="shared" si="246"/>
        <v>0</v>
      </c>
      <c r="Z534" s="34">
        <f t="shared" si="246"/>
        <v>0</v>
      </c>
      <c r="AA534" s="34">
        <f t="shared" si="246"/>
        <v>0</v>
      </c>
      <c r="AB534" s="34">
        <f t="shared" si="246"/>
        <v>0</v>
      </c>
      <c r="AC534" s="34">
        <f t="shared" si="246"/>
        <v>0</v>
      </c>
      <c r="AD534" s="34">
        <f t="shared" si="246"/>
        <v>0</v>
      </c>
      <c r="AE534" s="34">
        <f t="shared" si="246"/>
        <v>0</v>
      </c>
      <c r="AF534" s="34">
        <f t="shared" si="246"/>
        <v>0</v>
      </c>
      <c r="AG534" s="34">
        <f t="shared" si="246"/>
        <v>0</v>
      </c>
      <c r="AH534" s="34">
        <f t="shared" si="246"/>
        <v>0</v>
      </c>
      <c r="AI534" s="34">
        <f t="shared" si="246"/>
        <v>0</v>
      </c>
      <c r="AJ534" s="34">
        <f t="shared" si="246"/>
        <v>0</v>
      </c>
      <c r="AK534" s="34">
        <f t="shared" si="246"/>
        <v>0</v>
      </c>
      <c r="AL534" s="34">
        <f t="shared" si="246"/>
        <v>0</v>
      </c>
      <c r="AM534" s="34">
        <f t="shared" si="246"/>
        <v>0</v>
      </c>
      <c r="AN534" s="34">
        <f t="shared" si="246"/>
        <v>0</v>
      </c>
      <c r="AO534" s="34"/>
      <c r="AP534" s="45">
        <f>AO529</f>
        <v>0</v>
      </c>
      <c r="AQ534" s="1"/>
    </row>
    <row r="535" ht="15.75" customHeight="1">
      <c r="A535" s="1"/>
      <c r="B535" s="56"/>
      <c r="C535" s="32" t="s">
        <v>202</v>
      </c>
      <c r="D535" s="57" t="s">
        <v>45</v>
      </c>
      <c r="E535" s="13"/>
      <c r="F535" s="41" t="s">
        <v>23</v>
      </c>
      <c r="G535" s="44"/>
      <c r="H535" s="34" t="str">
        <f t="shared" ref="H535:AO535" si="247">G540</f>
        <v/>
      </c>
      <c r="I535" s="34">
        <f t="shared" si="247"/>
        <v>0</v>
      </c>
      <c r="J535" s="34">
        <f t="shared" si="247"/>
        <v>0</v>
      </c>
      <c r="K535" s="34">
        <f t="shared" si="247"/>
        <v>0</v>
      </c>
      <c r="L535" s="34">
        <f t="shared" si="247"/>
        <v>0</v>
      </c>
      <c r="M535" s="34">
        <f t="shared" si="247"/>
        <v>0</v>
      </c>
      <c r="N535" s="34">
        <f t="shared" si="247"/>
        <v>0</v>
      </c>
      <c r="O535" s="34">
        <f t="shared" si="247"/>
        <v>0</v>
      </c>
      <c r="P535" s="34">
        <f t="shared" si="247"/>
        <v>0</v>
      </c>
      <c r="Q535" s="34">
        <f t="shared" si="247"/>
        <v>0</v>
      </c>
      <c r="R535" s="34">
        <f t="shared" si="247"/>
        <v>0</v>
      </c>
      <c r="S535" s="34">
        <f t="shared" si="247"/>
        <v>0</v>
      </c>
      <c r="T535" s="34">
        <f t="shared" si="247"/>
        <v>0</v>
      </c>
      <c r="U535" s="34">
        <f t="shared" si="247"/>
        <v>0</v>
      </c>
      <c r="V535" s="34">
        <f t="shared" si="247"/>
        <v>0</v>
      </c>
      <c r="W535" s="34">
        <f t="shared" si="247"/>
        <v>0</v>
      </c>
      <c r="X535" s="34">
        <f t="shared" si="247"/>
        <v>0</v>
      </c>
      <c r="Y535" s="34">
        <f t="shared" si="247"/>
        <v>0</v>
      </c>
      <c r="Z535" s="34">
        <f t="shared" si="247"/>
        <v>0</v>
      </c>
      <c r="AA535" s="34">
        <f t="shared" si="247"/>
        <v>0</v>
      </c>
      <c r="AB535" s="34">
        <f t="shared" si="247"/>
        <v>0</v>
      </c>
      <c r="AC535" s="34">
        <f t="shared" si="247"/>
        <v>0</v>
      </c>
      <c r="AD535" s="34">
        <f t="shared" si="247"/>
        <v>0</v>
      </c>
      <c r="AE535" s="34">
        <f t="shared" si="247"/>
        <v>0</v>
      </c>
      <c r="AF535" s="34">
        <f t="shared" si="247"/>
        <v>0</v>
      </c>
      <c r="AG535" s="34">
        <f t="shared" si="247"/>
        <v>0</v>
      </c>
      <c r="AH535" s="34">
        <f t="shared" si="247"/>
        <v>0</v>
      </c>
      <c r="AI535" s="34">
        <f t="shared" si="247"/>
        <v>0</v>
      </c>
      <c r="AJ535" s="34">
        <f t="shared" si="247"/>
        <v>0</v>
      </c>
      <c r="AK535" s="34">
        <f t="shared" si="247"/>
        <v>0</v>
      </c>
      <c r="AL535" s="34">
        <f t="shared" si="247"/>
        <v>0</v>
      </c>
      <c r="AM535" s="34">
        <f t="shared" si="247"/>
        <v>0</v>
      </c>
      <c r="AN535" s="34">
        <f t="shared" si="247"/>
        <v>0</v>
      </c>
      <c r="AO535" s="34">
        <f t="shared" si="247"/>
        <v>0</v>
      </c>
      <c r="AP535" s="54"/>
      <c r="AQ535" s="1"/>
    </row>
    <row r="536" ht="15.75" customHeight="1">
      <c r="A536" s="1"/>
      <c r="B536" s="58"/>
      <c r="C536" s="35"/>
      <c r="D536" s="35"/>
      <c r="E536" s="33" t="s">
        <v>24</v>
      </c>
      <c r="F536" s="59" t="s">
        <v>25</v>
      </c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8"/>
      <c r="T536" s="37"/>
      <c r="U536" s="38"/>
      <c r="V536" s="37"/>
      <c r="W536" s="37"/>
      <c r="X536" s="37"/>
      <c r="Y536" s="37"/>
      <c r="Z536" s="37"/>
      <c r="AA536" s="37"/>
      <c r="AB536" s="37"/>
      <c r="AC536" s="37"/>
      <c r="AD536" s="38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9">
        <f t="shared" ref="AP536:AP539" si="248">SUM(H536:AO536)</f>
        <v>0</v>
      </c>
      <c r="AQ536" s="1"/>
    </row>
    <row r="537" ht="15.75" customHeight="1">
      <c r="A537" s="1"/>
      <c r="B537" s="58"/>
      <c r="C537" s="35"/>
      <c r="D537" s="35"/>
      <c r="E537" s="33"/>
      <c r="F537" s="60" t="s">
        <v>26</v>
      </c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8"/>
      <c r="T537" s="37"/>
      <c r="U537" s="38"/>
      <c r="V537" s="37"/>
      <c r="W537" s="37"/>
      <c r="X537" s="37"/>
      <c r="Y537" s="37"/>
      <c r="Z537" s="37"/>
      <c r="AA537" s="37"/>
      <c r="AB537" s="37"/>
      <c r="AC537" s="37"/>
      <c r="AD537" s="38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9">
        <f t="shared" si="248"/>
        <v>0</v>
      </c>
      <c r="AQ537" s="1"/>
    </row>
    <row r="538" ht="15.75" customHeight="1">
      <c r="A538" s="1"/>
      <c r="B538" s="58"/>
      <c r="C538" s="35"/>
      <c r="D538" s="35"/>
      <c r="E538" s="33" t="s">
        <v>27</v>
      </c>
      <c r="F538" s="41" t="s">
        <v>28</v>
      </c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8"/>
      <c r="T538" s="37"/>
      <c r="U538" s="38"/>
      <c r="V538" s="37"/>
      <c r="W538" s="37"/>
      <c r="X538" s="37"/>
      <c r="Y538" s="37"/>
      <c r="Z538" s="37"/>
      <c r="AA538" s="37"/>
      <c r="AB538" s="37"/>
      <c r="AC538" s="37"/>
      <c r="AD538" s="38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9">
        <f t="shared" si="248"/>
        <v>0</v>
      </c>
      <c r="AQ538" s="1"/>
    </row>
    <row r="539" ht="15.75" customHeight="1">
      <c r="A539" s="1"/>
      <c r="B539" s="58"/>
      <c r="C539" s="35"/>
      <c r="D539" s="35"/>
      <c r="E539" s="33"/>
      <c r="F539" s="41" t="s">
        <v>29</v>
      </c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8"/>
      <c r="T539" s="37"/>
      <c r="U539" s="38"/>
      <c r="V539" s="37"/>
      <c r="W539" s="37"/>
      <c r="X539" s="37"/>
      <c r="Y539" s="37"/>
      <c r="Z539" s="37"/>
      <c r="AA539" s="37"/>
      <c r="AB539" s="37"/>
      <c r="AC539" s="37"/>
      <c r="AD539" s="38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9">
        <f t="shared" si="248"/>
        <v>0</v>
      </c>
      <c r="AQ539" s="1"/>
    </row>
    <row r="540" ht="15.75" customHeight="1">
      <c r="A540" s="1"/>
      <c r="B540" s="61"/>
      <c r="C540" s="42"/>
      <c r="D540" s="42"/>
      <c r="E540" s="52"/>
      <c r="F540" s="62" t="s">
        <v>30</v>
      </c>
      <c r="G540" s="44"/>
      <c r="H540" s="34">
        <f t="shared" ref="H540:AN540" si="249">H535+H536-H537+H538-H539</f>
        <v>0</v>
      </c>
      <c r="I540" s="34">
        <f t="shared" si="249"/>
        <v>0</v>
      </c>
      <c r="J540" s="34">
        <f t="shared" si="249"/>
        <v>0</v>
      </c>
      <c r="K540" s="34">
        <f t="shared" si="249"/>
        <v>0</v>
      </c>
      <c r="L540" s="34">
        <f t="shared" si="249"/>
        <v>0</v>
      </c>
      <c r="M540" s="34">
        <f t="shared" si="249"/>
        <v>0</v>
      </c>
      <c r="N540" s="34">
        <f t="shared" si="249"/>
        <v>0</v>
      </c>
      <c r="O540" s="34">
        <f t="shared" si="249"/>
        <v>0</v>
      </c>
      <c r="P540" s="34">
        <f t="shared" si="249"/>
        <v>0</v>
      </c>
      <c r="Q540" s="34">
        <f t="shared" si="249"/>
        <v>0</v>
      </c>
      <c r="R540" s="34">
        <f t="shared" si="249"/>
        <v>0</v>
      </c>
      <c r="S540" s="34">
        <f t="shared" si="249"/>
        <v>0</v>
      </c>
      <c r="T540" s="34">
        <f t="shared" si="249"/>
        <v>0</v>
      </c>
      <c r="U540" s="34">
        <f t="shared" si="249"/>
        <v>0</v>
      </c>
      <c r="V540" s="34">
        <f t="shared" si="249"/>
        <v>0</v>
      </c>
      <c r="W540" s="34">
        <f t="shared" si="249"/>
        <v>0</v>
      </c>
      <c r="X540" s="34">
        <f t="shared" si="249"/>
        <v>0</v>
      </c>
      <c r="Y540" s="34">
        <f t="shared" si="249"/>
        <v>0</v>
      </c>
      <c r="Z540" s="34">
        <f t="shared" si="249"/>
        <v>0</v>
      </c>
      <c r="AA540" s="34">
        <f t="shared" si="249"/>
        <v>0</v>
      </c>
      <c r="AB540" s="34">
        <f t="shared" si="249"/>
        <v>0</v>
      </c>
      <c r="AC540" s="34">
        <f t="shared" si="249"/>
        <v>0</v>
      </c>
      <c r="AD540" s="34">
        <f t="shared" si="249"/>
        <v>0</v>
      </c>
      <c r="AE540" s="34">
        <f t="shared" si="249"/>
        <v>0</v>
      </c>
      <c r="AF540" s="34">
        <f t="shared" si="249"/>
        <v>0</v>
      </c>
      <c r="AG540" s="34">
        <f t="shared" si="249"/>
        <v>0</v>
      </c>
      <c r="AH540" s="34">
        <f t="shared" si="249"/>
        <v>0</v>
      </c>
      <c r="AI540" s="34">
        <f t="shared" si="249"/>
        <v>0</v>
      </c>
      <c r="AJ540" s="34">
        <f t="shared" si="249"/>
        <v>0</v>
      </c>
      <c r="AK540" s="34">
        <f t="shared" si="249"/>
        <v>0</v>
      </c>
      <c r="AL540" s="34">
        <f t="shared" si="249"/>
        <v>0</v>
      </c>
      <c r="AM540" s="34">
        <f t="shared" si="249"/>
        <v>0</v>
      </c>
      <c r="AN540" s="34">
        <f t="shared" si="249"/>
        <v>0</v>
      </c>
      <c r="AO540" s="34"/>
      <c r="AP540" s="45">
        <f>AO535</f>
        <v>0</v>
      </c>
      <c r="AQ540" s="1"/>
    </row>
    <row r="541" ht="15.75" customHeight="1">
      <c r="A541" s="1"/>
      <c r="B541" s="56"/>
      <c r="C541" s="32" t="s">
        <v>203</v>
      </c>
      <c r="D541" s="57" t="s">
        <v>204</v>
      </c>
      <c r="E541" s="13"/>
      <c r="F541" s="41" t="s">
        <v>23</v>
      </c>
      <c r="G541" s="44"/>
      <c r="H541" s="34" t="str">
        <f t="shared" ref="H541:AO541" si="250">G546</f>
        <v/>
      </c>
      <c r="I541" s="34">
        <f t="shared" si="250"/>
        <v>0</v>
      </c>
      <c r="J541" s="34">
        <f t="shared" si="250"/>
        <v>0</v>
      </c>
      <c r="K541" s="34">
        <f t="shared" si="250"/>
        <v>0</v>
      </c>
      <c r="L541" s="34">
        <f t="shared" si="250"/>
        <v>0</v>
      </c>
      <c r="M541" s="34">
        <f t="shared" si="250"/>
        <v>0</v>
      </c>
      <c r="N541" s="34">
        <f t="shared" si="250"/>
        <v>0</v>
      </c>
      <c r="O541" s="34">
        <f t="shared" si="250"/>
        <v>0</v>
      </c>
      <c r="P541" s="34">
        <f t="shared" si="250"/>
        <v>0</v>
      </c>
      <c r="Q541" s="34">
        <f t="shared" si="250"/>
        <v>0</v>
      </c>
      <c r="R541" s="34">
        <f t="shared" si="250"/>
        <v>0</v>
      </c>
      <c r="S541" s="34">
        <f t="shared" si="250"/>
        <v>0</v>
      </c>
      <c r="T541" s="34">
        <f t="shared" si="250"/>
        <v>0</v>
      </c>
      <c r="U541" s="34">
        <f t="shared" si="250"/>
        <v>0</v>
      </c>
      <c r="V541" s="34">
        <f t="shared" si="250"/>
        <v>0</v>
      </c>
      <c r="W541" s="34">
        <f t="shared" si="250"/>
        <v>0</v>
      </c>
      <c r="X541" s="34">
        <f t="shared" si="250"/>
        <v>0</v>
      </c>
      <c r="Y541" s="34">
        <f t="shared" si="250"/>
        <v>0</v>
      </c>
      <c r="Z541" s="34">
        <f t="shared" si="250"/>
        <v>0</v>
      </c>
      <c r="AA541" s="34">
        <f t="shared" si="250"/>
        <v>0</v>
      </c>
      <c r="AB541" s="34">
        <f t="shared" si="250"/>
        <v>0</v>
      </c>
      <c r="AC541" s="34">
        <f t="shared" si="250"/>
        <v>0</v>
      </c>
      <c r="AD541" s="34">
        <f t="shared" si="250"/>
        <v>0</v>
      </c>
      <c r="AE541" s="34">
        <f t="shared" si="250"/>
        <v>0</v>
      </c>
      <c r="AF541" s="34">
        <f t="shared" si="250"/>
        <v>0</v>
      </c>
      <c r="AG541" s="34">
        <f t="shared" si="250"/>
        <v>0</v>
      </c>
      <c r="AH541" s="34">
        <f t="shared" si="250"/>
        <v>0</v>
      </c>
      <c r="AI541" s="34">
        <f t="shared" si="250"/>
        <v>0</v>
      </c>
      <c r="AJ541" s="34">
        <f t="shared" si="250"/>
        <v>0</v>
      </c>
      <c r="AK541" s="34">
        <f t="shared" si="250"/>
        <v>0</v>
      </c>
      <c r="AL541" s="34">
        <f t="shared" si="250"/>
        <v>0</v>
      </c>
      <c r="AM541" s="34">
        <f t="shared" si="250"/>
        <v>0</v>
      </c>
      <c r="AN541" s="34">
        <f t="shared" si="250"/>
        <v>0</v>
      </c>
      <c r="AO541" s="34">
        <f t="shared" si="250"/>
        <v>0</v>
      </c>
      <c r="AP541" s="54"/>
      <c r="AQ541" s="1"/>
    </row>
    <row r="542" ht="15.75" customHeight="1">
      <c r="A542" s="1"/>
      <c r="B542" s="58"/>
      <c r="C542" s="35"/>
      <c r="D542" s="35"/>
      <c r="E542" s="33" t="s">
        <v>24</v>
      </c>
      <c r="F542" s="59" t="s">
        <v>25</v>
      </c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8"/>
      <c r="T542" s="37"/>
      <c r="U542" s="38"/>
      <c r="V542" s="37"/>
      <c r="W542" s="37"/>
      <c r="X542" s="37"/>
      <c r="Y542" s="37"/>
      <c r="Z542" s="37"/>
      <c r="AA542" s="37"/>
      <c r="AB542" s="37"/>
      <c r="AC542" s="37"/>
      <c r="AD542" s="38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9">
        <f t="shared" ref="AP542:AP545" si="251">SUM(H542:AO542)</f>
        <v>0</v>
      </c>
      <c r="AQ542" s="1"/>
    </row>
    <row r="543" ht="15.75" customHeight="1">
      <c r="A543" s="1"/>
      <c r="B543" s="58"/>
      <c r="C543" s="35"/>
      <c r="D543" s="35"/>
      <c r="E543" s="33"/>
      <c r="F543" s="60" t="s">
        <v>26</v>
      </c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8"/>
      <c r="T543" s="37"/>
      <c r="U543" s="38"/>
      <c r="V543" s="37"/>
      <c r="W543" s="37"/>
      <c r="X543" s="37"/>
      <c r="Y543" s="37"/>
      <c r="Z543" s="37"/>
      <c r="AA543" s="37"/>
      <c r="AB543" s="37"/>
      <c r="AC543" s="37"/>
      <c r="AD543" s="38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9">
        <f t="shared" si="251"/>
        <v>0</v>
      </c>
      <c r="AQ543" s="1"/>
    </row>
    <row r="544" ht="15.75" customHeight="1">
      <c r="A544" s="1"/>
      <c r="B544" s="58"/>
      <c r="C544" s="35"/>
      <c r="D544" s="35"/>
      <c r="E544" s="33" t="s">
        <v>27</v>
      </c>
      <c r="F544" s="41" t="s">
        <v>28</v>
      </c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8"/>
      <c r="T544" s="37"/>
      <c r="U544" s="38"/>
      <c r="V544" s="37"/>
      <c r="W544" s="37"/>
      <c r="X544" s="37"/>
      <c r="Y544" s="37"/>
      <c r="Z544" s="37"/>
      <c r="AA544" s="37"/>
      <c r="AB544" s="37"/>
      <c r="AC544" s="37"/>
      <c r="AD544" s="38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9">
        <f t="shared" si="251"/>
        <v>0</v>
      </c>
      <c r="AQ544" s="1"/>
    </row>
    <row r="545" ht="15.75" customHeight="1">
      <c r="A545" s="1"/>
      <c r="B545" s="58"/>
      <c r="C545" s="35"/>
      <c r="D545" s="35"/>
      <c r="E545" s="33"/>
      <c r="F545" s="41" t="s">
        <v>29</v>
      </c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8"/>
      <c r="T545" s="37"/>
      <c r="U545" s="38"/>
      <c r="V545" s="37"/>
      <c r="W545" s="37"/>
      <c r="X545" s="37"/>
      <c r="Y545" s="37"/>
      <c r="Z545" s="37"/>
      <c r="AA545" s="37"/>
      <c r="AB545" s="37"/>
      <c r="AC545" s="37"/>
      <c r="AD545" s="38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9">
        <f t="shared" si="251"/>
        <v>0</v>
      </c>
      <c r="AQ545" s="1"/>
    </row>
    <row r="546" ht="15.75" customHeight="1">
      <c r="A546" s="1"/>
      <c r="B546" s="61"/>
      <c r="C546" s="42"/>
      <c r="D546" s="42"/>
      <c r="E546" s="52"/>
      <c r="F546" s="62" t="s">
        <v>30</v>
      </c>
      <c r="G546" s="44"/>
      <c r="H546" s="34">
        <f t="shared" ref="H546:AN546" si="252">H541+H542-H543+H544-H545</f>
        <v>0</v>
      </c>
      <c r="I546" s="34">
        <f t="shared" si="252"/>
        <v>0</v>
      </c>
      <c r="J546" s="34">
        <f t="shared" si="252"/>
        <v>0</v>
      </c>
      <c r="K546" s="34">
        <f t="shared" si="252"/>
        <v>0</v>
      </c>
      <c r="L546" s="34">
        <f t="shared" si="252"/>
        <v>0</v>
      </c>
      <c r="M546" s="34">
        <f t="shared" si="252"/>
        <v>0</v>
      </c>
      <c r="N546" s="34">
        <f t="shared" si="252"/>
        <v>0</v>
      </c>
      <c r="O546" s="34">
        <f t="shared" si="252"/>
        <v>0</v>
      </c>
      <c r="P546" s="34">
        <f t="shared" si="252"/>
        <v>0</v>
      </c>
      <c r="Q546" s="34">
        <f t="shared" si="252"/>
        <v>0</v>
      </c>
      <c r="R546" s="34">
        <f t="shared" si="252"/>
        <v>0</v>
      </c>
      <c r="S546" s="34">
        <f t="shared" si="252"/>
        <v>0</v>
      </c>
      <c r="T546" s="34">
        <f t="shared" si="252"/>
        <v>0</v>
      </c>
      <c r="U546" s="34">
        <f t="shared" si="252"/>
        <v>0</v>
      </c>
      <c r="V546" s="34">
        <f t="shared" si="252"/>
        <v>0</v>
      </c>
      <c r="W546" s="34">
        <f t="shared" si="252"/>
        <v>0</v>
      </c>
      <c r="X546" s="34">
        <f t="shared" si="252"/>
        <v>0</v>
      </c>
      <c r="Y546" s="34">
        <f t="shared" si="252"/>
        <v>0</v>
      </c>
      <c r="Z546" s="34">
        <f t="shared" si="252"/>
        <v>0</v>
      </c>
      <c r="AA546" s="34">
        <f t="shared" si="252"/>
        <v>0</v>
      </c>
      <c r="AB546" s="34">
        <f t="shared" si="252"/>
        <v>0</v>
      </c>
      <c r="AC546" s="34">
        <f t="shared" si="252"/>
        <v>0</v>
      </c>
      <c r="AD546" s="34">
        <f t="shared" si="252"/>
        <v>0</v>
      </c>
      <c r="AE546" s="34">
        <f t="shared" si="252"/>
        <v>0</v>
      </c>
      <c r="AF546" s="34">
        <f t="shared" si="252"/>
        <v>0</v>
      </c>
      <c r="AG546" s="34">
        <f t="shared" si="252"/>
        <v>0</v>
      </c>
      <c r="AH546" s="34">
        <f t="shared" si="252"/>
        <v>0</v>
      </c>
      <c r="AI546" s="34">
        <f t="shared" si="252"/>
        <v>0</v>
      </c>
      <c r="AJ546" s="34">
        <f t="shared" si="252"/>
        <v>0</v>
      </c>
      <c r="AK546" s="34">
        <f t="shared" si="252"/>
        <v>0</v>
      </c>
      <c r="AL546" s="34">
        <f t="shared" si="252"/>
        <v>0</v>
      </c>
      <c r="AM546" s="34">
        <f t="shared" si="252"/>
        <v>0</v>
      </c>
      <c r="AN546" s="34">
        <f t="shared" si="252"/>
        <v>0</v>
      </c>
      <c r="AO546" s="34"/>
      <c r="AP546" s="45">
        <f>AO541</f>
        <v>0</v>
      </c>
      <c r="AQ546" s="1"/>
    </row>
    <row r="547" ht="15.75" customHeight="1">
      <c r="A547" s="1"/>
      <c r="B547" s="56"/>
      <c r="C547" s="32" t="s">
        <v>205</v>
      </c>
      <c r="D547" s="57" t="s">
        <v>206</v>
      </c>
      <c r="E547" s="13"/>
      <c r="F547" s="41" t="s">
        <v>23</v>
      </c>
      <c r="G547" s="44"/>
      <c r="H547" s="34" t="str">
        <f t="shared" ref="H547:AO547" si="253">G552</f>
        <v/>
      </c>
      <c r="I547" s="34">
        <f t="shared" si="253"/>
        <v>0</v>
      </c>
      <c r="J547" s="34">
        <f t="shared" si="253"/>
        <v>0</v>
      </c>
      <c r="K547" s="34">
        <f t="shared" si="253"/>
        <v>0</v>
      </c>
      <c r="L547" s="34">
        <f t="shared" si="253"/>
        <v>0</v>
      </c>
      <c r="M547" s="34">
        <f t="shared" si="253"/>
        <v>0</v>
      </c>
      <c r="N547" s="34">
        <f t="shared" si="253"/>
        <v>0</v>
      </c>
      <c r="O547" s="34">
        <f t="shared" si="253"/>
        <v>0</v>
      </c>
      <c r="P547" s="34">
        <f t="shared" si="253"/>
        <v>0</v>
      </c>
      <c r="Q547" s="34">
        <f t="shared" si="253"/>
        <v>0</v>
      </c>
      <c r="R547" s="34">
        <f t="shared" si="253"/>
        <v>0</v>
      </c>
      <c r="S547" s="34">
        <f t="shared" si="253"/>
        <v>0</v>
      </c>
      <c r="T547" s="34">
        <f t="shared" si="253"/>
        <v>0</v>
      </c>
      <c r="U547" s="34">
        <f t="shared" si="253"/>
        <v>0</v>
      </c>
      <c r="V547" s="34">
        <f t="shared" si="253"/>
        <v>0</v>
      </c>
      <c r="W547" s="34">
        <f t="shared" si="253"/>
        <v>0</v>
      </c>
      <c r="X547" s="34">
        <f t="shared" si="253"/>
        <v>0</v>
      </c>
      <c r="Y547" s="34">
        <f t="shared" si="253"/>
        <v>0</v>
      </c>
      <c r="Z547" s="34">
        <f t="shared" si="253"/>
        <v>0</v>
      </c>
      <c r="AA547" s="34">
        <f t="shared" si="253"/>
        <v>0</v>
      </c>
      <c r="AB547" s="34">
        <f t="shared" si="253"/>
        <v>0</v>
      </c>
      <c r="AC547" s="34">
        <f t="shared" si="253"/>
        <v>0</v>
      </c>
      <c r="AD547" s="34">
        <f t="shared" si="253"/>
        <v>0</v>
      </c>
      <c r="AE547" s="34">
        <f t="shared" si="253"/>
        <v>0</v>
      </c>
      <c r="AF547" s="34">
        <f t="shared" si="253"/>
        <v>0</v>
      </c>
      <c r="AG547" s="34">
        <f t="shared" si="253"/>
        <v>0</v>
      </c>
      <c r="AH547" s="34">
        <f t="shared" si="253"/>
        <v>0</v>
      </c>
      <c r="AI547" s="34">
        <f t="shared" si="253"/>
        <v>0</v>
      </c>
      <c r="AJ547" s="34">
        <f t="shared" si="253"/>
        <v>0</v>
      </c>
      <c r="AK547" s="34">
        <f t="shared" si="253"/>
        <v>0</v>
      </c>
      <c r="AL547" s="34">
        <f t="shared" si="253"/>
        <v>0</v>
      </c>
      <c r="AM547" s="34">
        <f t="shared" si="253"/>
        <v>0</v>
      </c>
      <c r="AN547" s="34">
        <f t="shared" si="253"/>
        <v>0</v>
      </c>
      <c r="AO547" s="34">
        <f t="shared" si="253"/>
        <v>0</v>
      </c>
      <c r="AP547" s="54"/>
      <c r="AQ547" s="1"/>
    </row>
    <row r="548" ht="15.75" customHeight="1">
      <c r="A548" s="1"/>
      <c r="B548" s="58"/>
      <c r="C548" s="35"/>
      <c r="D548" s="35"/>
      <c r="E548" s="33" t="s">
        <v>24</v>
      </c>
      <c r="F548" s="59" t="s">
        <v>25</v>
      </c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8"/>
      <c r="T548" s="37"/>
      <c r="U548" s="38"/>
      <c r="V548" s="37"/>
      <c r="W548" s="37"/>
      <c r="X548" s="37"/>
      <c r="Y548" s="37"/>
      <c r="Z548" s="37"/>
      <c r="AA548" s="37"/>
      <c r="AB548" s="37"/>
      <c r="AC548" s="37"/>
      <c r="AD548" s="38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9">
        <f t="shared" ref="AP548:AP551" si="254">SUM(H548:AO548)</f>
        <v>0</v>
      </c>
      <c r="AQ548" s="1"/>
    </row>
    <row r="549" ht="15.75" customHeight="1">
      <c r="A549" s="1"/>
      <c r="B549" s="58"/>
      <c r="C549" s="35"/>
      <c r="D549" s="35"/>
      <c r="E549" s="33"/>
      <c r="F549" s="60" t="s">
        <v>26</v>
      </c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8"/>
      <c r="T549" s="37"/>
      <c r="U549" s="38"/>
      <c r="V549" s="37"/>
      <c r="W549" s="37"/>
      <c r="X549" s="37"/>
      <c r="Y549" s="37"/>
      <c r="Z549" s="37"/>
      <c r="AA549" s="37"/>
      <c r="AB549" s="37"/>
      <c r="AC549" s="37"/>
      <c r="AD549" s="38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9">
        <f t="shared" si="254"/>
        <v>0</v>
      </c>
      <c r="AQ549" s="1"/>
    </row>
    <row r="550" ht="15.75" customHeight="1">
      <c r="A550" s="1"/>
      <c r="B550" s="58"/>
      <c r="C550" s="35"/>
      <c r="D550" s="35"/>
      <c r="E550" s="33" t="s">
        <v>27</v>
      </c>
      <c r="F550" s="41" t="s">
        <v>28</v>
      </c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8"/>
      <c r="T550" s="37"/>
      <c r="U550" s="38"/>
      <c r="V550" s="37"/>
      <c r="W550" s="37"/>
      <c r="X550" s="37"/>
      <c r="Y550" s="37"/>
      <c r="Z550" s="37"/>
      <c r="AA550" s="37"/>
      <c r="AB550" s="37"/>
      <c r="AC550" s="37"/>
      <c r="AD550" s="38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9">
        <f t="shared" si="254"/>
        <v>0</v>
      </c>
      <c r="AQ550" s="1"/>
    </row>
    <row r="551" ht="15.75" customHeight="1">
      <c r="A551" s="1"/>
      <c r="B551" s="58"/>
      <c r="C551" s="35"/>
      <c r="D551" s="35"/>
      <c r="E551" s="33"/>
      <c r="F551" s="41" t="s">
        <v>29</v>
      </c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8"/>
      <c r="T551" s="37"/>
      <c r="U551" s="38"/>
      <c r="V551" s="37"/>
      <c r="W551" s="37"/>
      <c r="X551" s="37"/>
      <c r="Y551" s="37"/>
      <c r="Z551" s="37"/>
      <c r="AA551" s="37"/>
      <c r="AB551" s="37"/>
      <c r="AC551" s="37"/>
      <c r="AD551" s="38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9">
        <f t="shared" si="254"/>
        <v>0</v>
      </c>
      <c r="AQ551" s="1"/>
    </row>
    <row r="552" ht="15.75" customHeight="1">
      <c r="A552" s="1"/>
      <c r="B552" s="61"/>
      <c r="C552" s="42"/>
      <c r="D552" s="42"/>
      <c r="E552" s="52"/>
      <c r="F552" s="62" t="s">
        <v>30</v>
      </c>
      <c r="G552" s="44"/>
      <c r="H552" s="34">
        <f t="shared" ref="H552:AN552" si="255">H547+H548-H549+H550-H551</f>
        <v>0</v>
      </c>
      <c r="I552" s="34">
        <f t="shared" si="255"/>
        <v>0</v>
      </c>
      <c r="J552" s="34">
        <f t="shared" si="255"/>
        <v>0</v>
      </c>
      <c r="K552" s="34">
        <f t="shared" si="255"/>
        <v>0</v>
      </c>
      <c r="L552" s="34">
        <f t="shared" si="255"/>
        <v>0</v>
      </c>
      <c r="M552" s="34">
        <f t="shared" si="255"/>
        <v>0</v>
      </c>
      <c r="N552" s="34">
        <f t="shared" si="255"/>
        <v>0</v>
      </c>
      <c r="O552" s="34">
        <f t="shared" si="255"/>
        <v>0</v>
      </c>
      <c r="P552" s="34">
        <f t="shared" si="255"/>
        <v>0</v>
      </c>
      <c r="Q552" s="34">
        <f t="shared" si="255"/>
        <v>0</v>
      </c>
      <c r="R552" s="34">
        <f t="shared" si="255"/>
        <v>0</v>
      </c>
      <c r="S552" s="34">
        <f t="shared" si="255"/>
        <v>0</v>
      </c>
      <c r="T552" s="34">
        <f t="shared" si="255"/>
        <v>0</v>
      </c>
      <c r="U552" s="34">
        <f t="shared" si="255"/>
        <v>0</v>
      </c>
      <c r="V552" s="34">
        <f t="shared" si="255"/>
        <v>0</v>
      </c>
      <c r="W552" s="34">
        <f t="shared" si="255"/>
        <v>0</v>
      </c>
      <c r="X552" s="34">
        <f t="shared" si="255"/>
        <v>0</v>
      </c>
      <c r="Y552" s="34">
        <f t="shared" si="255"/>
        <v>0</v>
      </c>
      <c r="Z552" s="34">
        <f t="shared" si="255"/>
        <v>0</v>
      </c>
      <c r="AA552" s="34">
        <f t="shared" si="255"/>
        <v>0</v>
      </c>
      <c r="AB552" s="34">
        <f t="shared" si="255"/>
        <v>0</v>
      </c>
      <c r="AC552" s="34">
        <f t="shared" si="255"/>
        <v>0</v>
      </c>
      <c r="AD552" s="34">
        <f t="shared" si="255"/>
        <v>0</v>
      </c>
      <c r="AE552" s="34">
        <f t="shared" si="255"/>
        <v>0</v>
      </c>
      <c r="AF552" s="34">
        <f t="shared" si="255"/>
        <v>0</v>
      </c>
      <c r="AG552" s="34">
        <f t="shared" si="255"/>
        <v>0</v>
      </c>
      <c r="AH552" s="34">
        <f t="shared" si="255"/>
        <v>0</v>
      </c>
      <c r="AI552" s="34">
        <f t="shared" si="255"/>
        <v>0</v>
      </c>
      <c r="AJ552" s="34">
        <f t="shared" si="255"/>
        <v>0</v>
      </c>
      <c r="AK552" s="34">
        <f t="shared" si="255"/>
        <v>0</v>
      </c>
      <c r="AL552" s="34">
        <f t="shared" si="255"/>
        <v>0</v>
      </c>
      <c r="AM552" s="34">
        <f t="shared" si="255"/>
        <v>0</v>
      </c>
      <c r="AN552" s="34">
        <f t="shared" si="255"/>
        <v>0</v>
      </c>
      <c r="AO552" s="34"/>
      <c r="AP552" s="45">
        <f>AO547</f>
        <v>0</v>
      </c>
      <c r="AQ552" s="1"/>
    </row>
    <row r="553" ht="15.75" customHeight="1">
      <c r="A553" s="1"/>
      <c r="B553" s="32"/>
      <c r="C553" s="32" t="s">
        <v>207</v>
      </c>
      <c r="D553" s="32" t="s">
        <v>208</v>
      </c>
      <c r="E553" s="13"/>
      <c r="F553" s="14" t="s">
        <v>23</v>
      </c>
      <c r="G553" s="44"/>
      <c r="H553" s="34">
        <v>61.0</v>
      </c>
      <c r="I553" s="34">
        <f t="shared" ref="I553:AO553" si="256">H558</f>
        <v>61</v>
      </c>
      <c r="J553" s="34">
        <f t="shared" si="256"/>
        <v>61</v>
      </c>
      <c r="K553" s="34">
        <f t="shared" si="256"/>
        <v>61</v>
      </c>
      <c r="L553" s="34">
        <f t="shared" si="256"/>
        <v>20</v>
      </c>
      <c r="M553" s="34">
        <f t="shared" si="256"/>
        <v>20</v>
      </c>
      <c r="N553" s="34">
        <f t="shared" si="256"/>
        <v>20</v>
      </c>
      <c r="O553" s="34">
        <f t="shared" si="256"/>
        <v>20</v>
      </c>
      <c r="P553" s="34">
        <f t="shared" si="256"/>
        <v>20</v>
      </c>
      <c r="Q553" s="34">
        <f t="shared" si="256"/>
        <v>20</v>
      </c>
      <c r="R553" s="34">
        <f t="shared" si="256"/>
        <v>20</v>
      </c>
      <c r="S553" s="34">
        <f t="shared" si="256"/>
        <v>20</v>
      </c>
      <c r="T553" s="34">
        <f t="shared" si="256"/>
        <v>20</v>
      </c>
      <c r="U553" s="34">
        <f t="shared" si="256"/>
        <v>20</v>
      </c>
      <c r="V553" s="34">
        <f t="shared" si="256"/>
        <v>20</v>
      </c>
      <c r="W553" s="34">
        <f t="shared" si="256"/>
        <v>20</v>
      </c>
      <c r="X553" s="34">
        <f t="shared" si="256"/>
        <v>20</v>
      </c>
      <c r="Y553" s="34">
        <f t="shared" si="256"/>
        <v>20</v>
      </c>
      <c r="Z553" s="34">
        <f t="shared" si="256"/>
        <v>20</v>
      </c>
      <c r="AA553" s="34">
        <f t="shared" si="256"/>
        <v>20</v>
      </c>
      <c r="AB553" s="34">
        <f t="shared" si="256"/>
        <v>20</v>
      </c>
      <c r="AC553" s="34">
        <f t="shared" si="256"/>
        <v>20</v>
      </c>
      <c r="AD553" s="34">
        <f t="shared" si="256"/>
        <v>20</v>
      </c>
      <c r="AE553" s="34">
        <f t="shared" si="256"/>
        <v>20</v>
      </c>
      <c r="AF553" s="34">
        <f t="shared" si="256"/>
        <v>20</v>
      </c>
      <c r="AG553" s="34">
        <f t="shared" si="256"/>
        <v>20</v>
      </c>
      <c r="AH553" s="34">
        <f t="shared" si="256"/>
        <v>20</v>
      </c>
      <c r="AI553" s="34">
        <f t="shared" si="256"/>
        <v>20</v>
      </c>
      <c r="AJ553" s="34">
        <f t="shared" si="256"/>
        <v>20</v>
      </c>
      <c r="AK553" s="34">
        <f t="shared" si="256"/>
        <v>20</v>
      </c>
      <c r="AL553" s="34">
        <f t="shared" si="256"/>
        <v>20</v>
      </c>
      <c r="AM553" s="34">
        <f t="shared" si="256"/>
        <v>20</v>
      </c>
      <c r="AN553" s="34">
        <f t="shared" si="256"/>
        <v>20</v>
      </c>
      <c r="AO553" s="34">
        <f t="shared" si="256"/>
        <v>20</v>
      </c>
      <c r="AP553" s="54"/>
      <c r="AQ553" s="1"/>
    </row>
    <row r="554" ht="15.75" customHeight="1">
      <c r="A554" s="1"/>
      <c r="B554" s="35"/>
      <c r="C554" s="35"/>
      <c r="D554" s="35"/>
      <c r="E554" s="33" t="s">
        <v>24</v>
      </c>
      <c r="F554" s="36" t="s">
        <v>25</v>
      </c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8"/>
      <c r="T554" s="37"/>
      <c r="U554" s="38"/>
      <c r="V554" s="37"/>
      <c r="W554" s="37"/>
      <c r="X554" s="37"/>
      <c r="Y554" s="37"/>
      <c r="Z554" s="37"/>
      <c r="AA554" s="37"/>
      <c r="AB554" s="37"/>
      <c r="AC554" s="37"/>
      <c r="AD554" s="38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9">
        <f t="shared" ref="AP554:AP557" si="257">SUM(H554:AO554)</f>
        <v>0</v>
      </c>
      <c r="AQ554" s="1"/>
    </row>
    <row r="555" ht="15.75" customHeight="1">
      <c r="A555" s="51"/>
      <c r="B555" s="35"/>
      <c r="C555" s="35"/>
      <c r="D555" s="35"/>
      <c r="E555" s="47"/>
      <c r="F555" s="40" t="s">
        <v>26</v>
      </c>
      <c r="G555" s="49"/>
      <c r="H555" s="49"/>
      <c r="I555" s="49"/>
      <c r="J555" s="49"/>
      <c r="K555" s="49">
        <v>41.0</v>
      </c>
      <c r="L555" s="49"/>
      <c r="M555" s="49"/>
      <c r="N555" s="49"/>
      <c r="O555" s="49"/>
      <c r="P555" s="49"/>
      <c r="Q555" s="49"/>
      <c r="R555" s="49"/>
      <c r="S555" s="48"/>
      <c r="T555" s="49"/>
      <c r="U555" s="48"/>
      <c r="V555" s="49"/>
      <c r="W555" s="49"/>
      <c r="X555" s="49"/>
      <c r="Y555" s="49"/>
      <c r="Z555" s="49"/>
      <c r="AA555" s="49"/>
      <c r="AB555" s="49"/>
      <c r="AC555" s="49"/>
      <c r="AD555" s="48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50">
        <f t="shared" si="257"/>
        <v>41</v>
      </c>
      <c r="AQ555" s="51"/>
    </row>
    <row r="556" ht="15.75" customHeight="1">
      <c r="A556" s="1"/>
      <c r="B556" s="35"/>
      <c r="C556" s="35"/>
      <c r="D556" s="35"/>
      <c r="E556" s="33" t="s">
        <v>27</v>
      </c>
      <c r="F556" s="41" t="s">
        <v>28</v>
      </c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8"/>
      <c r="T556" s="37"/>
      <c r="U556" s="38"/>
      <c r="V556" s="37"/>
      <c r="W556" s="37"/>
      <c r="X556" s="37"/>
      <c r="Y556" s="37"/>
      <c r="Z556" s="37"/>
      <c r="AA556" s="37"/>
      <c r="AB556" s="37"/>
      <c r="AC556" s="37"/>
      <c r="AD556" s="38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9">
        <f t="shared" si="257"/>
        <v>0</v>
      </c>
      <c r="AQ556" s="1"/>
    </row>
    <row r="557" ht="15.75" customHeight="1">
      <c r="A557" s="1"/>
      <c r="B557" s="35"/>
      <c r="C557" s="35"/>
      <c r="D557" s="35"/>
      <c r="E557" s="33"/>
      <c r="F557" s="41" t="s">
        <v>29</v>
      </c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8"/>
      <c r="T557" s="37"/>
      <c r="U557" s="38"/>
      <c r="V557" s="37"/>
      <c r="W557" s="37"/>
      <c r="X557" s="37"/>
      <c r="Y557" s="37"/>
      <c r="Z557" s="37"/>
      <c r="AA557" s="37"/>
      <c r="AB557" s="37"/>
      <c r="AC557" s="37"/>
      <c r="AD557" s="38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9">
        <f t="shared" si="257"/>
        <v>0</v>
      </c>
      <c r="AQ557" s="1"/>
    </row>
    <row r="558" ht="15.75" customHeight="1">
      <c r="A558" s="1"/>
      <c r="B558" s="42"/>
      <c r="C558" s="42"/>
      <c r="D558" s="42"/>
      <c r="E558" s="52"/>
      <c r="F558" s="43" t="s">
        <v>30</v>
      </c>
      <c r="G558" s="44"/>
      <c r="H558" s="34">
        <f t="shared" ref="H558:AN558" si="258">H553+H554-H555+H556-H557</f>
        <v>61</v>
      </c>
      <c r="I558" s="34">
        <f t="shared" si="258"/>
        <v>61</v>
      </c>
      <c r="J558" s="34">
        <f t="shared" si="258"/>
        <v>61</v>
      </c>
      <c r="K558" s="34">
        <f t="shared" si="258"/>
        <v>20</v>
      </c>
      <c r="L558" s="34">
        <f t="shared" si="258"/>
        <v>20</v>
      </c>
      <c r="M558" s="34">
        <f t="shared" si="258"/>
        <v>20</v>
      </c>
      <c r="N558" s="34">
        <f t="shared" si="258"/>
        <v>20</v>
      </c>
      <c r="O558" s="34">
        <f t="shared" si="258"/>
        <v>20</v>
      </c>
      <c r="P558" s="34">
        <f t="shared" si="258"/>
        <v>20</v>
      </c>
      <c r="Q558" s="34">
        <f t="shared" si="258"/>
        <v>20</v>
      </c>
      <c r="R558" s="34">
        <f t="shared" si="258"/>
        <v>20</v>
      </c>
      <c r="S558" s="34">
        <f t="shared" si="258"/>
        <v>20</v>
      </c>
      <c r="T558" s="34">
        <f t="shared" si="258"/>
        <v>20</v>
      </c>
      <c r="U558" s="34">
        <f t="shared" si="258"/>
        <v>20</v>
      </c>
      <c r="V558" s="34">
        <f t="shared" si="258"/>
        <v>20</v>
      </c>
      <c r="W558" s="34">
        <f t="shared" si="258"/>
        <v>20</v>
      </c>
      <c r="X558" s="34">
        <f t="shared" si="258"/>
        <v>20</v>
      </c>
      <c r="Y558" s="34">
        <f t="shared" si="258"/>
        <v>20</v>
      </c>
      <c r="Z558" s="34">
        <f t="shared" si="258"/>
        <v>20</v>
      </c>
      <c r="AA558" s="34">
        <f t="shared" si="258"/>
        <v>20</v>
      </c>
      <c r="AB558" s="34">
        <f t="shared" si="258"/>
        <v>20</v>
      </c>
      <c r="AC558" s="34">
        <f t="shared" si="258"/>
        <v>20</v>
      </c>
      <c r="AD558" s="34">
        <f t="shared" si="258"/>
        <v>20</v>
      </c>
      <c r="AE558" s="34">
        <f t="shared" si="258"/>
        <v>20</v>
      </c>
      <c r="AF558" s="34">
        <f t="shared" si="258"/>
        <v>20</v>
      </c>
      <c r="AG558" s="34">
        <f t="shared" si="258"/>
        <v>20</v>
      </c>
      <c r="AH558" s="34">
        <f t="shared" si="258"/>
        <v>20</v>
      </c>
      <c r="AI558" s="34">
        <f t="shared" si="258"/>
        <v>20</v>
      </c>
      <c r="AJ558" s="34">
        <f t="shared" si="258"/>
        <v>20</v>
      </c>
      <c r="AK558" s="34">
        <f t="shared" si="258"/>
        <v>20</v>
      </c>
      <c r="AL558" s="34">
        <f t="shared" si="258"/>
        <v>20</v>
      </c>
      <c r="AM558" s="34">
        <f t="shared" si="258"/>
        <v>20</v>
      </c>
      <c r="AN558" s="34">
        <f t="shared" si="258"/>
        <v>20</v>
      </c>
      <c r="AO558" s="34"/>
      <c r="AP558" s="45">
        <f>AO553</f>
        <v>20</v>
      </c>
      <c r="AQ558" s="1"/>
    </row>
    <row r="559" ht="15.75" customHeight="1">
      <c r="A559" s="1"/>
      <c r="B559" s="32"/>
      <c r="C559" s="32" t="s">
        <v>209</v>
      </c>
      <c r="D559" s="32" t="s">
        <v>210</v>
      </c>
      <c r="E559" s="13"/>
      <c r="F559" s="14" t="s">
        <v>23</v>
      </c>
      <c r="G559" s="44"/>
      <c r="H559" s="34">
        <v>25.0</v>
      </c>
      <c r="I559" s="34">
        <f t="shared" ref="I559:AO559" si="259">H564</f>
        <v>25</v>
      </c>
      <c r="J559" s="34">
        <f t="shared" si="259"/>
        <v>25</v>
      </c>
      <c r="K559" s="34">
        <f t="shared" si="259"/>
        <v>25</v>
      </c>
      <c r="L559" s="34">
        <f t="shared" si="259"/>
        <v>0</v>
      </c>
      <c r="M559" s="34">
        <f t="shared" si="259"/>
        <v>0</v>
      </c>
      <c r="N559" s="34">
        <f t="shared" si="259"/>
        <v>0</v>
      </c>
      <c r="O559" s="34">
        <f t="shared" si="259"/>
        <v>0</v>
      </c>
      <c r="P559" s="34">
        <f t="shared" si="259"/>
        <v>0</v>
      </c>
      <c r="Q559" s="34">
        <f t="shared" si="259"/>
        <v>11</v>
      </c>
      <c r="R559" s="34">
        <f t="shared" si="259"/>
        <v>11</v>
      </c>
      <c r="S559" s="34">
        <f t="shared" si="259"/>
        <v>11</v>
      </c>
      <c r="T559" s="34">
        <f t="shared" si="259"/>
        <v>11</v>
      </c>
      <c r="U559" s="34">
        <f t="shared" si="259"/>
        <v>11</v>
      </c>
      <c r="V559" s="34">
        <f t="shared" si="259"/>
        <v>11</v>
      </c>
      <c r="W559" s="34">
        <f t="shared" si="259"/>
        <v>11</v>
      </c>
      <c r="X559" s="34">
        <f t="shared" si="259"/>
        <v>11</v>
      </c>
      <c r="Y559" s="34">
        <f t="shared" si="259"/>
        <v>11</v>
      </c>
      <c r="Z559" s="34">
        <f t="shared" si="259"/>
        <v>11</v>
      </c>
      <c r="AA559" s="34">
        <f t="shared" si="259"/>
        <v>11</v>
      </c>
      <c r="AB559" s="34">
        <f t="shared" si="259"/>
        <v>60</v>
      </c>
      <c r="AC559" s="34">
        <f t="shared" si="259"/>
        <v>60</v>
      </c>
      <c r="AD559" s="34">
        <f t="shared" si="259"/>
        <v>60</v>
      </c>
      <c r="AE559" s="34">
        <f t="shared" si="259"/>
        <v>60</v>
      </c>
      <c r="AF559" s="34">
        <f t="shared" si="259"/>
        <v>60</v>
      </c>
      <c r="AG559" s="34">
        <f t="shared" si="259"/>
        <v>60</v>
      </c>
      <c r="AH559" s="34">
        <f t="shared" si="259"/>
        <v>60</v>
      </c>
      <c r="AI559" s="34">
        <f t="shared" si="259"/>
        <v>60</v>
      </c>
      <c r="AJ559" s="34">
        <f t="shared" si="259"/>
        <v>60</v>
      </c>
      <c r="AK559" s="34">
        <f t="shared" si="259"/>
        <v>60</v>
      </c>
      <c r="AL559" s="34">
        <f t="shared" si="259"/>
        <v>60</v>
      </c>
      <c r="AM559" s="34">
        <f t="shared" si="259"/>
        <v>60</v>
      </c>
      <c r="AN559" s="34">
        <f t="shared" si="259"/>
        <v>60</v>
      </c>
      <c r="AO559" s="34">
        <f t="shared" si="259"/>
        <v>60</v>
      </c>
      <c r="AP559" s="54"/>
      <c r="AQ559" s="1"/>
    </row>
    <row r="560" ht="15.75" customHeight="1">
      <c r="A560" s="1"/>
      <c r="B560" s="35"/>
      <c r="C560" s="35"/>
      <c r="D560" s="35"/>
      <c r="E560" s="33" t="s">
        <v>24</v>
      </c>
      <c r="F560" s="36" t="s">
        <v>25</v>
      </c>
      <c r="G560" s="37"/>
      <c r="H560" s="37"/>
      <c r="I560" s="37"/>
      <c r="J560" s="37"/>
      <c r="K560" s="37"/>
      <c r="L560" s="37"/>
      <c r="M560" s="37"/>
      <c r="N560" s="37"/>
      <c r="O560" s="37"/>
      <c r="P560" s="37">
        <v>111.0</v>
      </c>
      <c r="Q560" s="37"/>
      <c r="R560" s="37"/>
      <c r="S560" s="38"/>
      <c r="T560" s="37"/>
      <c r="U560" s="38"/>
      <c r="V560" s="37"/>
      <c r="W560" s="37"/>
      <c r="X560" s="37"/>
      <c r="Y560" s="37"/>
      <c r="Z560" s="37"/>
      <c r="AA560" s="37">
        <v>49.0</v>
      </c>
      <c r="AB560" s="37"/>
      <c r="AC560" s="37"/>
      <c r="AD560" s="38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9">
        <f t="shared" ref="AP560:AP563" si="260">SUM(H560:AO560)</f>
        <v>160</v>
      </c>
      <c r="AQ560" s="1"/>
    </row>
    <row r="561" ht="15.75" customHeight="1">
      <c r="A561" s="51"/>
      <c r="B561" s="35"/>
      <c r="C561" s="35"/>
      <c r="D561" s="35"/>
      <c r="E561" s="47"/>
      <c r="F561" s="40" t="s">
        <v>26</v>
      </c>
      <c r="G561" s="49"/>
      <c r="H561" s="49"/>
      <c r="I561" s="49"/>
      <c r="J561" s="49"/>
      <c r="K561" s="49">
        <v>25.0</v>
      </c>
      <c r="L561" s="49"/>
      <c r="M561" s="49"/>
      <c r="N561" s="49"/>
      <c r="O561" s="49"/>
      <c r="P561" s="49">
        <v>100.0</v>
      </c>
      <c r="Q561" s="49"/>
      <c r="R561" s="49"/>
      <c r="S561" s="48"/>
      <c r="T561" s="49"/>
      <c r="U561" s="48"/>
      <c r="V561" s="49"/>
      <c r="W561" s="49"/>
      <c r="X561" s="49"/>
      <c r="Y561" s="49"/>
      <c r="Z561" s="49"/>
      <c r="AA561" s="49"/>
      <c r="AB561" s="49"/>
      <c r="AC561" s="49"/>
      <c r="AD561" s="48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50">
        <f t="shared" si="260"/>
        <v>125</v>
      </c>
      <c r="AQ561" s="51"/>
    </row>
    <row r="562" ht="15.75" customHeight="1">
      <c r="A562" s="1"/>
      <c r="B562" s="35"/>
      <c r="C562" s="35"/>
      <c r="D562" s="35"/>
      <c r="E562" s="33" t="s">
        <v>27</v>
      </c>
      <c r="F562" s="41" t="s">
        <v>28</v>
      </c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8"/>
      <c r="T562" s="37"/>
      <c r="U562" s="38"/>
      <c r="V562" s="37"/>
      <c r="W562" s="37"/>
      <c r="X562" s="37"/>
      <c r="Y562" s="37"/>
      <c r="Z562" s="37"/>
      <c r="AA562" s="37"/>
      <c r="AB562" s="37"/>
      <c r="AC562" s="37"/>
      <c r="AD562" s="38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9">
        <f t="shared" si="260"/>
        <v>0</v>
      </c>
      <c r="AQ562" s="1"/>
    </row>
    <row r="563" ht="15.75" customHeight="1">
      <c r="A563" s="1"/>
      <c r="B563" s="35"/>
      <c r="C563" s="35"/>
      <c r="D563" s="35"/>
      <c r="E563" s="33"/>
      <c r="F563" s="41" t="s">
        <v>29</v>
      </c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8"/>
      <c r="T563" s="37"/>
      <c r="U563" s="38"/>
      <c r="V563" s="37"/>
      <c r="W563" s="37"/>
      <c r="X563" s="37"/>
      <c r="Y563" s="37"/>
      <c r="Z563" s="37"/>
      <c r="AA563" s="37"/>
      <c r="AB563" s="37"/>
      <c r="AC563" s="37"/>
      <c r="AD563" s="38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9">
        <f t="shared" si="260"/>
        <v>0</v>
      </c>
      <c r="AQ563" s="1"/>
    </row>
    <row r="564" ht="15.75" customHeight="1">
      <c r="A564" s="1"/>
      <c r="B564" s="42"/>
      <c r="C564" s="42"/>
      <c r="D564" s="42"/>
      <c r="E564" s="52"/>
      <c r="F564" s="43" t="s">
        <v>30</v>
      </c>
      <c r="G564" s="44"/>
      <c r="H564" s="34">
        <f t="shared" ref="H564:AN564" si="261">H559+H560-H561+H562-H563</f>
        <v>25</v>
      </c>
      <c r="I564" s="34">
        <f t="shared" si="261"/>
        <v>25</v>
      </c>
      <c r="J564" s="34">
        <f t="shared" si="261"/>
        <v>25</v>
      </c>
      <c r="K564" s="34">
        <f t="shared" si="261"/>
        <v>0</v>
      </c>
      <c r="L564" s="34">
        <f t="shared" si="261"/>
        <v>0</v>
      </c>
      <c r="M564" s="34">
        <f t="shared" si="261"/>
        <v>0</v>
      </c>
      <c r="N564" s="34">
        <f t="shared" si="261"/>
        <v>0</v>
      </c>
      <c r="O564" s="34">
        <f t="shared" si="261"/>
        <v>0</v>
      </c>
      <c r="P564" s="34">
        <f t="shared" si="261"/>
        <v>11</v>
      </c>
      <c r="Q564" s="34">
        <f t="shared" si="261"/>
        <v>11</v>
      </c>
      <c r="R564" s="34">
        <f t="shared" si="261"/>
        <v>11</v>
      </c>
      <c r="S564" s="34">
        <f t="shared" si="261"/>
        <v>11</v>
      </c>
      <c r="T564" s="34">
        <f t="shared" si="261"/>
        <v>11</v>
      </c>
      <c r="U564" s="34">
        <f t="shared" si="261"/>
        <v>11</v>
      </c>
      <c r="V564" s="34">
        <f t="shared" si="261"/>
        <v>11</v>
      </c>
      <c r="W564" s="34">
        <f t="shared" si="261"/>
        <v>11</v>
      </c>
      <c r="X564" s="34">
        <f t="shared" si="261"/>
        <v>11</v>
      </c>
      <c r="Y564" s="34">
        <f t="shared" si="261"/>
        <v>11</v>
      </c>
      <c r="Z564" s="34">
        <f t="shared" si="261"/>
        <v>11</v>
      </c>
      <c r="AA564" s="34">
        <f t="shared" si="261"/>
        <v>60</v>
      </c>
      <c r="AB564" s="34">
        <f t="shared" si="261"/>
        <v>60</v>
      </c>
      <c r="AC564" s="34">
        <f t="shared" si="261"/>
        <v>60</v>
      </c>
      <c r="AD564" s="34">
        <f t="shared" si="261"/>
        <v>60</v>
      </c>
      <c r="AE564" s="34">
        <f t="shared" si="261"/>
        <v>60</v>
      </c>
      <c r="AF564" s="34">
        <f t="shared" si="261"/>
        <v>60</v>
      </c>
      <c r="AG564" s="34">
        <f t="shared" si="261"/>
        <v>60</v>
      </c>
      <c r="AH564" s="34">
        <f t="shared" si="261"/>
        <v>60</v>
      </c>
      <c r="AI564" s="34">
        <f t="shared" si="261"/>
        <v>60</v>
      </c>
      <c r="AJ564" s="34">
        <f t="shared" si="261"/>
        <v>60</v>
      </c>
      <c r="AK564" s="34">
        <f t="shared" si="261"/>
        <v>60</v>
      </c>
      <c r="AL564" s="34">
        <f t="shared" si="261"/>
        <v>60</v>
      </c>
      <c r="AM564" s="34">
        <f t="shared" si="261"/>
        <v>60</v>
      </c>
      <c r="AN564" s="34">
        <f t="shared" si="261"/>
        <v>60</v>
      </c>
      <c r="AO564" s="34"/>
      <c r="AP564" s="45">
        <f>AO559</f>
        <v>60</v>
      </c>
      <c r="AQ564" s="1"/>
    </row>
    <row r="565" ht="15.75" customHeight="1">
      <c r="A565" s="1"/>
      <c r="B565" s="32"/>
      <c r="C565" s="32" t="s">
        <v>211</v>
      </c>
      <c r="D565" s="32" t="s">
        <v>212</v>
      </c>
      <c r="E565" s="13"/>
      <c r="F565" s="14" t="s">
        <v>23</v>
      </c>
      <c r="G565" s="44"/>
      <c r="H565" s="21">
        <v>51.0</v>
      </c>
      <c r="I565" s="21">
        <f t="shared" ref="I565:AO565" si="262">H572</f>
        <v>51</v>
      </c>
      <c r="J565" s="21">
        <f t="shared" si="262"/>
        <v>51</v>
      </c>
      <c r="K565" s="21">
        <f t="shared" si="262"/>
        <v>51</v>
      </c>
      <c r="L565" s="21">
        <f t="shared" si="262"/>
        <v>0</v>
      </c>
      <c r="M565" s="21">
        <f t="shared" si="262"/>
        <v>0</v>
      </c>
      <c r="N565" s="21">
        <f t="shared" si="262"/>
        <v>0</v>
      </c>
      <c r="O565" s="21">
        <f t="shared" si="262"/>
        <v>0</v>
      </c>
      <c r="P565" s="21">
        <f t="shared" si="262"/>
        <v>0</v>
      </c>
      <c r="Q565" s="21">
        <f t="shared" si="262"/>
        <v>0</v>
      </c>
      <c r="R565" s="21">
        <f t="shared" si="262"/>
        <v>0</v>
      </c>
      <c r="S565" s="21">
        <f t="shared" si="262"/>
        <v>0</v>
      </c>
      <c r="T565" s="21">
        <f t="shared" si="262"/>
        <v>0</v>
      </c>
      <c r="U565" s="21">
        <f t="shared" si="262"/>
        <v>0</v>
      </c>
      <c r="V565" s="21">
        <f t="shared" si="262"/>
        <v>0</v>
      </c>
      <c r="W565" s="21">
        <f t="shared" si="262"/>
        <v>0</v>
      </c>
      <c r="X565" s="21">
        <f t="shared" si="262"/>
        <v>0</v>
      </c>
      <c r="Y565" s="21">
        <f t="shared" si="262"/>
        <v>0</v>
      </c>
      <c r="Z565" s="21">
        <f t="shared" si="262"/>
        <v>0</v>
      </c>
      <c r="AA565" s="21">
        <f t="shared" si="262"/>
        <v>0</v>
      </c>
      <c r="AB565" s="21">
        <f t="shared" si="262"/>
        <v>22</v>
      </c>
      <c r="AC565" s="21">
        <f t="shared" si="262"/>
        <v>22</v>
      </c>
      <c r="AD565" s="21">
        <f t="shared" si="262"/>
        <v>22</v>
      </c>
      <c r="AE565" s="21">
        <f t="shared" si="262"/>
        <v>22</v>
      </c>
      <c r="AF565" s="21">
        <f t="shared" si="262"/>
        <v>22</v>
      </c>
      <c r="AG565" s="21">
        <f t="shared" si="262"/>
        <v>22</v>
      </c>
      <c r="AH565" s="21">
        <f t="shared" si="262"/>
        <v>22</v>
      </c>
      <c r="AI565" s="21">
        <f t="shared" si="262"/>
        <v>22</v>
      </c>
      <c r="AJ565" s="21">
        <f t="shared" si="262"/>
        <v>22</v>
      </c>
      <c r="AK565" s="21">
        <f t="shared" si="262"/>
        <v>22</v>
      </c>
      <c r="AL565" s="21">
        <f t="shared" si="262"/>
        <v>22</v>
      </c>
      <c r="AM565" s="21">
        <f t="shared" si="262"/>
        <v>22</v>
      </c>
      <c r="AN565" s="21">
        <f t="shared" si="262"/>
        <v>22</v>
      </c>
      <c r="AO565" s="21">
        <f t="shared" si="262"/>
        <v>22</v>
      </c>
      <c r="AP565" s="54"/>
      <c r="AQ565" s="1"/>
    </row>
    <row r="566" ht="15.75" customHeight="1">
      <c r="A566" s="1"/>
      <c r="B566" s="35"/>
      <c r="C566" s="35"/>
      <c r="D566" s="35"/>
      <c r="E566" s="33" t="s">
        <v>24</v>
      </c>
      <c r="F566" s="36" t="s">
        <v>25</v>
      </c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8"/>
      <c r="V566" s="37"/>
      <c r="W566" s="37"/>
      <c r="X566" s="37"/>
      <c r="Y566" s="37"/>
      <c r="Z566" s="37"/>
      <c r="AA566" s="37">
        <v>22.0</v>
      </c>
      <c r="AB566" s="37"/>
      <c r="AC566" s="37"/>
      <c r="AD566" s="38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9">
        <f t="shared" ref="AP566:AP571" si="263">SUM(H566:AO566)</f>
        <v>22</v>
      </c>
      <c r="AQ566" s="1"/>
    </row>
    <row r="567" ht="15.75" customHeight="1">
      <c r="A567" s="1"/>
      <c r="B567" s="35"/>
      <c r="C567" s="35"/>
      <c r="D567" s="35"/>
      <c r="E567" s="33"/>
      <c r="F567" s="36" t="s">
        <v>38</v>
      </c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8"/>
      <c r="T567" s="37"/>
      <c r="U567" s="38"/>
      <c r="V567" s="37"/>
      <c r="W567" s="37"/>
      <c r="X567" s="37"/>
      <c r="Y567" s="37"/>
      <c r="Z567" s="37"/>
      <c r="AA567" s="37"/>
      <c r="AB567" s="37"/>
      <c r="AC567" s="37"/>
      <c r="AD567" s="38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9">
        <f t="shared" si="263"/>
        <v>0</v>
      </c>
      <c r="AQ567" s="1"/>
    </row>
    <row r="568" ht="15.75" customHeight="1">
      <c r="A568" s="1"/>
      <c r="B568" s="35"/>
      <c r="C568" s="35"/>
      <c r="D568" s="35"/>
      <c r="E568" s="33"/>
      <c r="F568" s="36" t="s">
        <v>94</v>
      </c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8"/>
      <c r="T568" s="37"/>
      <c r="U568" s="38"/>
      <c r="V568" s="37"/>
      <c r="W568" s="37"/>
      <c r="X568" s="37"/>
      <c r="Y568" s="37"/>
      <c r="Z568" s="37"/>
      <c r="AA568" s="37"/>
      <c r="AB568" s="37"/>
      <c r="AC568" s="37"/>
      <c r="AD568" s="38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9">
        <f t="shared" si="263"/>
        <v>0</v>
      </c>
      <c r="AQ568" s="1"/>
    </row>
    <row r="569" ht="15.75" customHeight="1">
      <c r="A569" s="51"/>
      <c r="B569" s="35"/>
      <c r="C569" s="35"/>
      <c r="D569" s="35"/>
      <c r="E569" s="47"/>
      <c r="F569" s="40" t="s">
        <v>26</v>
      </c>
      <c r="G569" s="49"/>
      <c r="H569" s="49"/>
      <c r="I569" s="49"/>
      <c r="J569" s="49"/>
      <c r="K569" s="49">
        <v>51.0</v>
      </c>
      <c r="L569" s="49"/>
      <c r="M569" s="49"/>
      <c r="N569" s="49"/>
      <c r="O569" s="49"/>
      <c r="P569" s="49"/>
      <c r="Q569" s="49"/>
      <c r="R569" s="49"/>
      <c r="S569" s="48"/>
      <c r="T569" s="49"/>
      <c r="U569" s="48"/>
      <c r="V569" s="49"/>
      <c r="W569" s="49"/>
      <c r="X569" s="49"/>
      <c r="Y569" s="49"/>
      <c r="Z569" s="49"/>
      <c r="AA569" s="49"/>
      <c r="AB569" s="49"/>
      <c r="AC569" s="49"/>
      <c r="AD569" s="48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50">
        <f t="shared" si="263"/>
        <v>51</v>
      </c>
      <c r="AQ569" s="51"/>
    </row>
    <row r="570" ht="15.75" customHeight="1">
      <c r="A570" s="1"/>
      <c r="B570" s="35"/>
      <c r="C570" s="35"/>
      <c r="D570" s="35"/>
      <c r="E570" s="33" t="s">
        <v>27</v>
      </c>
      <c r="F570" s="41" t="s">
        <v>28</v>
      </c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8"/>
      <c r="T570" s="37"/>
      <c r="U570" s="38"/>
      <c r="V570" s="37"/>
      <c r="W570" s="37"/>
      <c r="X570" s="37"/>
      <c r="Y570" s="37"/>
      <c r="Z570" s="37"/>
      <c r="AA570" s="37"/>
      <c r="AB570" s="37"/>
      <c r="AC570" s="37"/>
      <c r="AD570" s="38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9">
        <f t="shared" si="263"/>
        <v>0</v>
      </c>
      <c r="AQ570" s="1"/>
    </row>
    <row r="571" ht="15.75" customHeight="1">
      <c r="A571" s="1"/>
      <c r="B571" s="35"/>
      <c r="C571" s="35"/>
      <c r="D571" s="35"/>
      <c r="E571" s="33"/>
      <c r="F571" s="41" t="s">
        <v>29</v>
      </c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8"/>
      <c r="T571" s="37"/>
      <c r="U571" s="38"/>
      <c r="V571" s="37"/>
      <c r="W571" s="37"/>
      <c r="X571" s="37"/>
      <c r="Y571" s="37"/>
      <c r="Z571" s="37"/>
      <c r="AA571" s="37"/>
      <c r="AB571" s="37"/>
      <c r="AC571" s="37"/>
      <c r="AD571" s="38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9">
        <f t="shared" si="263"/>
        <v>0</v>
      </c>
      <c r="AQ571" s="1"/>
    </row>
    <row r="572" ht="15.75" customHeight="1">
      <c r="A572" s="1"/>
      <c r="B572" s="42"/>
      <c r="C572" s="42"/>
      <c r="D572" s="42"/>
      <c r="E572" s="52"/>
      <c r="F572" s="43" t="s">
        <v>30</v>
      </c>
      <c r="G572" s="44"/>
      <c r="H572" s="34">
        <f t="shared" ref="H572:AN572" si="264">H565+H566+H567+H568-H569+H570-H571</f>
        <v>51</v>
      </c>
      <c r="I572" s="34">
        <f t="shared" si="264"/>
        <v>51</v>
      </c>
      <c r="J572" s="34">
        <f t="shared" si="264"/>
        <v>51</v>
      </c>
      <c r="K572" s="34">
        <f t="shared" si="264"/>
        <v>0</v>
      </c>
      <c r="L572" s="34">
        <f t="shared" si="264"/>
        <v>0</v>
      </c>
      <c r="M572" s="34">
        <f t="shared" si="264"/>
        <v>0</v>
      </c>
      <c r="N572" s="34">
        <f t="shared" si="264"/>
        <v>0</v>
      </c>
      <c r="O572" s="34">
        <f t="shared" si="264"/>
        <v>0</v>
      </c>
      <c r="P572" s="34">
        <f t="shared" si="264"/>
        <v>0</v>
      </c>
      <c r="Q572" s="34">
        <f t="shared" si="264"/>
        <v>0</v>
      </c>
      <c r="R572" s="34">
        <f t="shared" si="264"/>
        <v>0</v>
      </c>
      <c r="S572" s="34">
        <f t="shared" si="264"/>
        <v>0</v>
      </c>
      <c r="T572" s="34">
        <f t="shared" si="264"/>
        <v>0</v>
      </c>
      <c r="U572" s="34">
        <f t="shared" si="264"/>
        <v>0</v>
      </c>
      <c r="V572" s="34">
        <f t="shared" si="264"/>
        <v>0</v>
      </c>
      <c r="W572" s="34">
        <f t="shared" si="264"/>
        <v>0</v>
      </c>
      <c r="X572" s="34">
        <f t="shared" si="264"/>
        <v>0</v>
      </c>
      <c r="Y572" s="34">
        <f t="shared" si="264"/>
        <v>0</v>
      </c>
      <c r="Z572" s="34">
        <f t="shared" si="264"/>
        <v>0</v>
      </c>
      <c r="AA572" s="34">
        <f t="shared" si="264"/>
        <v>22</v>
      </c>
      <c r="AB572" s="34">
        <f t="shared" si="264"/>
        <v>22</v>
      </c>
      <c r="AC572" s="34">
        <f t="shared" si="264"/>
        <v>22</v>
      </c>
      <c r="AD572" s="34">
        <f t="shared" si="264"/>
        <v>22</v>
      </c>
      <c r="AE572" s="34">
        <f t="shared" si="264"/>
        <v>22</v>
      </c>
      <c r="AF572" s="34">
        <f t="shared" si="264"/>
        <v>22</v>
      </c>
      <c r="AG572" s="34">
        <f t="shared" si="264"/>
        <v>22</v>
      </c>
      <c r="AH572" s="34">
        <f t="shared" si="264"/>
        <v>22</v>
      </c>
      <c r="AI572" s="34">
        <f t="shared" si="264"/>
        <v>22</v>
      </c>
      <c r="AJ572" s="34">
        <f t="shared" si="264"/>
        <v>22</v>
      </c>
      <c r="AK572" s="34">
        <f t="shared" si="264"/>
        <v>22</v>
      </c>
      <c r="AL572" s="34">
        <f t="shared" si="264"/>
        <v>22</v>
      </c>
      <c r="AM572" s="34">
        <f t="shared" si="264"/>
        <v>22</v>
      </c>
      <c r="AN572" s="34">
        <f t="shared" si="264"/>
        <v>22</v>
      </c>
      <c r="AO572" s="34"/>
      <c r="AP572" s="45">
        <f>AO565</f>
        <v>22</v>
      </c>
      <c r="AQ572" s="1"/>
    </row>
    <row r="573" ht="15.75" customHeight="1">
      <c r="A573" s="1"/>
      <c r="B573" s="32"/>
      <c r="C573" s="32" t="s">
        <v>213</v>
      </c>
      <c r="D573" s="32" t="s">
        <v>214</v>
      </c>
      <c r="E573" s="90"/>
      <c r="F573" s="14" t="s">
        <v>23</v>
      </c>
      <c r="G573" s="44"/>
      <c r="H573" s="34">
        <v>0.0</v>
      </c>
      <c r="I573" s="34">
        <f t="shared" ref="I573:AO573" si="265">H578</f>
        <v>0</v>
      </c>
      <c r="J573" s="34">
        <f t="shared" si="265"/>
        <v>0</v>
      </c>
      <c r="K573" s="34">
        <f t="shared" si="265"/>
        <v>0</v>
      </c>
      <c r="L573" s="34">
        <f t="shared" si="265"/>
        <v>0</v>
      </c>
      <c r="M573" s="34">
        <f t="shared" si="265"/>
        <v>0</v>
      </c>
      <c r="N573" s="34">
        <f t="shared" si="265"/>
        <v>0</v>
      </c>
      <c r="O573" s="34">
        <f t="shared" si="265"/>
        <v>0</v>
      </c>
      <c r="P573" s="34">
        <f t="shared" si="265"/>
        <v>0</v>
      </c>
      <c r="Q573" s="34">
        <f t="shared" si="265"/>
        <v>0</v>
      </c>
      <c r="R573" s="34">
        <f t="shared" si="265"/>
        <v>10</v>
      </c>
      <c r="S573" s="34">
        <f t="shared" si="265"/>
        <v>10</v>
      </c>
      <c r="T573" s="34">
        <f t="shared" si="265"/>
        <v>10</v>
      </c>
      <c r="U573" s="34">
        <f t="shared" si="265"/>
        <v>10</v>
      </c>
      <c r="V573" s="34">
        <f t="shared" si="265"/>
        <v>10</v>
      </c>
      <c r="W573" s="34">
        <f t="shared" si="265"/>
        <v>10</v>
      </c>
      <c r="X573" s="34">
        <f t="shared" si="265"/>
        <v>10</v>
      </c>
      <c r="Y573" s="34">
        <f t="shared" si="265"/>
        <v>10</v>
      </c>
      <c r="Z573" s="34">
        <f t="shared" si="265"/>
        <v>10</v>
      </c>
      <c r="AA573" s="34">
        <f t="shared" si="265"/>
        <v>10</v>
      </c>
      <c r="AB573" s="34">
        <f t="shared" si="265"/>
        <v>10</v>
      </c>
      <c r="AC573" s="34">
        <f t="shared" si="265"/>
        <v>10</v>
      </c>
      <c r="AD573" s="34">
        <f t="shared" si="265"/>
        <v>10</v>
      </c>
      <c r="AE573" s="34">
        <f t="shared" si="265"/>
        <v>10</v>
      </c>
      <c r="AF573" s="34">
        <f t="shared" si="265"/>
        <v>10</v>
      </c>
      <c r="AG573" s="34">
        <f t="shared" si="265"/>
        <v>10</v>
      </c>
      <c r="AH573" s="34">
        <f t="shared" si="265"/>
        <v>10</v>
      </c>
      <c r="AI573" s="34">
        <f t="shared" si="265"/>
        <v>10</v>
      </c>
      <c r="AJ573" s="34">
        <f t="shared" si="265"/>
        <v>10</v>
      </c>
      <c r="AK573" s="34">
        <f t="shared" si="265"/>
        <v>10</v>
      </c>
      <c r="AL573" s="34">
        <f t="shared" si="265"/>
        <v>10</v>
      </c>
      <c r="AM573" s="34">
        <f t="shared" si="265"/>
        <v>10</v>
      </c>
      <c r="AN573" s="34">
        <f t="shared" si="265"/>
        <v>10</v>
      </c>
      <c r="AO573" s="34">
        <f t="shared" si="265"/>
        <v>10</v>
      </c>
      <c r="AP573" s="54"/>
      <c r="AQ573" s="1"/>
    </row>
    <row r="574" ht="15.75" customHeight="1">
      <c r="A574" s="1"/>
      <c r="B574" s="35"/>
      <c r="C574" s="35"/>
      <c r="D574" s="35"/>
      <c r="E574" s="33" t="s">
        <v>24</v>
      </c>
      <c r="F574" s="36" t="s">
        <v>25</v>
      </c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>
        <v>10.0</v>
      </c>
      <c r="R574" s="37"/>
      <c r="S574" s="38"/>
      <c r="T574" s="37"/>
      <c r="U574" s="38"/>
      <c r="V574" s="37"/>
      <c r="W574" s="37"/>
      <c r="X574" s="37"/>
      <c r="Y574" s="37"/>
      <c r="Z574" s="37"/>
      <c r="AA574" s="37"/>
      <c r="AB574" s="37"/>
      <c r="AC574" s="37"/>
      <c r="AD574" s="38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9">
        <f t="shared" ref="AP574:AP577" si="266">SUM(H574:AO574)</f>
        <v>10</v>
      </c>
      <c r="AQ574" s="1"/>
    </row>
    <row r="575" ht="15.75" customHeight="1">
      <c r="A575" s="51"/>
      <c r="B575" s="35"/>
      <c r="C575" s="35"/>
      <c r="D575" s="35"/>
      <c r="E575" s="47"/>
      <c r="F575" s="40" t="s">
        <v>26</v>
      </c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8"/>
      <c r="T575" s="49"/>
      <c r="U575" s="48"/>
      <c r="V575" s="49"/>
      <c r="W575" s="49"/>
      <c r="X575" s="49"/>
      <c r="Y575" s="49"/>
      <c r="Z575" s="49"/>
      <c r="AA575" s="49"/>
      <c r="AB575" s="49"/>
      <c r="AC575" s="49"/>
      <c r="AD575" s="48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8"/>
      <c r="AP575" s="50">
        <f t="shared" si="266"/>
        <v>0</v>
      </c>
      <c r="AQ575" s="51"/>
    </row>
    <row r="576" ht="15.75" customHeight="1">
      <c r="A576" s="1"/>
      <c r="B576" s="35"/>
      <c r="C576" s="35"/>
      <c r="D576" s="35"/>
      <c r="E576" s="33" t="s">
        <v>27</v>
      </c>
      <c r="F576" s="41" t="s">
        <v>28</v>
      </c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8"/>
      <c r="T576" s="37"/>
      <c r="U576" s="38"/>
      <c r="V576" s="37"/>
      <c r="W576" s="37"/>
      <c r="X576" s="37"/>
      <c r="Y576" s="37"/>
      <c r="Z576" s="37"/>
      <c r="AA576" s="37"/>
      <c r="AB576" s="37"/>
      <c r="AC576" s="37"/>
      <c r="AD576" s="38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9">
        <f t="shared" si="266"/>
        <v>0</v>
      </c>
      <c r="AQ576" s="1"/>
    </row>
    <row r="577" ht="15.75" customHeight="1">
      <c r="A577" s="1"/>
      <c r="B577" s="35"/>
      <c r="C577" s="35"/>
      <c r="D577" s="35"/>
      <c r="E577" s="33"/>
      <c r="F577" s="41" t="s">
        <v>29</v>
      </c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8"/>
      <c r="T577" s="37"/>
      <c r="U577" s="38"/>
      <c r="V577" s="37"/>
      <c r="W577" s="37"/>
      <c r="X577" s="37"/>
      <c r="Y577" s="37"/>
      <c r="Z577" s="37"/>
      <c r="AA577" s="37"/>
      <c r="AB577" s="37"/>
      <c r="AC577" s="37"/>
      <c r="AD577" s="38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9">
        <f t="shared" si="266"/>
        <v>0</v>
      </c>
      <c r="AQ577" s="1"/>
    </row>
    <row r="578" ht="15.75" customHeight="1">
      <c r="A578" s="1"/>
      <c r="B578" s="42"/>
      <c r="C578" s="42"/>
      <c r="D578" s="42"/>
      <c r="E578" s="52"/>
      <c r="F578" s="43" t="s">
        <v>30</v>
      </c>
      <c r="G578" s="44"/>
      <c r="H578" s="34">
        <f t="shared" ref="H578:AN578" si="267">H573+H574-H575+H576-H577</f>
        <v>0</v>
      </c>
      <c r="I578" s="34">
        <f t="shared" si="267"/>
        <v>0</v>
      </c>
      <c r="J578" s="34">
        <f t="shared" si="267"/>
        <v>0</v>
      </c>
      <c r="K578" s="34">
        <f t="shared" si="267"/>
        <v>0</v>
      </c>
      <c r="L578" s="34">
        <f t="shared" si="267"/>
        <v>0</v>
      </c>
      <c r="M578" s="34">
        <f t="shared" si="267"/>
        <v>0</v>
      </c>
      <c r="N578" s="34">
        <f t="shared" si="267"/>
        <v>0</v>
      </c>
      <c r="O578" s="34">
        <f t="shared" si="267"/>
        <v>0</v>
      </c>
      <c r="P578" s="34">
        <f t="shared" si="267"/>
        <v>0</v>
      </c>
      <c r="Q578" s="34">
        <f t="shared" si="267"/>
        <v>10</v>
      </c>
      <c r="R578" s="34">
        <f t="shared" si="267"/>
        <v>10</v>
      </c>
      <c r="S578" s="34">
        <f t="shared" si="267"/>
        <v>10</v>
      </c>
      <c r="T578" s="34">
        <f t="shared" si="267"/>
        <v>10</v>
      </c>
      <c r="U578" s="34">
        <f t="shared" si="267"/>
        <v>10</v>
      </c>
      <c r="V578" s="34">
        <f t="shared" si="267"/>
        <v>10</v>
      </c>
      <c r="W578" s="34">
        <f t="shared" si="267"/>
        <v>10</v>
      </c>
      <c r="X578" s="34">
        <f t="shared" si="267"/>
        <v>10</v>
      </c>
      <c r="Y578" s="34">
        <f t="shared" si="267"/>
        <v>10</v>
      </c>
      <c r="Z578" s="34">
        <f t="shared" si="267"/>
        <v>10</v>
      </c>
      <c r="AA578" s="34">
        <f t="shared" si="267"/>
        <v>10</v>
      </c>
      <c r="AB578" s="34">
        <f t="shared" si="267"/>
        <v>10</v>
      </c>
      <c r="AC578" s="34">
        <f t="shared" si="267"/>
        <v>10</v>
      </c>
      <c r="AD578" s="34">
        <f t="shared" si="267"/>
        <v>10</v>
      </c>
      <c r="AE578" s="34">
        <f t="shared" si="267"/>
        <v>10</v>
      </c>
      <c r="AF578" s="34">
        <f t="shared" si="267"/>
        <v>10</v>
      </c>
      <c r="AG578" s="34">
        <f t="shared" si="267"/>
        <v>10</v>
      </c>
      <c r="AH578" s="34">
        <f t="shared" si="267"/>
        <v>10</v>
      </c>
      <c r="AI578" s="34">
        <f t="shared" si="267"/>
        <v>10</v>
      </c>
      <c r="AJ578" s="34">
        <f t="shared" si="267"/>
        <v>10</v>
      </c>
      <c r="AK578" s="34">
        <f t="shared" si="267"/>
        <v>10</v>
      </c>
      <c r="AL578" s="34">
        <f t="shared" si="267"/>
        <v>10</v>
      </c>
      <c r="AM578" s="34">
        <f t="shared" si="267"/>
        <v>10</v>
      </c>
      <c r="AN578" s="34">
        <f t="shared" si="267"/>
        <v>10</v>
      </c>
      <c r="AO578" s="34"/>
      <c r="AP578" s="45">
        <f>AO573</f>
        <v>10</v>
      </c>
      <c r="AQ578" s="1"/>
    </row>
    <row r="579" ht="15.75" customHeight="1">
      <c r="A579" s="1"/>
      <c r="B579" s="32"/>
      <c r="C579" s="32" t="s">
        <v>215</v>
      </c>
      <c r="D579" s="32" t="s">
        <v>216</v>
      </c>
      <c r="E579" s="90"/>
      <c r="F579" s="14" t="s">
        <v>23</v>
      </c>
      <c r="G579" s="44"/>
      <c r="H579" s="34">
        <v>0.0</v>
      </c>
      <c r="I579" s="34">
        <f t="shared" ref="I579:AO579" si="268">H584</f>
        <v>0</v>
      </c>
      <c r="J579" s="34">
        <f t="shared" si="268"/>
        <v>0</v>
      </c>
      <c r="K579" s="34">
        <f t="shared" si="268"/>
        <v>0</v>
      </c>
      <c r="L579" s="34">
        <f t="shared" si="268"/>
        <v>0</v>
      </c>
      <c r="M579" s="34">
        <f t="shared" si="268"/>
        <v>0</v>
      </c>
      <c r="N579" s="34">
        <f t="shared" si="268"/>
        <v>0</v>
      </c>
      <c r="O579" s="34">
        <f t="shared" si="268"/>
        <v>0</v>
      </c>
      <c r="P579" s="34">
        <f t="shared" si="268"/>
        <v>0</v>
      </c>
      <c r="Q579" s="34">
        <f t="shared" si="268"/>
        <v>0</v>
      </c>
      <c r="R579" s="34">
        <f t="shared" si="268"/>
        <v>0</v>
      </c>
      <c r="S579" s="34">
        <f t="shared" si="268"/>
        <v>0</v>
      </c>
      <c r="T579" s="34">
        <f t="shared" si="268"/>
        <v>0</v>
      </c>
      <c r="U579" s="34">
        <f t="shared" si="268"/>
        <v>0</v>
      </c>
      <c r="V579" s="34">
        <f t="shared" si="268"/>
        <v>0</v>
      </c>
      <c r="W579" s="34">
        <f t="shared" si="268"/>
        <v>0</v>
      </c>
      <c r="X579" s="34">
        <f t="shared" si="268"/>
        <v>0</v>
      </c>
      <c r="Y579" s="34">
        <f t="shared" si="268"/>
        <v>0</v>
      </c>
      <c r="Z579" s="34">
        <f t="shared" si="268"/>
        <v>0</v>
      </c>
      <c r="AA579" s="34">
        <f t="shared" si="268"/>
        <v>0</v>
      </c>
      <c r="AB579" s="34">
        <f t="shared" si="268"/>
        <v>0</v>
      </c>
      <c r="AC579" s="34">
        <f t="shared" si="268"/>
        <v>0</v>
      </c>
      <c r="AD579" s="34">
        <f t="shared" si="268"/>
        <v>0</v>
      </c>
      <c r="AE579" s="34">
        <f t="shared" si="268"/>
        <v>0</v>
      </c>
      <c r="AF579" s="34">
        <f t="shared" si="268"/>
        <v>0</v>
      </c>
      <c r="AG579" s="34">
        <f t="shared" si="268"/>
        <v>0</v>
      </c>
      <c r="AH579" s="34">
        <f t="shared" si="268"/>
        <v>0</v>
      </c>
      <c r="AI579" s="34">
        <f t="shared" si="268"/>
        <v>0</v>
      </c>
      <c r="AJ579" s="34">
        <f t="shared" si="268"/>
        <v>0</v>
      </c>
      <c r="AK579" s="34">
        <f t="shared" si="268"/>
        <v>0</v>
      </c>
      <c r="AL579" s="34">
        <f t="shared" si="268"/>
        <v>0</v>
      </c>
      <c r="AM579" s="34">
        <f t="shared" si="268"/>
        <v>0</v>
      </c>
      <c r="AN579" s="34">
        <f t="shared" si="268"/>
        <v>0</v>
      </c>
      <c r="AO579" s="34">
        <f t="shared" si="268"/>
        <v>0</v>
      </c>
      <c r="AP579" s="54"/>
      <c r="AQ579" s="1"/>
    </row>
    <row r="580" ht="15.75" customHeight="1">
      <c r="A580" s="1"/>
      <c r="B580" s="35"/>
      <c r="C580" s="35"/>
      <c r="D580" s="35"/>
      <c r="E580" s="33" t="s">
        <v>24</v>
      </c>
      <c r="F580" s="36" t="s">
        <v>25</v>
      </c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8"/>
      <c r="T580" s="37"/>
      <c r="U580" s="38"/>
      <c r="V580" s="37"/>
      <c r="W580" s="37"/>
      <c r="X580" s="37"/>
      <c r="Y580" s="37"/>
      <c r="Z580" s="37"/>
      <c r="AA580" s="37"/>
      <c r="AB580" s="37"/>
      <c r="AC580" s="37"/>
      <c r="AD580" s="38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9">
        <f t="shared" ref="AP580:AP583" si="269">SUM(H580:AO580)</f>
        <v>0</v>
      </c>
      <c r="AQ580" s="1"/>
    </row>
    <row r="581" ht="15.75" customHeight="1">
      <c r="A581" s="51"/>
      <c r="B581" s="35"/>
      <c r="C581" s="35"/>
      <c r="D581" s="35"/>
      <c r="E581" s="47"/>
      <c r="F581" s="40" t="s">
        <v>26</v>
      </c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8"/>
      <c r="T581" s="49"/>
      <c r="U581" s="48"/>
      <c r="V581" s="49"/>
      <c r="W581" s="49"/>
      <c r="X581" s="49"/>
      <c r="Y581" s="49"/>
      <c r="Z581" s="49"/>
      <c r="AA581" s="49"/>
      <c r="AB581" s="49"/>
      <c r="AC581" s="49"/>
      <c r="AD581" s="48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8"/>
      <c r="AP581" s="50">
        <f t="shared" si="269"/>
        <v>0</v>
      </c>
      <c r="AQ581" s="51"/>
    </row>
    <row r="582" ht="15.75" customHeight="1">
      <c r="A582" s="1"/>
      <c r="B582" s="35"/>
      <c r="C582" s="35"/>
      <c r="D582" s="35"/>
      <c r="E582" s="33" t="s">
        <v>27</v>
      </c>
      <c r="F582" s="41" t="s">
        <v>28</v>
      </c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8"/>
      <c r="T582" s="37"/>
      <c r="U582" s="38"/>
      <c r="V582" s="37"/>
      <c r="W582" s="37"/>
      <c r="X582" s="37"/>
      <c r="Y582" s="37"/>
      <c r="Z582" s="37"/>
      <c r="AA582" s="37"/>
      <c r="AB582" s="37"/>
      <c r="AC582" s="37"/>
      <c r="AD582" s="38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9">
        <f t="shared" si="269"/>
        <v>0</v>
      </c>
      <c r="AQ582" s="1"/>
    </row>
    <row r="583" ht="15.75" customHeight="1">
      <c r="A583" s="1"/>
      <c r="B583" s="35"/>
      <c r="C583" s="35"/>
      <c r="D583" s="35"/>
      <c r="E583" s="33"/>
      <c r="F583" s="41" t="s">
        <v>29</v>
      </c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8"/>
      <c r="T583" s="37"/>
      <c r="U583" s="38"/>
      <c r="V583" s="37"/>
      <c r="W583" s="37"/>
      <c r="X583" s="37"/>
      <c r="Y583" s="37"/>
      <c r="Z583" s="37"/>
      <c r="AA583" s="37"/>
      <c r="AB583" s="37"/>
      <c r="AC583" s="37"/>
      <c r="AD583" s="38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9">
        <f t="shared" si="269"/>
        <v>0</v>
      </c>
      <c r="AQ583" s="1"/>
    </row>
    <row r="584" ht="15.75" customHeight="1">
      <c r="A584" s="1"/>
      <c r="B584" s="42"/>
      <c r="C584" s="42"/>
      <c r="D584" s="42"/>
      <c r="E584" s="52"/>
      <c r="F584" s="43" t="s">
        <v>30</v>
      </c>
      <c r="G584" s="44"/>
      <c r="H584" s="34">
        <f t="shared" ref="H584:AN584" si="270">H579+H580-H581+H582-H583</f>
        <v>0</v>
      </c>
      <c r="I584" s="34">
        <f t="shared" si="270"/>
        <v>0</v>
      </c>
      <c r="J584" s="34">
        <f t="shared" si="270"/>
        <v>0</v>
      </c>
      <c r="K584" s="34">
        <f t="shared" si="270"/>
        <v>0</v>
      </c>
      <c r="L584" s="34">
        <f t="shared" si="270"/>
        <v>0</v>
      </c>
      <c r="M584" s="34">
        <f t="shared" si="270"/>
        <v>0</v>
      </c>
      <c r="N584" s="34">
        <f t="shared" si="270"/>
        <v>0</v>
      </c>
      <c r="O584" s="34">
        <f t="shared" si="270"/>
        <v>0</v>
      </c>
      <c r="P584" s="34">
        <f t="shared" si="270"/>
        <v>0</v>
      </c>
      <c r="Q584" s="34">
        <f t="shared" si="270"/>
        <v>0</v>
      </c>
      <c r="R584" s="34">
        <f t="shared" si="270"/>
        <v>0</v>
      </c>
      <c r="S584" s="34">
        <f t="shared" si="270"/>
        <v>0</v>
      </c>
      <c r="T584" s="34">
        <f t="shared" si="270"/>
        <v>0</v>
      </c>
      <c r="U584" s="34">
        <f t="shared" si="270"/>
        <v>0</v>
      </c>
      <c r="V584" s="34">
        <f t="shared" si="270"/>
        <v>0</v>
      </c>
      <c r="W584" s="34">
        <f t="shared" si="270"/>
        <v>0</v>
      </c>
      <c r="X584" s="34">
        <f t="shared" si="270"/>
        <v>0</v>
      </c>
      <c r="Y584" s="34">
        <f t="shared" si="270"/>
        <v>0</v>
      </c>
      <c r="Z584" s="34">
        <f t="shared" si="270"/>
        <v>0</v>
      </c>
      <c r="AA584" s="34">
        <f t="shared" si="270"/>
        <v>0</v>
      </c>
      <c r="AB584" s="34">
        <f t="shared" si="270"/>
        <v>0</v>
      </c>
      <c r="AC584" s="34">
        <f t="shared" si="270"/>
        <v>0</v>
      </c>
      <c r="AD584" s="34">
        <f t="shared" si="270"/>
        <v>0</v>
      </c>
      <c r="AE584" s="34">
        <f t="shared" si="270"/>
        <v>0</v>
      </c>
      <c r="AF584" s="34">
        <f t="shared" si="270"/>
        <v>0</v>
      </c>
      <c r="AG584" s="34">
        <f t="shared" si="270"/>
        <v>0</v>
      </c>
      <c r="AH584" s="34">
        <f t="shared" si="270"/>
        <v>0</v>
      </c>
      <c r="AI584" s="34">
        <f t="shared" si="270"/>
        <v>0</v>
      </c>
      <c r="AJ584" s="34">
        <f t="shared" si="270"/>
        <v>0</v>
      </c>
      <c r="AK584" s="34">
        <f t="shared" si="270"/>
        <v>0</v>
      </c>
      <c r="AL584" s="34">
        <f t="shared" si="270"/>
        <v>0</v>
      </c>
      <c r="AM584" s="34">
        <f t="shared" si="270"/>
        <v>0</v>
      </c>
      <c r="AN584" s="34">
        <f t="shared" si="270"/>
        <v>0</v>
      </c>
      <c r="AO584" s="34"/>
      <c r="AP584" s="45">
        <f>AO579</f>
        <v>0</v>
      </c>
      <c r="AQ584" s="1"/>
    </row>
    <row r="585" ht="15.75" customHeight="1">
      <c r="A585" s="1"/>
      <c r="B585" s="32"/>
      <c r="C585" s="32" t="s">
        <v>217</v>
      </c>
      <c r="D585" s="32" t="s">
        <v>216</v>
      </c>
      <c r="E585" s="90"/>
      <c r="F585" s="14" t="s">
        <v>23</v>
      </c>
      <c r="G585" s="44"/>
      <c r="H585" s="34">
        <v>0.0</v>
      </c>
      <c r="I585" s="34">
        <f t="shared" ref="I585:AO585" si="271">H590</f>
        <v>0</v>
      </c>
      <c r="J585" s="34">
        <f t="shared" si="271"/>
        <v>0</v>
      </c>
      <c r="K585" s="34">
        <f t="shared" si="271"/>
        <v>0</v>
      </c>
      <c r="L585" s="34">
        <f t="shared" si="271"/>
        <v>0</v>
      </c>
      <c r="M585" s="34">
        <f t="shared" si="271"/>
        <v>0</v>
      </c>
      <c r="N585" s="34">
        <f t="shared" si="271"/>
        <v>0</v>
      </c>
      <c r="O585" s="34">
        <f t="shared" si="271"/>
        <v>0</v>
      </c>
      <c r="P585" s="34">
        <f t="shared" si="271"/>
        <v>0</v>
      </c>
      <c r="Q585" s="34">
        <f t="shared" si="271"/>
        <v>0</v>
      </c>
      <c r="R585" s="34">
        <f t="shared" si="271"/>
        <v>0</v>
      </c>
      <c r="S585" s="34">
        <f t="shared" si="271"/>
        <v>0</v>
      </c>
      <c r="T585" s="34">
        <f t="shared" si="271"/>
        <v>0</v>
      </c>
      <c r="U585" s="34">
        <f t="shared" si="271"/>
        <v>0</v>
      </c>
      <c r="V585" s="34">
        <f t="shared" si="271"/>
        <v>0</v>
      </c>
      <c r="W585" s="34">
        <f t="shared" si="271"/>
        <v>0</v>
      </c>
      <c r="X585" s="34">
        <f t="shared" si="271"/>
        <v>0</v>
      </c>
      <c r="Y585" s="34">
        <f t="shared" si="271"/>
        <v>0</v>
      </c>
      <c r="Z585" s="34">
        <f t="shared" si="271"/>
        <v>0</v>
      </c>
      <c r="AA585" s="34">
        <f t="shared" si="271"/>
        <v>0</v>
      </c>
      <c r="AB585" s="34">
        <f t="shared" si="271"/>
        <v>0</v>
      </c>
      <c r="AC585" s="34">
        <f t="shared" si="271"/>
        <v>0</v>
      </c>
      <c r="AD585" s="34">
        <f t="shared" si="271"/>
        <v>0</v>
      </c>
      <c r="AE585" s="34">
        <f t="shared" si="271"/>
        <v>0</v>
      </c>
      <c r="AF585" s="34">
        <f t="shared" si="271"/>
        <v>0</v>
      </c>
      <c r="AG585" s="34">
        <f t="shared" si="271"/>
        <v>0</v>
      </c>
      <c r="AH585" s="34">
        <f t="shared" si="271"/>
        <v>0</v>
      </c>
      <c r="AI585" s="34">
        <f t="shared" si="271"/>
        <v>0</v>
      </c>
      <c r="AJ585" s="34">
        <f t="shared" si="271"/>
        <v>0</v>
      </c>
      <c r="AK585" s="34">
        <f t="shared" si="271"/>
        <v>0</v>
      </c>
      <c r="AL585" s="34">
        <f t="shared" si="271"/>
        <v>0</v>
      </c>
      <c r="AM585" s="34">
        <f t="shared" si="271"/>
        <v>0</v>
      </c>
      <c r="AN585" s="34">
        <f t="shared" si="271"/>
        <v>0</v>
      </c>
      <c r="AO585" s="34">
        <f t="shared" si="271"/>
        <v>0</v>
      </c>
      <c r="AP585" s="54"/>
      <c r="AQ585" s="1"/>
    </row>
    <row r="586" ht="15.75" customHeight="1">
      <c r="A586" s="1"/>
      <c r="B586" s="35"/>
      <c r="C586" s="35"/>
      <c r="D586" s="35"/>
      <c r="E586" s="33" t="s">
        <v>24</v>
      </c>
      <c r="F586" s="36" t="s">
        <v>25</v>
      </c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8"/>
      <c r="T586" s="37"/>
      <c r="U586" s="38"/>
      <c r="V586" s="37"/>
      <c r="W586" s="37"/>
      <c r="X586" s="37"/>
      <c r="Y586" s="37"/>
      <c r="Z586" s="37"/>
      <c r="AA586" s="37"/>
      <c r="AB586" s="37"/>
      <c r="AC586" s="37"/>
      <c r="AD586" s="38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9">
        <f t="shared" ref="AP586:AP589" si="272">SUM(H586:AO586)</f>
        <v>0</v>
      </c>
      <c r="AQ586" s="1"/>
    </row>
    <row r="587" ht="15.75" customHeight="1">
      <c r="A587" s="51"/>
      <c r="B587" s="35"/>
      <c r="C587" s="35"/>
      <c r="D587" s="35"/>
      <c r="E587" s="47"/>
      <c r="F587" s="40" t="s">
        <v>26</v>
      </c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8"/>
      <c r="T587" s="49"/>
      <c r="U587" s="48"/>
      <c r="V587" s="49"/>
      <c r="W587" s="49"/>
      <c r="X587" s="49"/>
      <c r="Y587" s="49"/>
      <c r="Z587" s="49"/>
      <c r="AA587" s="49"/>
      <c r="AB587" s="49"/>
      <c r="AC587" s="49"/>
      <c r="AD587" s="48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8"/>
      <c r="AP587" s="50">
        <f t="shared" si="272"/>
        <v>0</v>
      </c>
      <c r="AQ587" s="51"/>
    </row>
    <row r="588" ht="15.75" customHeight="1">
      <c r="A588" s="1"/>
      <c r="B588" s="35"/>
      <c r="C588" s="35"/>
      <c r="D588" s="35"/>
      <c r="E588" s="33" t="s">
        <v>27</v>
      </c>
      <c r="F588" s="41" t="s">
        <v>28</v>
      </c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8"/>
      <c r="T588" s="37"/>
      <c r="U588" s="38"/>
      <c r="V588" s="37"/>
      <c r="W588" s="37"/>
      <c r="X588" s="37"/>
      <c r="Y588" s="37"/>
      <c r="Z588" s="37"/>
      <c r="AA588" s="37"/>
      <c r="AB588" s="37"/>
      <c r="AC588" s="37"/>
      <c r="AD588" s="38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9">
        <f t="shared" si="272"/>
        <v>0</v>
      </c>
      <c r="AQ588" s="1"/>
    </row>
    <row r="589" ht="15.75" customHeight="1">
      <c r="A589" s="1"/>
      <c r="B589" s="35"/>
      <c r="C589" s="35"/>
      <c r="D589" s="35"/>
      <c r="E589" s="33"/>
      <c r="F589" s="41" t="s">
        <v>29</v>
      </c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8"/>
      <c r="T589" s="37"/>
      <c r="U589" s="38"/>
      <c r="V589" s="37"/>
      <c r="W589" s="37"/>
      <c r="X589" s="37"/>
      <c r="Y589" s="37"/>
      <c r="Z589" s="37"/>
      <c r="AA589" s="37"/>
      <c r="AB589" s="37"/>
      <c r="AC589" s="37"/>
      <c r="AD589" s="38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9">
        <f t="shared" si="272"/>
        <v>0</v>
      </c>
      <c r="AQ589" s="1"/>
    </row>
    <row r="590" ht="15.75" customHeight="1">
      <c r="A590" s="1"/>
      <c r="B590" s="42"/>
      <c r="C590" s="42"/>
      <c r="D590" s="42"/>
      <c r="E590" s="52"/>
      <c r="F590" s="43" t="s">
        <v>30</v>
      </c>
      <c r="G590" s="44"/>
      <c r="H590" s="34">
        <f t="shared" ref="H590:AN590" si="273">H585+H586-H587+H588-H589</f>
        <v>0</v>
      </c>
      <c r="I590" s="34">
        <f t="shared" si="273"/>
        <v>0</v>
      </c>
      <c r="J590" s="34">
        <f t="shared" si="273"/>
        <v>0</v>
      </c>
      <c r="K590" s="34">
        <f t="shared" si="273"/>
        <v>0</v>
      </c>
      <c r="L590" s="34">
        <f t="shared" si="273"/>
        <v>0</v>
      </c>
      <c r="M590" s="34">
        <f t="shared" si="273"/>
        <v>0</v>
      </c>
      <c r="N590" s="34">
        <f t="shared" si="273"/>
        <v>0</v>
      </c>
      <c r="O590" s="34">
        <f t="shared" si="273"/>
        <v>0</v>
      </c>
      <c r="P590" s="34">
        <f t="shared" si="273"/>
        <v>0</v>
      </c>
      <c r="Q590" s="34">
        <f t="shared" si="273"/>
        <v>0</v>
      </c>
      <c r="R590" s="34">
        <f t="shared" si="273"/>
        <v>0</v>
      </c>
      <c r="S590" s="34">
        <f t="shared" si="273"/>
        <v>0</v>
      </c>
      <c r="T590" s="34">
        <f t="shared" si="273"/>
        <v>0</v>
      </c>
      <c r="U590" s="34">
        <f t="shared" si="273"/>
        <v>0</v>
      </c>
      <c r="V590" s="34">
        <f t="shared" si="273"/>
        <v>0</v>
      </c>
      <c r="W590" s="34">
        <f t="shared" si="273"/>
        <v>0</v>
      </c>
      <c r="X590" s="34">
        <f t="shared" si="273"/>
        <v>0</v>
      </c>
      <c r="Y590" s="34">
        <f t="shared" si="273"/>
        <v>0</v>
      </c>
      <c r="Z590" s="34">
        <f t="shared" si="273"/>
        <v>0</v>
      </c>
      <c r="AA590" s="34">
        <f t="shared" si="273"/>
        <v>0</v>
      </c>
      <c r="AB590" s="34">
        <f t="shared" si="273"/>
        <v>0</v>
      </c>
      <c r="AC590" s="34">
        <f t="shared" si="273"/>
        <v>0</v>
      </c>
      <c r="AD590" s="34">
        <f t="shared" si="273"/>
        <v>0</v>
      </c>
      <c r="AE590" s="34">
        <f t="shared" si="273"/>
        <v>0</v>
      </c>
      <c r="AF590" s="34">
        <f t="shared" si="273"/>
        <v>0</v>
      </c>
      <c r="AG590" s="34">
        <f t="shared" si="273"/>
        <v>0</v>
      </c>
      <c r="AH590" s="34">
        <f t="shared" si="273"/>
        <v>0</v>
      </c>
      <c r="AI590" s="34">
        <f t="shared" si="273"/>
        <v>0</v>
      </c>
      <c r="AJ590" s="34">
        <f t="shared" si="273"/>
        <v>0</v>
      </c>
      <c r="AK590" s="34">
        <f t="shared" si="273"/>
        <v>0</v>
      </c>
      <c r="AL590" s="34">
        <f t="shared" si="273"/>
        <v>0</v>
      </c>
      <c r="AM590" s="34">
        <f t="shared" si="273"/>
        <v>0</v>
      </c>
      <c r="AN590" s="34">
        <f t="shared" si="273"/>
        <v>0</v>
      </c>
      <c r="AO590" s="34"/>
      <c r="AP590" s="45">
        <f>AO585</f>
        <v>0</v>
      </c>
      <c r="AQ590" s="1"/>
    </row>
    <row r="591" ht="15.75" customHeight="1">
      <c r="A591" s="1"/>
      <c r="B591" s="56"/>
      <c r="C591" s="32" t="s">
        <v>218</v>
      </c>
      <c r="D591" s="32" t="s">
        <v>219</v>
      </c>
      <c r="E591" s="13"/>
      <c r="F591" s="41" t="s">
        <v>23</v>
      </c>
      <c r="G591" s="44"/>
      <c r="H591" s="34">
        <v>0.0</v>
      </c>
      <c r="I591" s="34">
        <f t="shared" ref="I591:AO591" si="274">H596</f>
        <v>0</v>
      </c>
      <c r="J591" s="34">
        <f t="shared" si="274"/>
        <v>0</v>
      </c>
      <c r="K591" s="34">
        <f t="shared" si="274"/>
        <v>0</v>
      </c>
      <c r="L591" s="34">
        <f t="shared" si="274"/>
        <v>0</v>
      </c>
      <c r="M591" s="34">
        <f t="shared" si="274"/>
        <v>0</v>
      </c>
      <c r="N591" s="34">
        <f t="shared" si="274"/>
        <v>0</v>
      </c>
      <c r="O591" s="34">
        <f t="shared" si="274"/>
        <v>0</v>
      </c>
      <c r="P591" s="34">
        <f t="shared" si="274"/>
        <v>0</v>
      </c>
      <c r="Q591" s="34">
        <f t="shared" si="274"/>
        <v>0</v>
      </c>
      <c r="R591" s="34">
        <f t="shared" si="274"/>
        <v>0</v>
      </c>
      <c r="S591" s="34">
        <f t="shared" si="274"/>
        <v>0</v>
      </c>
      <c r="T591" s="34">
        <f t="shared" si="274"/>
        <v>0</v>
      </c>
      <c r="U591" s="34">
        <f t="shared" si="274"/>
        <v>0</v>
      </c>
      <c r="V591" s="34">
        <f t="shared" si="274"/>
        <v>0</v>
      </c>
      <c r="W591" s="34">
        <f t="shared" si="274"/>
        <v>0</v>
      </c>
      <c r="X591" s="34">
        <f t="shared" si="274"/>
        <v>0</v>
      </c>
      <c r="Y591" s="34">
        <f t="shared" si="274"/>
        <v>0</v>
      </c>
      <c r="Z591" s="34">
        <f t="shared" si="274"/>
        <v>0</v>
      </c>
      <c r="AA591" s="34">
        <f t="shared" si="274"/>
        <v>0</v>
      </c>
      <c r="AB591" s="34">
        <f t="shared" si="274"/>
        <v>0</v>
      </c>
      <c r="AC591" s="34">
        <f t="shared" si="274"/>
        <v>0</v>
      </c>
      <c r="AD591" s="34">
        <f t="shared" si="274"/>
        <v>0</v>
      </c>
      <c r="AE591" s="34">
        <f t="shared" si="274"/>
        <v>0</v>
      </c>
      <c r="AF591" s="34">
        <f t="shared" si="274"/>
        <v>0</v>
      </c>
      <c r="AG591" s="34">
        <f t="shared" si="274"/>
        <v>0</v>
      </c>
      <c r="AH591" s="34">
        <f t="shared" si="274"/>
        <v>0</v>
      </c>
      <c r="AI591" s="34">
        <f t="shared" si="274"/>
        <v>0</v>
      </c>
      <c r="AJ591" s="34">
        <f t="shared" si="274"/>
        <v>0</v>
      </c>
      <c r="AK591" s="34">
        <f t="shared" si="274"/>
        <v>0</v>
      </c>
      <c r="AL591" s="34">
        <f t="shared" si="274"/>
        <v>0</v>
      </c>
      <c r="AM591" s="34">
        <f t="shared" si="274"/>
        <v>0</v>
      </c>
      <c r="AN591" s="34">
        <f t="shared" si="274"/>
        <v>0</v>
      </c>
      <c r="AO591" s="34">
        <f t="shared" si="274"/>
        <v>0</v>
      </c>
      <c r="AP591" s="54"/>
      <c r="AQ591" s="1"/>
    </row>
    <row r="592" ht="15.75" customHeight="1">
      <c r="A592" s="1"/>
      <c r="B592" s="58"/>
      <c r="C592" s="35"/>
      <c r="D592" s="35"/>
      <c r="E592" s="33" t="s">
        <v>24</v>
      </c>
      <c r="F592" s="59" t="s">
        <v>25</v>
      </c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8"/>
      <c r="T592" s="37"/>
      <c r="U592" s="38"/>
      <c r="V592" s="37"/>
      <c r="W592" s="37"/>
      <c r="X592" s="37"/>
      <c r="Y592" s="37"/>
      <c r="Z592" s="37"/>
      <c r="AA592" s="37"/>
      <c r="AB592" s="37"/>
      <c r="AC592" s="37"/>
      <c r="AD592" s="38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9">
        <f t="shared" ref="AP592:AP595" si="275">SUM(H592:AO592)</f>
        <v>0</v>
      </c>
      <c r="AQ592" s="1"/>
    </row>
    <row r="593" ht="15.75" customHeight="1">
      <c r="A593" s="1"/>
      <c r="B593" s="58"/>
      <c r="C593" s="35"/>
      <c r="D593" s="35"/>
      <c r="E593" s="33"/>
      <c r="F593" s="60" t="s">
        <v>26</v>
      </c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8"/>
      <c r="T593" s="37"/>
      <c r="U593" s="38"/>
      <c r="V593" s="37"/>
      <c r="W593" s="37"/>
      <c r="X593" s="37"/>
      <c r="Y593" s="37"/>
      <c r="Z593" s="37"/>
      <c r="AA593" s="37"/>
      <c r="AB593" s="37"/>
      <c r="AC593" s="37"/>
      <c r="AD593" s="38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9">
        <f t="shared" si="275"/>
        <v>0</v>
      </c>
      <c r="AQ593" s="1"/>
    </row>
    <row r="594" ht="15.75" customHeight="1">
      <c r="A594" s="1"/>
      <c r="B594" s="58"/>
      <c r="C594" s="35"/>
      <c r="D594" s="35"/>
      <c r="E594" s="33" t="s">
        <v>27</v>
      </c>
      <c r="F594" s="41" t="s">
        <v>28</v>
      </c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8"/>
      <c r="T594" s="37"/>
      <c r="U594" s="38"/>
      <c r="V594" s="37"/>
      <c r="W594" s="37"/>
      <c r="X594" s="37"/>
      <c r="Y594" s="37"/>
      <c r="Z594" s="37"/>
      <c r="AA594" s="37"/>
      <c r="AB594" s="37"/>
      <c r="AC594" s="37"/>
      <c r="AD594" s="38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9">
        <f t="shared" si="275"/>
        <v>0</v>
      </c>
      <c r="AQ594" s="1"/>
    </row>
    <row r="595" ht="15.75" customHeight="1">
      <c r="A595" s="1"/>
      <c r="B595" s="58"/>
      <c r="C595" s="35"/>
      <c r="D595" s="35"/>
      <c r="E595" s="33"/>
      <c r="F595" s="21" t="s">
        <v>29</v>
      </c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8"/>
      <c r="T595" s="37"/>
      <c r="U595" s="38"/>
      <c r="V595" s="37"/>
      <c r="W595" s="37"/>
      <c r="X595" s="37"/>
      <c r="Y595" s="37"/>
      <c r="Z595" s="37"/>
      <c r="AA595" s="37"/>
      <c r="AB595" s="37"/>
      <c r="AC595" s="37"/>
      <c r="AD595" s="38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9">
        <f t="shared" si="275"/>
        <v>0</v>
      </c>
      <c r="AQ595" s="1"/>
    </row>
    <row r="596" ht="15.75" customHeight="1">
      <c r="A596" s="1"/>
      <c r="B596" s="61"/>
      <c r="C596" s="42"/>
      <c r="D596" s="42"/>
      <c r="E596" s="52"/>
      <c r="F596" s="62" t="s">
        <v>30</v>
      </c>
      <c r="G596" s="44"/>
      <c r="H596" s="34">
        <f t="shared" ref="H596:AN596" si="276">H591+H592-H593+H594-H595</f>
        <v>0</v>
      </c>
      <c r="I596" s="34">
        <f t="shared" si="276"/>
        <v>0</v>
      </c>
      <c r="J596" s="34">
        <f t="shared" si="276"/>
        <v>0</v>
      </c>
      <c r="K596" s="34">
        <f t="shared" si="276"/>
        <v>0</v>
      </c>
      <c r="L596" s="34">
        <f t="shared" si="276"/>
        <v>0</v>
      </c>
      <c r="M596" s="34">
        <f t="shared" si="276"/>
        <v>0</v>
      </c>
      <c r="N596" s="34">
        <f t="shared" si="276"/>
        <v>0</v>
      </c>
      <c r="O596" s="34">
        <f t="shared" si="276"/>
        <v>0</v>
      </c>
      <c r="P596" s="34">
        <f t="shared" si="276"/>
        <v>0</v>
      </c>
      <c r="Q596" s="34">
        <f t="shared" si="276"/>
        <v>0</v>
      </c>
      <c r="R596" s="34">
        <f t="shared" si="276"/>
        <v>0</v>
      </c>
      <c r="S596" s="34">
        <f t="shared" si="276"/>
        <v>0</v>
      </c>
      <c r="T596" s="34">
        <f t="shared" si="276"/>
        <v>0</v>
      </c>
      <c r="U596" s="34">
        <f t="shared" si="276"/>
        <v>0</v>
      </c>
      <c r="V596" s="34">
        <f t="shared" si="276"/>
        <v>0</v>
      </c>
      <c r="W596" s="34">
        <f t="shared" si="276"/>
        <v>0</v>
      </c>
      <c r="X596" s="34">
        <f t="shared" si="276"/>
        <v>0</v>
      </c>
      <c r="Y596" s="34">
        <f t="shared" si="276"/>
        <v>0</v>
      </c>
      <c r="Z596" s="34">
        <f t="shared" si="276"/>
        <v>0</v>
      </c>
      <c r="AA596" s="34">
        <f t="shared" si="276"/>
        <v>0</v>
      </c>
      <c r="AB596" s="34">
        <f t="shared" si="276"/>
        <v>0</v>
      </c>
      <c r="AC596" s="34">
        <f t="shared" si="276"/>
        <v>0</v>
      </c>
      <c r="AD596" s="34">
        <f t="shared" si="276"/>
        <v>0</v>
      </c>
      <c r="AE596" s="34">
        <f t="shared" si="276"/>
        <v>0</v>
      </c>
      <c r="AF596" s="34">
        <f t="shared" si="276"/>
        <v>0</v>
      </c>
      <c r="AG596" s="34">
        <f t="shared" si="276"/>
        <v>0</v>
      </c>
      <c r="AH596" s="34">
        <f t="shared" si="276"/>
        <v>0</v>
      </c>
      <c r="AI596" s="34">
        <f t="shared" si="276"/>
        <v>0</v>
      </c>
      <c r="AJ596" s="34">
        <f t="shared" si="276"/>
        <v>0</v>
      </c>
      <c r="AK596" s="34">
        <f t="shared" si="276"/>
        <v>0</v>
      </c>
      <c r="AL596" s="34">
        <f t="shared" si="276"/>
        <v>0</v>
      </c>
      <c r="AM596" s="34">
        <f t="shared" si="276"/>
        <v>0</v>
      </c>
      <c r="AN596" s="34">
        <f t="shared" si="276"/>
        <v>0</v>
      </c>
      <c r="AO596" s="34"/>
      <c r="AP596" s="45">
        <f>AO591</f>
        <v>0</v>
      </c>
      <c r="AQ596" s="1"/>
    </row>
    <row r="597" ht="15.0" customHeight="1">
      <c r="A597" s="1"/>
      <c r="B597" s="56"/>
      <c r="C597" s="32" t="s">
        <v>220</v>
      </c>
      <c r="D597" s="32" t="s">
        <v>221</v>
      </c>
      <c r="E597" s="13"/>
      <c r="F597" s="41" t="s">
        <v>23</v>
      </c>
      <c r="G597" s="44"/>
      <c r="H597" s="34">
        <v>3.0</v>
      </c>
      <c r="I597" s="34">
        <f t="shared" ref="I597:AO597" si="277">H602</f>
        <v>3</v>
      </c>
      <c r="J597" s="34">
        <f t="shared" si="277"/>
        <v>3</v>
      </c>
      <c r="K597" s="34">
        <f t="shared" si="277"/>
        <v>3</v>
      </c>
      <c r="L597" s="34">
        <f t="shared" si="277"/>
        <v>3</v>
      </c>
      <c r="M597" s="34">
        <f t="shared" si="277"/>
        <v>3</v>
      </c>
      <c r="N597" s="34">
        <f t="shared" si="277"/>
        <v>3</v>
      </c>
      <c r="O597" s="34">
        <f t="shared" si="277"/>
        <v>3</v>
      </c>
      <c r="P597" s="34">
        <f t="shared" si="277"/>
        <v>3</v>
      </c>
      <c r="Q597" s="34">
        <f t="shared" si="277"/>
        <v>3</v>
      </c>
      <c r="R597" s="34">
        <f t="shared" si="277"/>
        <v>3</v>
      </c>
      <c r="S597" s="34">
        <f t="shared" si="277"/>
        <v>3</v>
      </c>
      <c r="T597" s="34">
        <f t="shared" si="277"/>
        <v>3</v>
      </c>
      <c r="U597" s="34">
        <f t="shared" si="277"/>
        <v>3</v>
      </c>
      <c r="V597" s="34">
        <f t="shared" si="277"/>
        <v>3</v>
      </c>
      <c r="W597" s="34">
        <f t="shared" si="277"/>
        <v>3</v>
      </c>
      <c r="X597" s="34">
        <f t="shared" si="277"/>
        <v>3</v>
      </c>
      <c r="Y597" s="34">
        <f t="shared" si="277"/>
        <v>3</v>
      </c>
      <c r="Z597" s="34">
        <f t="shared" si="277"/>
        <v>3</v>
      </c>
      <c r="AA597" s="34">
        <f t="shared" si="277"/>
        <v>3</v>
      </c>
      <c r="AB597" s="34">
        <f t="shared" si="277"/>
        <v>3</v>
      </c>
      <c r="AC597" s="34">
        <f t="shared" si="277"/>
        <v>3</v>
      </c>
      <c r="AD597" s="34">
        <f t="shared" si="277"/>
        <v>3</v>
      </c>
      <c r="AE597" s="34">
        <f t="shared" si="277"/>
        <v>3</v>
      </c>
      <c r="AF597" s="34">
        <f t="shared" si="277"/>
        <v>3</v>
      </c>
      <c r="AG597" s="34">
        <f t="shared" si="277"/>
        <v>3</v>
      </c>
      <c r="AH597" s="34">
        <f t="shared" si="277"/>
        <v>3</v>
      </c>
      <c r="AI597" s="34">
        <f t="shared" si="277"/>
        <v>3</v>
      </c>
      <c r="AJ597" s="34">
        <f t="shared" si="277"/>
        <v>3</v>
      </c>
      <c r="AK597" s="34">
        <f t="shared" si="277"/>
        <v>3</v>
      </c>
      <c r="AL597" s="34">
        <f t="shared" si="277"/>
        <v>3</v>
      </c>
      <c r="AM597" s="34">
        <f t="shared" si="277"/>
        <v>3</v>
      </c>
      <c r="AN597" s="34">
        <f t="shared" si="277"/>
        <v>3</v>
      </c>
      <c r="AO597" s="34">
        <f t="shared" si="277"/>
        <v>3</v>
      </c>
      <c r="AP597" s="54"/>
      <c r="AQ597" s="1"/>
    </row>
    <row r="598" ht="15.0" customHeight="1">
      <c r="A598" s="1"/>
      <c r="B598" s="58"/>
      <c r="C598" s="35"/>
      <c r="D598" s="35"/>
      <c r="E598" s="33" t="s">
        <v>24</v>
      </c>
      <c r="F598" s="59" t="s">
        <v>25</v>
      </c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8"/>
      <c r="T598" s="37"/>
      <c r="U598" s="38"/>
      <c r="V598" s="37"/>
      <c r="W598" s="37"/>
      <c r="X598" s="37"/>
      <c r="Y598" s="37"/>
      <c r="Z598" s="37"/>
      <c r="AA598" s="37"/>
      <c r="AB598" s="37"/>
      <c r="AC598" s="37"/>
      <c r="AD598" s="38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9">
        <f t="shared" ref="AP598:AP601" si="278">SUM(H598:AO598)</f>
        <v>0</v>
      </c>
      <c r="AQ598" s="1"/>
    </row>
    <row r="599" ht="15.0" customHeight="1">
      <c r="A599" s="51"/>
      <c r="B599" s="58"/>
      <c r="C599" s="35"/>
      <c r="D599" s="35"/>
      <c r="E599" s="47"/>
      <c r="F599" s="60" t="s">
        <v>26</v>
      </c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8"/>
      <c r="T599" s="49"/>
      <c r="U599" s="48"/>
      <c r="V599" s="49"/>
      <c r="W599" s="49"/>
      <c r="X599" s="49"/>
      <c r="Y599" s="49"/>
      <c r="Z599" s="49"/>
      <c r="AA599" s="49"/>
      <c r="AB599" s="49"/>
      <c r="AC599" s="49"/>
      <c r="AD599" s="48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50">
        <f t="shared" si="278"/>
        <v>0</v>
      </c>
      <c r="AQ599" s="51"/>
    </row>
    <row r="600" ht="15.0" customHeight="1">
      <c r="A600" s="1"/>
      <c r="B600" s="58"/>
      <c r="C600" s="35"/>
      <c r="D600" s="35"/>
      <c r="E600" s="33" t="s">
        <v>27</v>
      </c>
      <c r="F600" s="41" t="s">
        <v>28</v>
      </c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8"/>
      <c r="T600" s="37"/>
      <c r="U600" s="38"/>
      <c r="V600" s="37"/>
      <c r="W600" s="37"/>
      <c r="X600" s="37"/>
      <c r="Y600" s="37"/>
      <c r="Z600" s="37"/>
      <c r="AA600" s="37"/>
      <c r="AB600" s="37"/>
      <c r="AC600" s="37"/>
      <c r="AD600" s="38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9">
        <f t="shared" si="278"/>
        <v>0</v>
      </c>
      <c r="AQ600" s="1"/>
    </row>
    <row r="601" ht="15.0" customHeight="1">
      <c r="A601" s="1"/>
      <c r="B601" s="58"/>
      <c r="C601" s="35"/>
      <c r="D601" s="35"/>
      <c r="E601" s="33"/>
      <c r="F601" s="21" t="s">
        <v>29</v>
      </c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8"/>
      <c r="T601" s="37"/>
      <c r="U601" s="38"/>
      <c r="V601" s="37"/>
      <c r="W601" s="37"/>
      <c r="X601" s="37"/>
      <c r="Y601" s="37"/>
      <c r="Z601" s="37"/>
      <c r="AA601" s="37"/>
      <c r="AB601" s="37"/>
      <c r="AC601" s="37"/>
      <c r="AD601" s="38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9">
        <f t="shared" si="278"/>
        <v>0</v>
      </c>
      <c r="AQ601" s="1"/>
    </row>
    <row r="602" ht="15.75" customHeight="1">
      <c r="A602" s="1"/>
      <c r="B602" s="61"/>
      <c r="C602" s="42"/>
      <c r="D602" s="42"/>
      <c r="E602" s="52"/>
      <c r="F602" s="62" t="s">
        <v>30</v>
      </c>
      <c r="G602" s="44"/>
      <c r="H602" s="34">
        <f t="shared" ref="H602:AN602" si="279">H597+H598-H599+H600-H601</f>
        <v>3</v>
      </c>
      <c r="I602" s="34">
        <f t="shared" si="279"/>
        <v>3</v>
      </c>
      <c r="J602" s="34">
        <f t="shared" si="279"/>
        <v>3</v>
      </c>
      <c r="K602" s="34">
        <f t="shared" si="279"/>
        <v>3</v>
      </c>
      <c r="L602" s="34">
        <f t="shared" si="279"/>
        <v>3</v>
      </c>
      <c r="M602" s="34">
        <f t="shared" si="279"/>
        <v>3</v>
      </c>
      <c r="N602" s="34">
        <f t="shared" si="279"/>
        <v>3</v>
      </c>
      <c r="O602" s="34">
        <f t="shared" si="279"/>
        <v>3</v>
      </c>
      <c r="P602" s="34">
        <f t="shared" si="279"/>
        <v>3</v>
      </c>
      <c r="Q602" s="34">
        <f t="shared" si="279"/>
        <v>3</v>
      </c>
      <c r="R602" s="34">
        <f t="shared" si="279"/>
        <v>3</v>
      </c>
      <c r="S602" s="34">
        <f t="shared" si="279"/>
        <v>3</v>
      </c>
      <c r="T602" s="34">
        <f t="shared" si="279"/>
        <v>3</v>
      </c>
      <c r="U602" s="34">
        <f t="shared" si="279"/>
        <v>3</v>
      </c>
      <c r="V602" s="34">
        <f t="shared" si="279"/>
        <v>3</v>
      </c>
      <c r="W602" s="34">
        <f t="shared" si="279"/>
        <v>3</v>
      </c>
      <c r="X602" s="34">
        <f t="shared" si="279"/>
        <v>3</v>
      </c>
      <c r="Y602" s="34">
        <f t="shared" si="279"/>
        <v>3</v>
      </c>
      <c r="Z602" s="34">
        <f t="shared" si="279"/>
        <v>3</v>
      </c>
      <c r="AA602" s="34">
        <f t="shared" si="279"/>
        <v>3</v>
      </c>
      <c r="AB602" s="34">
        <f t="shared" si="279"/>
        <v>3</v>
      </c>
      <c r="AC602" s="34">
        <f t="shared" si="279"/>
        <v>3</v>
      </c>
      <c r="AD602" s="34">
        <f t="shared" si="279"/>
        <v>3</v>
      </c>
      <c r="AE602" s="34">
        <f t="shared" si="279"/>
        <v>3</v>
      </c>
      <c r="AF602" s="34">
        <f t="shared" si="279"/>
        <v>3</v>
      </c>
      <c r="AG602" s="34">
        <f t="shared" si="279"/>
        <v>3</v>
      </c>
      <c r="AH602" s="34">
        <f t="shared" si="279"/>
        <v>3</v>
      </c>
      <c r="AI602" s="34">
        <f t="shared" si="279"/>
        <v>3</v>
      </c>
      <c r="AJ602" s="34">
        <f t="shared" si="279"/>
        <v>3</v>
      </c>
      <c r="AK602" s="34">
        <f t="shared" si="279"/>
        <v>3</v>
      </c>
      <c r="AL602" s="34">
        <f t="shared" si="279"/>
        <v>3</v>
      </c>
      <c r="AM602" s="34">
        <f t="shared" si="279"/>
        <v>3</v>
      </c>
      <c r="AN602" s="34">
        <f t="shared" si="279"/>
        <v>3</v>
      </c>
      <c r="AO602" s="34"/>
      <c r="AP602" s="45">
        <f>AO597</f>
        <v>3</v>
      </c>
      <c r="AQ602" s="1"/>
    </row>
    <row r="603" ht="15.75" customHeight="1">
      <c r="A603" s="1"/>
      <c r="B603" s="32"/>
      <c r="C603" s="57" t="s">
        <v>222</v>
      </c>
      <c r="D603" s="70" t="s">
        <v>33</v>
      </c>
      <c r="E603" s="33"/>
      <c r="F603" s="14" t="s">
        <v>23</v>
      </c>
      <c r="G603" s="44"/>
      <c r="H603" s="34"/>
      <c r="I603" s="34">
        <v>10.0</v>
      </c>
      <c r="J603" s="34">
        <f t="shared" ref="J603:AO603" si="280">I608</f>
        <v>10</v>
      </c>
      <c r="K603" s="34">
        <f t="shared" si="280"/>
        <v>10</v>
      </c>
      <c r="L603" s="34">
        <f t="shared" si="280"/>
        <v>10</v>
      </c>
      <c r="M603" s="34">
        <f t="shared" si="280"/>
        <v>10</v>
      </c>
      <c r="N603" s="34">
        <f t="shared" si="280"/>
        <v>10</v>
      </c>
      <c r="O603" s="34">
        <f t="shared" si="280"/>
        <v>10</v>
      </c>
      <c r="P603" s="34">
        <f t="shared" si="280"/>
        <v>10</v>
      </c>
      <c r="Q603" s="34">
        <f t="shared" si="280"/>
        <v>10</v>
      </c>
      <c r="R603" s="34">
        <f t="shared" si="280"/>
        <v>10</v>
      </c>
      <c r="S603" s="34">
        <f t="shared" si="280"/>
        <v>10</v>
      </c>
      <c r="T603" s="34">
        <f t="shared" si="280"/>
        <v>10</v>
      </c>
      <c r="U603" s="34">
        <f t="shared" si="280"/>
        <v>10</v>
      </c>
      <c r="V603" s="34">
        <f t="shared" si="280"/>
        <v>10</v>
      </c>
      <c r="W603" s="34">
        <f t="shared" si="280"/>
        <v>10</v>
      </c>
      <c r="X603" s="34">
        <f t="shared" si="280"/>
        <v>10</v>
      </c>
      <c r="Y603" s="34">
        <f t="shared" si="280"/>
        <v>10</v>
      </c>
      <c r="Z603" s="34">
        <f t="shared" si="280"/>
        <v>10</v>
      </c>
      <c r="AA603" s="34">
        <f t="shared" si="280"/>
        <v>10</v>
      </c>
      <c r="AB603" s="34">
        <f t="shared" si="280"/>
        <v>10</v>
      </c>
      <c r="AC603" s="34">
        <f t="shared" si="280"/>
        <v>10</v>
      </c>
      <c r="AD603" s="34">
        <f t="shared" si="280"/>
        <v>10</v>
      </c>
      <c r="AE603" s="34">
        <f t="shared" si="280"/>
        <v>10</v>
      </c>
      <c r="AF603" s="34">
        <f t="shared" si="280"/>
        <v>10</v>
      </c>
      <c r="AG603" s="34">
        <f t="shared" si="280"/>
        <v>10</v>
      </c>
      <c r="AH603" s="34">
        <f t="shared" si="280"/>
        <v>10</v>
      </c>
      <c r="AI603" s="34">
        <f t="shared" si="280"/>
        <v>10</v>
      </c>
      <c r="AJ603" s="34">
        <f t="shared" si="280"/>
        <v>10</v>
      </c>
      <c r="AK603" s="34">
        <f t="shared" si="280"/>
        <v>10</v>
      </c>
      <c r="AL603" s="34">
        <f t="shared" si="280"/>
        <v>10</v>
      </c>
      <c r="AM603" s="34">
        <f t="shared" si="280"/>
        <v>10</v>
      </c>
      <c r="AN603" s="34">
        <f t="shared" si="280"/>
        <v>10</v>
      </c>
      <c r="AO603" s="34">
        <f t="shared" si="280"/>
        <v>10</v>
      </c>
      <c r="AP603" s="54"/>
      <c r="AQ603" s="1"/>
    </row>
    <row r="604" ht="15.75" customHeight="1">
      <c r="A604" s="1"/>
      <c r="B604" s="35"/>
      <c r="C604" s="35"/>
      <c r="D604" s="35"/>
      <c r="E604" s="33" t="s">
        <v>24</v>
      </c>
      <c r="F604" s="36" t="s">
        <v>25</v>
      </c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8"/>
      <c r="T604" s="37"/>
      <c r="U604" s="38"/>
      <c r="V604" s="37"/>
      <c r="W604" s="37"/>
      <c r="X604" s="37"/>
      <c r="Y604" s="37"/>
      <c r="Z604" s="37"/>
      <c r="AA604" s="37"/>
      <c r="AB604" s="37"/>
      <c r="AC604" s="37"/>
      <c r="AD604" s="38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9">
        <f t="shared" ref="AP604:AP607" si="281">SUM(H604:AO604)</f>
        <v>0</v>
      </c>
      <c r="AQ604" s="1"/>
    </row>
    <row r="605" ht="15.75" customHeight="1">
      <c r="A605" s="51"/>
      <c r="B605" s="35"/>
      <c r="C605" s="35"/>
      <c r="D605" s="35"/>
      <c r="E605" s="47"/>
      <c r="F605" s="40" t="s">
        <v>26</v>
      </c>
      <c r="G605" s="49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50">
        <f t="shared" si="281"/>
        <v>0</v>
      </c>
      <c r="AQ605" s="51"/>
    </row>
    <row r="606" ht="15.75" customHeight="1">
      <c r="A606" s="1"/>
      <c r="B606" s="35"/>
      <c r="C606" s="35"/>
      <c r="D606" s="35"/>
      <c r="E606" s="33" t="s">
        <v>27</v>
      </c>
      <c r="F606" s="41" t="s">
        <v>28</v>
      </c>
      <c r="G606" s="37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7"/>
      <c r="AP606" s="39">
        <f t="shared" si="281"/>
        <v>0</v>
      </c>
      <c r="AQ606" s="1"/>
    </row>
    <row r="607" ht="15.75" customHeight="1">
      <c r="A607" s="1"/>
      <c r="B607" s="35"/>
      <c r="C607" s="35"/>
      <c r="D607" s="35"/>
      <c r="E607" s="33"/>
      <c r="F607" s="41" t="s">
        <v>29</v>
      </c>
      <c r="G607" s="37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7"/>
      <c r="AP607" s="39">
        <f t="shared" si="281"/>
        <v>0</v>
      </c>
      <c r="AQ607" s="1"/>
    </row>
    <row r="608" ht="15.75" customHeight="1">
      <c r="A608" s="1"/>
      <c r="B608" s="35"/>
      <c r="C608" s="42"/>
      <c r="D608" s="42"/>
      <c r="E608" s="19"/>
      <c r="F608" s="43" t="s">
        <v>30</v>
      </c>
      <c r="G608" s="44"/>
      <c r="H608" s="34">
        <f>H603+H604-H605+H606-H607</f>
        <v>0</v>
      </c>
      <c r="I608" s="34">
        <f t="shared" ref="I608:AK608" si="282">I603+I604-I605+I606</f>
        <v>10</v>
      </c>
      <c r="J608" s="34">
        <f t="shared" si="282"/>
        <v>10</v>
      </c>
      <c r="K608" s="34">
        <f t="shared" si="282"/>
        <v>10</v>
      </c>
      <c r="L608" s="34">
        <f t="shared" si="282"/>
        <v>10</v>
      </c>
      <c r="M608" s="34">
        <f t="shared" si="282"/>
        <v>10</v>
      </c>
      <c r="N608" s="34">
        <f t="shared" si="282"/>
        <v>10</v>
      </c>
      <c r="O608" s="34">
        <f t="shared" si="282"/>
        <v>10</v>
      </c>
      <c r="P608" s="34">
        <f t="shared" si="282"/>
        <v>10</v>
      </c>
      <c r="Q608" s="34">
        <f t="shared" si="282"/>
        <v>10</v>
      </c>
      <c r="R608" s="34">
        <f t="shared" si="282"/>
        <v>10</v>
      </c>
      <c r="S608" s="34">
        <f t="shared" si="282"/>
        <v>10</v>
      </c>
      <c r="T608" s="34">
        <f t="shared" si="282"/>
        <v>10</v>
      </c>
      <c r="U608" s="34">
        <f t="shared" si="282"/>
        <v>10</v>
      </c>
      <c r="V608" s="34">
        <f t="shared" si="282"/>
        <v>10</v>
      </c>
      <c r="W608" s="34">
        <f t="shared" si="282"/>
        <v>10</v>
      </c>
      <c r="X608" s="34">
        <f t="shared" si="282"/>
        <v>10</v>
      </c>
      <c r="Y608" s="34">
        <f t="shared" si="282"/>
        <v>10</v>
      </c>
      <c r="Z608" s="34">
        <f t="shared" si="282"/>
        <v>10</v>
      </c>
      <c r="AA608" s="34">
        <f t="shared" si="282"/>
        <v>10</v>
      </c>
      <c r="AB608" s="34">
        <f t="shared" si="282"/>
        <v>10</v>
      </c>
      <c r="AC608" s="34">
        <f t="shared" si="282"/>
        <v>10</v>
      </c>
      <c r="AD608" s="34">
        <f t="shared" si="282"/>
        <v>10</v>
      </c>
      <c r="AE608" s="34">
        <f t="shared" si="282"/>
        <v>10</v>
      </c>
      <c r="AF608" s="34">
        <f t="shared" si="282"/>
        <v>10</v>
      </c>
      <c r="AG608" s="34">
        <f t="shared" si="282"/>
        <v>10</v>
      </c>
      <c r="AH608" s="34">
        <f t="shared" si="282"/>
        <v>10</v>
      </c>
      <c r="AI608" s="34">
        <f t="shared" si="282"/>
        <v>10</v>
      </c>
      <c r="AJ608" s="34">
        <f t="shared" si="282"/>
        <v>10</v>
      </c>
      <c r="AK608" s="34">
        <f t="shared" si="282"/>
        <v>10</v>
      </c>
      <c r="AL608" s="34">
        <f t="shared" ref="AL608:AN608" si="283">AL603+AL604-AL605+AL606-AL607</f>
        <v>10</v>
      </c>
      <c r="AM608" s="34">
        <f t="shared" si="283"/>
        <v>10</v>
      </c>
      <c r="AN608" s="34">
        <f t="shared" si="283"/>
        <v>10</v>
      </c>
      <c r="AO608" s="34"/>
      <c r="AP608" s="75">
        <f>AO603</f>
        <v>10</v>
      </c>
      <c r="AQ608" s="1"/>
    </row>
    <row r="609" ht="15.75" customHeight="1">
      <c r="A609" s="1"/>
      <c r="B609" s="32"/>
      <c r="C609" s="57" t="s">
        <v>223</v>
      </c>
      <c r="D609" s="70" t="s">
        <v>224</v>
      </c>
      <c r="E609" s="33"/>
      <c r="F609" s="14" t="s">
        <v>23</v>
      </c>
      <c r="G609" s="44"/>
      <c r="H609" s="34" t="str">
        <f t="shared" ref="H609:AO609" si="284">G614</f>
        <v/>
      </c>
      <c r="I609" s="34">
        <f t="shared" si="284"/>
        <v>0</v>
      </c>
      <c r="J609" s="34">
        <f t="shared" si="284"/>
        <v>0</v>
      </c>
      <c r="K609" s="34">
        <f t="shared" si="284"/>
        <v>0</v>
      </c>
      <c r="L609" s="34">
        <f t="shared" si="284"/>
        <v>0</v>
      </c>
      <c r="M609" s="34">
        <f t="shared" si="284"/>
        <v>0</v>
      </c>
      <c r="N609" s="34">
        <f t="shared" si="284"/>
        <v>0</v>
      </c>
      <c r="O609" s="34">
        <f t="shared" si="284"/>
        <v>0</v>
      </c>
      <c r="P609" s="34">
        <f t="shared" si="284"/>
        <v>0</v>
      </c>
      <c r="Q609" s="34">
        <f t="shared" si="284"/>
        <v>0</v>
      </c>
      <c r="R609" s="34">
        <f t="shared" si="284"/>
        <v>0</v>
      </c>
      <c r="S609" s="34">
        <f t="shared" si="284"/>
        <v>0</v>
      </c>
      <c r="T609" s="34">
        <f t="shared" si="284"/>
        <v>0</v>
      </c>
      <c r="U609" s="34">
        <f t="shared" si="284"/>
        <v>0</v>
      </c>
      <c r="V609" s="34">
        <f t="shared" si="284"/>
        <v>0</v>
      </c>
      <c r="W609" s="34">
        <f t="shared" si="284"/>
        <v>0</v>
      </c>
      <c r="X609" s="34">
        <f t="shared" si="284"/>
        <v>0</v>
      </c>
      <c r="Y609" s="34">
        <f t="shared" si="284"/>
        <v>0</v>
      </c>
      <c r="Z609" s="34">
        <f t="shared" si="284"/>
        <v>0</v>
      </c>
      <c r="AA609" s="34">
        <f t="shared" si="284"/>
        <v>0</v>
      </c>
      <c r="AB609" s="34">
        <f t="shared" si="284"/>
        <v>0</v>
      </c>
      <c r="AC609" s="34">
        <f t="shared" si="284"/>
        <v>0</v>
      </c>
      <c r="AD609" s="34">
        <f t="shared" si="284"/>
        <v>0</v>
      </c>
      <c r="AE609" s="34">
        <f t="shared" si="284"/>
        <v>0</v>
      </c>
      <c r="AF609" s="34">
        <f t="shared" si="284"/>
        <v>0</v>
      </c>
      <c r="AG609" s="34">
        <f t="shared" si="284"/>
        <v>0</v>
      </c>
      <c r="AH609" s="34">
        <f t="shared" si="284"/>
        <v>0</v>
      </c>
      <c r="AI609" s="34">
        <f t="shared" si="284"/>
        <v>0</v>
      </c>
      <c r="AJ609" s="34">
        <f t="shared" si="284"/>
        <v>0</v>
      </c>
      <c r="AK609" s="34">
        <f t="shared" si="284"/>
        <v>0</v>
      </c>
      <c r="AL609" s="34">
        <f t="shared" si="284"/>
        <v>0</v>
      </c>
      <c r="AM609" s="34">
        <f t="shared" si="284"/>
        <v>0</v>
      </c>
      <c r="AN609" s="34">
        <f t="shared" si="284"/>
        <v>0</v>
      </c>
      <c r="AO609" s="34">
        <f t="shared" si="284"/>
        <v>0</v>
      </c>
      <c r="AP609" s="54"/>
      <c r="AQ609" s="1"/>
    </row>
    <row r="610" ht="15.75" customHeight="1">
      <c r="A610" s="1"/>
      <c r="B610" s="35"/>
      <c r="C610" s="35"/>
      <c r="D610" s="35"/>
      <c r="E610" s="33" t="s">
        <v>24</v>
      </c>
      <c r="F610" s="36" t="s">
        <v>25</v>
      </c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8"/>
      <c r="T610" s="37"/>
      <c r="U610" s="38"/>
      <c r="V610" s="37"/>
      <c r="W610" s="37"/>
      <c r="X610" s="37"/>
      <c r="Y610" s="37"/>
      <c r="Z610" s="37"/>
      <c r="AA610" s="37"/>
      <c r="AB610" s="37"/>
      <c r="AC610" s="37"/>
      <c r="AD610" s="38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9">
        <f t="shared" ref="AP610:AP613" si="285">SUM(H610:AO610)</f>
        <v>0</v>
      </c>
      <c r="AQ610" s="1"/>
    </row>
    <row r="611" ht="15.75" customHeight="1">
      <c r="A611" s="51"/>
      <c r="B611" s="35"/>
      <c r="C611" s="35"/>
      <c r="D611" s="35"/>
      <c r="E611" s="47"/>
      <c r="F611" s="40" t="s">
        <v>26</v>
      </c>
      <c r="G611" s="49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50">
        <f t="shared" si="285"/>
        <v>0</v>
      </c>
      <c r="AQ611" s="51"/>
    </row>
    <row r="612" ht="15.75" customHeight="1">
      <c r="A612" s="1"/>
      <c r="B612" s="35"/>
      <c r="C612" s="35"/>
      <c r="D612" s="35"/>
      <c r="E612" s="33" t="s">
        <v>27</v>
      </c>
      <c r="F612" s="41" t="s">
        <v>28</v>
      </c>
      <c r="G612" s="37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7"/>
      <c r="AP612" s="39">
        <f t="shared" si="285"/>
        <v>0</v>
      </c>
      <c r="AQ612" s="1"/>
    </row>
    <row r="613" ht="15.75" customHeight="1">
      <c r="A613" s="1"/>
      <c r="B613" s="35"/>
      <c r="C613" s="35"/>
      <c r="D613" s="35"/>
      <c r="E613" s="33"/>
      <c r="F613" s="41" t="s">
        <v>29</v>
      </c>
      <c r="G613" s="37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7"/>
      <c r="AP613" s="39">
        <f t="shared" si="285"/>
        <v>0</v>
      </c>
      <c r="AQ613" s="1"/>
    </row>
    <row r="614" ht="15.75" customHeight="1">
      <c r="A614" s="1"/>
      <c r="B614" s="35"/>
      <c r="C614" s="42"/>
      <c r="D614" s="42"/>
      <c r="E614" s="19"/>
      <c r="F614" s="43" t="s">
        <v>30</v>
      </c>
      <c r="G614" s="44"/>
      <c r="H614" s="34">
        <f>H609+H610-H611+H612-H613</f>
        <v>0</v>
      </c>
      <c r="I614" s="34">
        <f t="shared" ref="I614:AK614" si="286">I609+I610-I611+I612</f>
        <v>0</v>
      </c>
      <c r="J614" s="34">
        <f t="shared" si="286"/>
        <v>0</v>
      </c>
      <c r="K614" s="34">
        <f t="shared" si="286"/>
        <v>0</v>
      </c>
      <c r="L614" s="34">
        <f t="shared" si="286"/>
        <v>0</v>
      </c>
      <c r="M614" s="34">
        <f t="shared" si="286"/>
        <v>0</v>
      </c>
      <c r="N614" s="34">
        <f t="shared" si="286"/>
        <v>0</v>
      </c>
      <c r="O614" s="34">
        <f t="shared" si="286"/>
        <v>0</v>
      </c>
      <c r="P614" s="34">
        <f t="shared" si="286"/>
        <v>0</v>
      </c>
      <c r="Q614" s="34">
        <f t="shared" si="286"/>
        <v>0</v>
      </c>
      <c r="R614" s="34">
        <f t="shared" si="286"/>
        <v>0</v>
      </c>
      <c r="S614" s="34">
        <f t="shared" si="286"/>
        <v>0</v>
      </c>
      <c r="T614" s="34">
        <f t="shared" si="286"/>
        <v>0</v>
      </c>
      <c r="U614" s="34">
        <f t="shared" si="286"/>
        <v>0</v>
      </c>
      <c r="V614" s="34">
        <f t="shared" si="286"/>
        <v>0</v>
      </c>
      <c r="W614" s="34">
        <f t="shared" si="286"/>
        <v>0</v>
      </c>
      <c r="X614" s="34">
        <f t="shared" si="286"/>
        <v>0</v>
      </c>
      <c r="Y614" s="34">
        <f t="shared" si="286"/>
        <v>0</v>
      </c>
      <c r="Z614" s="34">
        <f t="shared" si="286"/>
        <v>0</v>
      </c>
      <c r="AA614" s="34">
        <f t="shared" si="286"/>
        <v>0</v>
      </c>
      <c r="AB614" s="34">
        <f t="shared" si="286"/>
        <v>0</v>
      </c>
      <c r="AC614" s="34">
        <f t="shared" si="286"/>
        <v>0</v>
      </c>
      <c r="AD614" s="34">
        <f t="shared" si="286"/>
        <v>0</v>
      </c>
      <c r="AE614" s="34">
        <f t="shared" si="286"/>
        <v>0</v>
      </c>
      <c r="AF614" s="34">
        <f t="shared" si="286"/>
        <v>0</v>
      </c>
      <c r="AG614" s="34">
        <f t="shared" si="286"/>
        <v>0</v>
      </c>
      <c r="AH614" s="34">
        <f t="shared" si="286"/>
        <v>0</v>
      </c>
      <c r="AI614" s="34">
        <f t="shared" si="286"/>
        <v>0</v>
      </c>
      <c r="AJ614" s="34">
        <f t="shared" si="286"/>
        <v>0</v>
      </c>
      <c r="AK614" s="34">
        <f t="shared" si="286"/>
        <v>0</v>
      </c>
      <c r="AL614" s="34">
        <f t="shared" ref="AL614:AN614" si="287">AL609+AL610-AL611+AL612-AL613</f>
        <v>0</v>
      </c>
      <c r="AM614" s="34">
        <f t="shared" si="287"/>
        <v>0</v>
      </c>
      <c r="AN614" s="34">
        <f t="shared" si="287"/>
        <v>0</v>
      </c>
      <c r="AO614" s="34"/>
      <c r="AP614" s="75">
        <f>AO609</f>
        <v>0</v>
      </c>
      <c r="AQ614" s="1"/>
    </row>
    <row r="615" ht="15.75" customHeight="1">
      <c r="A615" s="1"/>
      <c r="B615" s="32"/>
      <c r="C615" s="32" t="s">
        <v>225</v>
      </c>
      <c r="D615" s="32" t="s">
        <v>226</v>
      </c>
      <c r="E615" s="33"/>
      <c r="F615" s="14" t="s">
        <v>23</v>
      </c>
      <c r="G615" s="44"/>
      <c r="H615" s="21"/>
      <c r="I615" s="21">
        <f t="shared" ref="I615:AO615" si="288">H622</f>
        <v>0</v>
      </c>
      <c r="J615" s="21">
        <f t="shared" si="288"/>
        <v>0</v>
      </c>
      <c r="K615" s="21">
        <f t="shared" si="288"/>
        <v>0</v>
      </c>
      <c r="L615" s="21">
        <f t="shared" si="288"/>
        <v>0</v>
      </c>
      <c r="M615" s="21">
        <f t="shared" si="288"/>
        <v>0</v>
      </c>
      <c r="N615" s="21">
        <f t="shared" si="288"/>
        <v>0</v>
      </c>
      <c r="O615" s="21">
        <f t="shared" si="288"/>
        <v>0</v>
      </c>
      <c r="P615" s="21">
        <f t="shared" si="288"/>
        <v>0</v>
      </c>
      <c r="Q615" s="21">
        <f t="shared" si="288"/>
        <v>0</v>
      </c>
      <c r="R615" s="21">
        <f t="shared" si="288"/>
        <v>0</v>
      </c>
      <c r="S615" s="21">
        <f t="shared" si="288"/>
        <v>0</v>
      </c>
      <c r="T615" s="21">
        <f t="shared" si="288"/>
        <v>0</v>
      </c>
      <c r="U615" s="21">
        <f t="shared" si="288"/>
        <v>0</v>
      </c>
      <c r="V615" s="21">
        <f t="shared" si="288"/>
        <v>0</v>
      </c>
      <c r="W615" s="21">
        <f t="shared" si="288"/>
        <v>60</v>
      </c>
      <c r="X615" s="21">
        <f t="shared" si="288"/>
        <v>60</v>
      </c>
      <c r="Y615" s="21">
        <f t="shared" si="288"/>
        <v>1</v>
      </c>
      <c r="Z615" s="21">
        <f t="shared" si="288"/>
        <v>1</v>
      </c>
      <c r="AA615" s="21">
        <f t="shared" si="288"/>
        <v>1</v>
      </c>
      <c r="AB615" s="21">
        <f t="shared" si="288"/>
        <v>1</v>
      </c>
      <c r="AC615" s="21">
        <f t="shared" si="288"/>
        <v>1</v>
      </c>
      <c r="AD615" s="21">
        <f t="shared" si="288"/>
        <v>1</v>
      </c>
      <c r="AE615" s="21">
        <f t="shared" si="288"/>
        <v>1</v>
      </c>
      <c r="AF615" s="21">
        <f t="shared" si="288"/>
        <v>1</v>
      </c>
      <c r="AG615" s="21">
        <f t="shared" si="288"/>
        <v>1</v>
      </c>
      <c r="AH615" s="21">
        <f t="shared" si="288"/>
        <v>1</v>
      </c>
      <c r="AI615" s="21">
        <f t="shared" si="288"/>
        <v>1</v>
      </c>
      <c r="AJ615" s="21">
        <f t="shared" si="288"/>
        <v>1</v>
      </c>
      <c r="AK615" s="21">
        <f t="shared" si="288"/>
        <v>1</v>
      </c>
      <c r="AL615" s="21">
        <f t="shared" si="288"/>
        <v>1</v>
      </c>
      <c r="AM615" s="21">
        <f t="shared" si="288"/>
        <v>1</v>
      </c>
      <c r="AN615" s="21">
        <f t="shared" si="288"/>
        <v>1</v>
      </c>
      <c r="AO615" s="21">
        <f t="shared" si="288"/>
        <v>1</v>
      </c>
      <c r="AP615" s="54"/>
      <c r="AQ615" s="1"/>
    </row>
    <row r="616" ht="15.75" customHeight="1">
      <c r="A616" s="1"/>
      <c r="B616" s="35"/>
      <c r="C616" s="35"/>
      <c r="D616" s="35"/>
      <c r="E616" s="33" t="s">
        <v>24</v>
      </c>
      <c r="F616" s="36" t="s">
        <v>25</v>
      </c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8"/>
      <c r="V616" s="37">
        <v>60.0</v>
      </c>
      <c r="W616" s="37"/>
      <c r="X616" s="37"/>
      <c r="Y616" s="37"/>
      <c r="Z616" s="37"/>
      <c r="AA616" s="37"/>
      <c r="AB616" s="37"/>
      <c r="AC616" s="37"/>
      <c r="AD616" s="38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9">
        <f t="shared" ref="AP616:AP621" si="289">SUM(H616:AO616)</f>
        <v>60</v>
      </c>
      <c r="AQ616" s="1"/>
    </row>
    <row r="617" ht="15.75" customHeight="1">
      <c r="A617" s="1"/>
      <c r="B617" s="35"/>
      <c r="C617" s="35"/>
      <c r="D617" s="35"/>
      <c r="E617" s="33" t="s">
        <v>227</v>
      </c>
      <c r="F617" s="36" t="s">
        <v>67</v>
      </c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8"/>
      <c r="T617" s="37"/>
      <c r="U617" s="38"/>
      <c r="V617" s="37"/>
      <c r="W617" s="37"/>
      <c r="X617" s="37"/>
      <c r="Y617" s="37"/>
      <c r="Z617" s="37"/>
      <c r="AA617" s="37"/>
      <c r="AB617" s="37"/>
      <c r="AC617" s="37"/>
      <c r="AD617" s="38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9">
        <f t="shared" si="289"/>
        <v>0</v>
      </c>
      <c r="AQ617" s="1"/>
    </row>
    <row r="618" ht="15.75" customHeight="1">
      <c r="A618" s="1"/>
      <c r="B618" s="35"/>
      <c r="C618" s="35"/>
      <c r="D618" s="35"/>
      <c r="E618" s="33"/>
      <c r="F618" s="36" t="s">
        <v>94</v>
      </c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8"/>
      <c r="T618" s="37"/>
      <c r="U618" s="38"/>
      <c r="V618" s="37"/>
      <c r="W618" s="37"/>
      <c r="X618" s="37"/>
      <c r="Y618" s="37"/>
      <c r="Z618" s="37"/>
      <c r="AA618" s="37"/>
      <c r="AB618" s="37"/>
      <c r="AC618" s="37"/>
      <c r="AD618" s="38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9">
        <f t="shared" si="289"/>
        <v>0</v>
      </c>
      <c r="AQ618" s="1"/>
    </row>
    <row r="619" ht="15.75" customHeight="1">
      <c r="A619" s="51"/>
      <c r="B619" s="35"/>
      <c r="C619" s="35"/>
      <c r="D619" s="35"/>
      <c r="E619" s="47"/>
      <c r="F619" s="40" t="s">
        <v>26</v>
      </c>
      <c r="G619" s="49"/>
      <c r="H619" s="48"/>
      <c r="I619" s="49"/>
      <c r="J619" s="49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>
        <v>59.0</v>
      </c>
      <c r="Y619" s="48"/>
      <c r="Z619" s="49"/>
      <c r="AA619" s="49"/>
      <c r="AB619" s="49"/>
      <c r="AC619" s="49"/>
      <c r="AD619" s="49"/>
      <c r="AE619" s="49"/>
      <c r="AF619" s="49"/>
      <c r="AG619" s="48"/>
      <c r="AH619" s="48"/>
      <c r="AI619" s="48"/>
      <c r="AJ619" s="48"/>
      <c r="AK619" s="48"/>
      <c r="AL619" s="48"/>
      <c r="AM619" s="48"/>
      <c r="AN619" s="48"/>
      <c r="AO619" s="48"/>
      <c r="AP619" s="50">
        <f t="shared" si="289"/>
        <v>59</v>
      </c>
      <c r="AQ619" s="51"/>
    </row>
    <row r="620" ht="15.75" customHeight="1">
      <c r="A620" s="1"/>
      <c r="B620" s="35"/>
      <c r="C620" s="35"/>
      <c r="D620" s="35"/>
      <c r="E620" s="33" t="s">
        <v>27</v>
      </c>
      <c r="F620" s="41" t="s">
        <v>28</v>
      </c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8"/>
      <c r="T620" s="37"/>
      <c r="U620" s="38"/>
      <c r="V620" s="37"/>
      <c r="W620" s="37"/>
      <c r="X620" s="37"/>
      <c r="Y620" s="37"/>
      <c r="Z620" s="37"/>
      <c r="AA620" s="37"/>
      <c r="AB620" s="37"/>
      <c r="AC620" s="37"/>
      <c r="AD620" s="38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9">
        <f t="shared" si="289"/>
        <v>0</v>
      </c>
      <c r="AQ620" s="1"/>
    </row>
    <row r="621" ht="15.75" customHeight="1">
      <c r="A621" s="1"/>
      <c r="B621" s="35"/>
      <c r="C621" s="35"/>
      <c r="D621" s="35"/>
      <c r="E621" s="33"/>
      <c r="F621" s="41" t="s">
        <v>29</v>
      </c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8"/>
      <c r="T621" s="37"/>
      <c r="U621" s="38"/>
      <c r="V621" s="37"/>
      <c r="W621" s="37"/>
      <c r="X621" s="37"/>
      <c r="Y621" s="37"/>
      <c r="Z621" s="37"/>
      <c r="AA621" s="37"/>
      <c r="AB621" s="37"/>
      <c r="AC621" s="37"/>
      <c r="AD621" s="38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9">
        <f t="shared" si="289"/>
        <v>0</v>
      </c>
      <c r="AQ621" s="1"/>
    </row>
    <row r="622" ht="15.75" customHeight="1">
      <c r="A622" s="1"/>
      <c r="B622" s="35"/>
      <c r="C622" s="42"/>
      <c r="D622" s="42"/>
      <c r="E622" s="33"/>
      <c r="F622" s="43" t="s">
        <v>30</v>
      </c>
      <c r="G622" s="44"/>
      <c r="H622" s="34">
        <f t="shared" ref="H622:AN622" si="290">H615+H616+H617+H618-H619+H620-H621</f>
        <v>0</v>
      </c>
      <c r="I622" s="34">
        <f t="shared" si="290"/>
        <v>0</v>
      </c>
      <c r="J622" s="34">
        <f t="shared" si="290"/>
        <v>0</v>
      </c>
      <c r="K622" s="34">
        <f t="shared" si="290"/>
        <v>0</v>
      </c>
      <c r="L622" s="34">
        <f t="shared" si="290"/>
        <v>0</v>
      </c>
      <c r="M622" s="34">
        <f t="shared" si="290"/>
        <v>0</v>
      </c>
      <c r="N622" s="34">
        <f t="shared" si="290"/>
        <v>0</v>
      </c>
      <c r="O622" s="34">
        <f t="shared" si="290"/>
        <v>0</v>
      </c>
      <c r="P622" s="34">
        <f t="shared" si="290"/>
        <v>0</v>
      </c>
      <c r="Q622" s="34">
        <f t="shared" si="290"/>
        <v>0</v>
      </c>
      <c r="R622" s="34">
        <f t="shared" si="290"/>
        <v>0</v>
      </c>
      <c r="S622" s="34">
        <f t="shared" si="290"/>
        <v>0</v>
      </c>
      <c r="T622" s="34">
        <f t="shared" si="290"/>
        <v>0</v>
      </c>
      <c r="U622" s="34">
        <f t="shared" si="290"/>
        <v>0</v>
      </c>
      <c r="V622" s="34">
        <f t="shared" si="290"/>
        <v>60</v>
      </c>
      <c r="W622" s="34">
        <f t="shared" si="290"/>
        <v>60</v>
      </c>
      <c r="X622" s="34">
        <f t="shared" si="290"/>
        <v>1</v>
      </c>
      <c r="Y622" s="34">
        <f t="shared" si="290"/>
        <v>1</v>
      </c>
      <c r="Z622" s="34">
        <f t="shared" si="290"/>
        <v>1</v>
      </c>
      <c r="AA622" s="34">
        <f t="shared" si="290"/>
        <v>1</v>
      </c>
      <c r="AB622" s="34">
        <f t="shared" si="290"/>
        <v>1</v>
      </c>
      <c r="AC622" s="34">
        <f t="shared" si="290"/>
        <v>1</v>
      </c>
      <c r="AD622" s="34">
        <f t="shared" si="290"/>
        <v>1</v>
      </c>
      <c r="AE622" s="34">
        <f t="shared" si="290"/>
        <v>1</v>
      </c>
      <c r="AF622" s="34">
        <f t="shared" si="290"/>
        <v>1</v>
      </c>
      <c r="AG622" s="34">
        <f t="shared" si="290"/>
        <v>1</v>
      </c>
      <c r="AH622" s="34">
        <f t="shared" si="290"/>
        <v>1</v>
      </c>
      <c r="AI622" s="34">
        <f t="shared" si="290"/>
        <v>1</v>
      </c>
      <c r="AJ622" s="34">
        <f t="shared" si="290"/>
        <v>1</v>
      </c>
      <c r="AK622" s="34">
        <f t="shared" si="290"/>
        <v>1</v>
      </c>
      <c r="AL622" s="34">
        <f t="shared" si="290"/>
        <v>1</v>
      </c>
      <c r="AM622" s="34">
        <f t="shared" si="290"/>
        <v>1</v>
      </c>
      <c r="AN622" s="34">
        <f t="shared" si="290"/>
        <v>1</v>
      </c>
      <c r="AO622" s="34"/>
      <c r="AP622" s="75">
        <f>AO615</f>
        <v>1</v>
      </c>
      <c r="AQ622" s="1"/>
    </row>
    <row r="623" ht="15.75" customHeight="1">
      <c r="A623" s="1"/>
      <c r="B623" s="32"/>
      <c r="C623" s="12" t="s">
        <v>228</v>
      </c>
      <c r="D623" s="32" t="s">
        <v>229</v>
      </c>
      <c r="E623" s="13"/>
      <c r="F623" s="14" t="s">
        <v>23</v>
      </c>
      <c r="G623" s="44"/>
      <c r="H623" s="34">
        <v>27.0</v>
      </c>
      <c r="I623" s="34">
        <f t="shared" ref="I623:L623" si="291">H633</f>
        <v>27</v>
      </c>
      <c r="J623" s="34">
        <f t="shared" si="291"/>
        <v>67</v>
      </c>
      <c r="K623" s="34">
        <f t="shared" si="291"/>
        <v>67</v>
      </c>
      <c r="L623" s="34">
        <f t="shared" si="291"/>
        <v>67</v>
      </c>
      <c r="M623" s="34">
        <v>68.0</v>
      </c>
      <c r="N623" s="34">
        <f t="shared" ref="N623:AO623" si="292">M633</f>
        <v>18</v>
      </c>
      <c r="O623" s="34">
        <f t="shared" si="292"/>
        <v>18</v>
      </c>
      <c r="P623" s="34">
        <f t="shared" si="292"/>
        <v>18</v>
      </c>
      <c r="Q623" s="34">
        <f t="shared" si="292"/>
        <v>48</v>
      </c>
      <c r="R623" s="34">
        <f t="shared" si="292"/>
        <v>48</v>
      </c>
      <c r="S623" s="34">
        <f t="shared" si="292"/>
        <v>73</v>
      </c>
      <c r="T623" s="34">
        <f t="shared" si="292"/>
        <v>23</v>
      </c>
      <c r="U623" s="34">
        <f t="shared" si="292"/>
        <v>23</v>
      </c>
      <c r="V623" s="34">
        <f t="shared" si="292"/>
        <v>23</v>
      </c>
      <c r="W623" s="34">
        <f t="shared" si="292"/>
        <v>24</v>
      </c>
      <c r="X623" s="34">
        <f t="shared" si="292"/>
        <v>24</v>
      </c>
      <c r="Y623" s="34">
        <f t="shared" si="292"/>
        <v>24</v>
      </c>
      <c r="Z623" s="34">
        <f t="shared" si="292"/>
        <v>24</v>
      </c>
      <c r="AA623" s="34">
        <f t="shared" si="292"/>
        <v>24</v>
      </c>
      <c r="AB623" s="34">
        <f t="shared" si="292"/>
        <v>0</v>
      </c>
      <c r="AC623" s="34">
        <f t="shared" si="292"/>
        <v>0</v>
      </c>
      <c r="AD623" s="34">
        <f t="shared" si="292"/>
        <v>0</v>
      </c>
      <c r="AE623" s="34">
        <f t="shared" si="292"/>
        <v>0</v>
      </c>
      <c r="AF623" s="34">
        <f t="shared" si="292"/>
        <v>0</v>
      </c>
      <c r="AG623" s="34">
        <f t="shared" si="292"/>
        <v>0</v>
      </c>
      <c r="AH623" s="34">
        <f t="shared" si="292"/>
        <v>0</v>
      </c>
      <c r="AI623" s="34">
        <f t="shared" si="292"/>
        <v>0</v>
      </c>
      <c r="AJ623" s="34">
        <f t="shared" si="292"/>
        <v>0</v>
      </c>
      <c r="AK623" s="34">
        <f t="shared" si="292"/>
        <v>0</v>
      </c>
      <c r="AL623" s="34">
        <f t="shared" si="292"/>
        <v>0</v>
      </c>
      <c r="AM623" s="34">
        <f t="shared" si="292"/>
        <v>0</v>
      </c>
      <c r="AN623" s="34">
        <f t="shared" si="292"/>
        <v>0</v>
      </c>
      <c r="AO623" s="34">
        <f t="shared" si="292"/>
        <v>0</v>
      </c>
      <c r="AP623" s="54"/>
      <c r="AQ623" s="1"/>
    </row>
    <row r="624" ht="15.0" customHeight="1">
      <c r="A624" s="1"/>
      <c r="B624" s="35"/>
      <c r="C624" s="84"/>
      <c r="D624" s="35"/>
      <c r="E624" s="33" t="s">
        <v>24</v>
      </c>
      <c r="F624" s="36" t="s">
        <v>25</v>
      </c>
      <c r="G624" s="37"/>
      <c r="H624" s="37"/>
      <c r="I624" s="37">
        <v>70.0</v>
      </c>
      <c r="J624" s="37"/>
      <c r="K624" s="37"/>
      <c r="L624" s="37"/>
      <c r="M624" s="37"/>
      <c r="N624" s="37"/>
      <c r="O624" s="37"/>
      <c r="P624" s="37">
        <v>30.0</v>
      </c>
      <c r="Q624" s="37"/>
      <c r="R624" s="37">
        <v>25.0</v>
      </c>
      <c r="S624" s="37"/>
      <c r="T624" s="37"/>
      <c r="U624" s="37"/>
      <c r="V624" s="37">
        <v>1.0</v>
      </c>
      <c r="W624" s="37"/>
      <c r="X624" s="37"/>
      <c r="Y624" s="37"/>
      <c r="Z624" s="37"/>
      <c r="AA624" s="37"/>
      <c r="AB624" s="37"/>
      <c r="AC624" s="37"/>
      <c r="AD624" s="38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9">
        <f t="shared" ref="AP624:AP632" si="293">SUM(H624:AO624)</f>
        <v>126</v>
      </c>
      <c r="AQ624" s="1"/>
    </row>
    <row r="625" ht="15.0" customHeight="1">
      <c r="A625" s="1"/>
      <c r="B625" s="35"/>
      <c r="C625" s="84"/>
      <c r="D625" s="35"/>
      <c r="E625" s="33" t="s">
        <v>230</v>
      </c>
      <c r="F625" s="36" t="s">
        <v>231</v>
      </c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8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9">
        <f t="shared" si="293"/>
        <v>0</v>
      </c>
      <c r="AQ625" s="1"/>
    </row>
    <row r="626" ht="15.0" customHeight="1">
      <c r="A626" s="1"/>
      <c r="B626" s="35"/>
      <c r="C626" s="84"/>
      <c r="D626" s="35"/>
      <c r="E626" s="33" t="s">
        <v>38</v>
      </c>
      <c r="F626" s="36" t="s">
        <v>93</v>
      </c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8"/>
      <c r="T626" s="37"/>
      <c r="U626" s="38"/>
      <c r="V626" s="37"/>
      <c r="W626" s="37"/>
      <c r="X626" s="37"/>
      <c r="Y626" s="37"/>
      <c r="Z626" s="37"/>
      <c r="AA626" s="37"/>
      <c r="AB626" s="37"/>
      <c r="AC626" s="37"/>
      <c r="AD626" s="38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9">
        <f t="shared" si="293"/>
        <v>0</v>
      </c>
      <c r="AQ626" s="1"/>
    </row>
    <row r="627" ht="15.0" customHeight="1">
      <c r="A627" s="1"/>
      <c r="B627" s="35"/>
      <c r="C627" s="84"/>
      <c r="D627" s="35"/>
      <c r="E627" s="33" t="s">
        <v>227</v>
      </c>
      <c r="F627" s="36" t="s">
        <v>67</v>
      </c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8"/>
      <c r="T627" s="37"/>
      <c r="U627" s="38"/>
      <c r="V627" s="37"/>
      <c r="W627" s="37"/>
      <c r="X627" s="37"/>
      <c r="Y627" s="37"/>
      <c r="Z627" s="37"/>
      <c r="AA627" s="37"/>
      <c r="AB627" s="37"/>
      <c r="AC627" s="37"/>
      <c r="AD627" s="38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9">
        <f t="shared" si="293"/>
        <v>0</v>
      </c>
      <c r="AQ627" s="1"/>
    </row>
    <row r="628" ht="15.0" customHeight="1">
      <c r="A628" s="1"/>
      <c r="B628" s="35"/>
      <c r="C628" s="84"/>
      <c r="D628" s="35"/>
      <c r="E628" s="33" t="s">
        <v>144</v>
      </c>
      <c r="F628" s="36" t="s">
        <v>67</v>
      </c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8"/>
      <c r="T628" s="37"/>
      <c r="U628" s="38"/>
      <c r="V628" s="37"/>
      <c r="W628" s="37"/>
      <c r="X628" s="37"/>
      <c r="Y628" s="37"/>
      <c r="Z628" s="37"/>
      <c r="AA628" s="37"/>
      <c r="AB628" s="37"/>
      <c r="AC628" s="37"/>
      <c r="AD628" s="38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9">
        <f t="shared" si="293"/>
        <v>0</v>
      </c>
      <c r="AQ628" s="1"/>
    </row>
    <row r="629" ht="15.0" customHeight="1">
      <c r="A629" s="1"/>
      <c r="B629" s="35"/>
      <c r="C629" s="84"/>
      <c r="D629" s="35"/>
      <c r="E629" s="33" t="s">
        <v>232</v>
      </c>
      <c r="F629" s="36" t="s">
        <v>233</v>
      </c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8"/>
      <c r="T629" s="91"/>
      <c r="U629" s="38"/>
      <c r="V629" s="37"/>
      <c r="W629" s="37"/>
      <c r="X629" s="37"/>
      <c r="Y629" s="37"/>
      <c r="Z629" s="37"/>
      <c r="AA629" s="37"/>
      <c r="AB629" s="37"/>
      <c r="AC629" s="37"/>
      <c r="AD629" s="38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9">
        <f t="shared" si="293"/>
        <v>0</v>
      </c>
      <c r="AQ629" s="1"/>
    </row>
    <row r="630" ht="15.0" customHeight="1">
      <c r="A630" s="51"/>
      <c r="B630" s="35"/>
      <c r="C630" s="84"/>
      <c r="D630" s="35"/>
      <c r="E630" s="47"/>
      <c r="F630" s="40" t="s">
        <v>26</v>
      </c>
      <c r="G630" s="49"/>
      <c r="H630" s="48"/>
      <c r="I630" s="49">
        <v>30.0</v>
      </c>
      <c r="J630" s="49"/>
      <c r="K630" s="49"/>
      <c r="L630" s="49"/>
      <c r="M630" s="48">
        <v>50.0</v>
      </c>
      <c r="N630" s="48"/>
      <c r="O630" s="48"/>
      <c r="P630" s="48"/>
      <c r="Q630" s="48"/>
      <c r="R630" s="48"/>
      <c r="S630" s="48">
        <v>50.0</v>
      </c>
      <c r="T630" s="48"/>
      <c r="U630" s="48"/>
      <c r="V630" s="48"/>
      <c r="W630" s="48"/>
      <c r="X630" s="48"/>
      <c r="Y630" s="48"/>
      <c r="Z630" s="48"/>
      <c r="AA630" s="48">
        <v>24.0</v>
      </c>
      <c r="AB630" s="48"/>
      <c r="AC630" s="48"/>
      <c r="AD630" s="48"/>
      <c r="AE630" s="48"/>
      <c r="AF630" s="48"/>
      <c r="AG630" s="48"/>
      <c r="AH630" s="49"/>
      <c r="AI630" s="48"/>
      <c r="AJ630" s="48"/>
      <c r="AK630" s="48"/>
      <c r="AL630" s="48"/>
      <c r="AM630" s="48"/>
      <c r="AN630" s="48"/>
      <c r="AO630" s="48"/>
      <c r="AP630" s="50">
        <f t="shared" si="293"/>
        <v>154</v>
      </c>
      <c r="AQ630" s="51"/>
    </row>
    <row r="631" ht="15.0" customHeight="1">
      <c r="A631" s="1"/>
      <c r="B631" s="35"/>
      <c r="C631" s="84"/>
      <c r="D631" s="35"/>
      <c r="E631" s="33" t="s">
        <v>27</v>
      </c>
      <c r="F631" s="41" t="s">
        <v>28</v>
      </c>
      <c r="G631" s="38"/>
      <c r="H631" s="38"/>
      <c r="I631" s="38"/>
      <c r="J631" s="37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7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9">
        <f t="shared" si="293"/>
        <v>0</v>
      </c>
      <c r="AQ631" s="1"/>
    </row>
    <row r="632" ht="15.0" customHeight="1">
      <c r="A632" s="1"/>
      <c r="B632" s="35"/>
      <c r="C632" s="84"/>
      <c r="D632" s="35"/>
      <c r="E632" s="33"/>
      <c r="F632" s="41" t="s">
        <v>29</v>
      </c>
      <c r="G632" s="38"/>
      <c r="H632" s="38"/>
      <c r="I632" s="38"/>
      <c r="J632" s="37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7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9">
        <f t="shared" si="293"/>
        <v>0</v>
      </c>
      <c r="AQ632" s="1"/>
    </row>
    <row r="633" ht="15.0" customHeight="1">
      <c r="A633" s="1"/>
      <c r="B633" s="42"/>
      <c r="C633" s="18"/>
      <c r="D633" s="42"/>
      <c r="E633" s="52"/>
      <c r="F633" s="43" t="s">
        <v>30</v>
      </c>
      <c r="G633" s="44"/>
      <c r="H633" s="34">
        <f t="shared" ref="H633:AN633" si="294">H623+H624+H625+H626+H627+H628+H629+-H630+H631-H632</f>
        <v>27</v>
      </c>
      <c r="I633" s="34">
        <f t="shared" si="294"/>
        <v>67</v>
      </c>
      <c r="J633" s="34">
        <f t="shared" si="294"/>
        <v>67</v>
      </c>
      <c r="K633" s="34">
        <f t="shared" si="294"/>
        <v>67</v>
      </c>
      <c r="L633" s="34">
        <f t="shared" si="294"/>
        <v>67</v>
      </c>
      <c r="M633" s="34">
        <f t="shared" si="294"/>
        <v>18</v>
      </c>
      <c r="N633" s="34">
        <f t="shared" si="294"/>
        <v>18</v>
      </c>
      <c r="O633" s="34">
        <f t="shared" si="294"/>
        <v>18</v>
      </c>
      <c r="P633" s="34">
        <f t="shared" si="294"/>
        <v>48</v>
      </c>
      <c r="Q633" s="34">
        <f t="shared" si="294"/>
        <v>48</v>
      </c>
      <c r="R633" s="34">
        <f t="shared" si="294"/>
        <v>73</v>
      </c>
      <c r="S633" s="34">
        <f t="shared" si="294"/>
        <v>23</v>
      </c>
      <c r="T633" s="34">
        <f t="shared" si="294"/>
        <v>23</v>
      </c>
      <c r="U633" s="34">
        <f t="shared" si="294"/>
        <v>23</v>
      </c>
      <c r="V633" s="34">
        <f t="shared" si="294"/>
        <v>24</v>
      </c>
      <c r="W633" s="34">
        <f t="shared" si="294"/>
        <v>24</v>
      </c>
      <c r="X633" s="34">
        <f t="shared" si="294"/>
        <v>24</v>
      </c>
      <c r="Y633" s="34">
        <f t="shared" si="294"/>
        <v>24</v>
      </c>
      <c r="Z633" s="34">
        <f t="shared" si="294"/>
        <v>24</v>
      </c>
      <c r="AA633" s="34">
        <f t="shared" si="294"/>
        <v>0</v>
      </c>
      <c r="AB633" s="34">
        <f t="shared" si="294"/>
        <v>0</v>
      </c>
      <c r="AC633" s="34">
        <f t="shared" si="294"/>
        <v>0</v>
      </c>
      <c r="AD633" s="34">
        <f t="shared" si="294"/>
        <v>0</v>
      </c>
      <c r="AE633" s="34">
        <f t="shared" si="294"/>
        <v>0</v>
      </c>
      <c r="AF633" s="34">
        <f t="shared" si="294"/>
        <v>0</v>
      </c>
      <c r="AG633" s="34">
        <f t="shared" si="294"/>
        <v>0</v>
      </c>
      <c r="AH633" s="34">
        <f t="shared" si="294"/>
        <v>0</v>
      </c>
      <c r="AI633" s="34">
        <f t="shared" si="294"/>
        <v>0</v>
      </c>
      <c r="AJ633" s="34">
        <f t="shared" si="294"/>
        <v>0</v>
      </c>
      <c r="AK633" s="34">
        <f t="shared" si="294"/>
        <v>0</v>
      </c>
      <c r="AL633" s="34">
        <f t="shared" si="294"/>
        <v>0</v>
      </c>
      <c r="AM633" s="34">
        <f t="shared" si="294"/>
        <v>0</v>
      </c>
      <c r="AN633" s="34">
        <f t="shared" si="294"/>
        <v>0</v>
      </c>
      <c r="AO633" s="34"/>
      <c r="AP633" s="45">
        <f>AN633</f>
        <v>0</v>
      </c>
      <c r="AQ633" s="1"/>
    </row>
    <row r="634" ht="15.0" customHeight="1">
      <c r="A634" s="1"/>
      <c r="B634" s="32"/>
      <c r="C634" s="12" t="s">
        <v>234</v>
      </c>
      <c r="D634" s="32" t="s">
        <v>229</v>
      </c>
      <c r="E634" s="13"/>
      <c r="F634" s="14" t="s">
        <v>23</v>
      </c>
      <c r="G634" s="44"/>
      <c r="H634" s="34">
        <v>1.0</v>
      </c>
      <c r="I634" s="34">
        <f t="shared" ref="I634:AO634" si="295">H641</f>
        <v>1</v>
      </c>
      <c r="J634" s="34">
        <f t="shared" si="295"/>
        <v>1</v>
      </c>
      <c r="K634" s="34">
        <f t="shared" si="295"/>
        <v>1</v>
      </c>
      <c r="L634" s="34">
        <f t="shared" si="295"/>
        <v>1</v>
      </c>
      <c r="M634" s="34">
        <f t="shared" si="295"/>
        <v>1</v>
      </c>
      <c r="N634" s="34">
        <f t="shared" si="295"/>
        <v>1</v>
      </c>
      <c r="O634" s="34">
        <f t="shared" si="295"/>
        <v>1</v>
      </c>
      <c r="P634" s="34">
        <f t="shared" si="295"/>
        <v>1</v>
      </c>
      <c r="Q634" s="34">
        <f t="shared" si="295"/>
        <v>1</v>
      </c>
      <c r="R634" s="34">
        <f t="shared" si="295"/>
        <v>1</v>
      </c>
      <c r="S634" s="34">
        <f t="shared" si="295"/>
        <v>1</v>
      </c>
      <c r="T634" s="34">
        <f t="shared" si="295"/>
        <v>1</v>
      </c>
      <c r="U634" s="34">
        <f t="shared" si="295"/>
        <v>1</v>
      </c>
      <c r="V634" s="34">
        <f t="shared" si="295"/>
        <v>1</v>
      </c>
      <c r="W634" s="34">
        <f t="shared" si="295"/>
        <v>1</v>
      </c>
      <c r="X634" s="34">
        <f t="shared" si="295"/>
        <v>1</v>
      </c>
      <c r="Y634" s="34">
        <f t="shared" si="295"/>
        <v>1</v>
      </c>
      <c r="Z634" s="34">
        <f t="shared" si="295"/>
        <v>1</v>
      </c>
      <c r="AA634" s="34">
        <f t="shared" si="295"/>
        <v>1</v>
      </c>
      <c r="AB634" s="34">
        <f t="shared" si="295"/>
        <v>1</v>
      </c>
      <c r="AC634" s="34">
        <f t="shared" si="295"/>
        <v>1</v>
      </c>
      <c r="AD634" s="34">
        <f t="shared" si="295"/>
        <v>1</v>
      </c>
      <c r="AE634" s="34">
        <f t="shared" si="295"/>
        <v>1</v>
      </c>
      <c r="AF634" s="34">
        <f t="shared" si="295"/>
        <v>1</v>
      </c>
      <c r="AG634" s="34">
        <f t="shared" si="295"/>
        <v>1</v>
      </c>
      <c r="AH634" s="34">
        <f t="shared" si="295"/>
        <v>1</v>
      </c>
      <c r="AI634" s="34">
        <f t="shared" si="295"/>
        <v>1</v>
      </c>
      <c r="AJ634" s="34">
        <f t="shared" si="295"/>
        <v>1</v>
      </c>
      <c r="AK634" s="34">
        <f t="shared" si="295"/>
        <v>1</v>
      </c>
      <c r="AL634" s="34">
        <f t="shared" si="295"/>
        <v>1</v>
      </c>
      <c r="AM634" s="34">
        <f t="shared" si="295"/>
        <v>1</v>
      </c>
      <c r="AN634" s="34">
        <f t="shared" si="295"/>
        <v>1</v>
      </c>
      <c r="AO634" s="34">
        <f t="shared" si="295"/>
        <v>1</v>
      </c>
      <c r="AP634" s="54"/>
      <c r="AQ634" s="1"/>
    </row>
    <row r="635" ht="15.0" customHeight="1">
      <c r="A635" s="1"/>
      <c r="B635" s="35"/>
      <c r="C635" s="84"/>
      <c r="D635" s="35"/>
      <c r="E635" s="33" t="s">
        <v>24</v>
      </c>
      <c r="F635" s="36" t="s">
        <v>25</v>
      </c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8"/>
      <c r="T635" s="37"/>
      <c r="U635" s="38"/>
      <c r="V635" s="37"/>
      <c r="W635" s="37"/>
      <c r="X635" s="37"/>
      <c r="Y635" s="37"/>
      <c r="Z635" s="37"/>
      <c r="AA635" s="37"/>
      <c r="AB635" s="37"/>
      <c r="AC635" s="37"/>
      <c r="AD635" s="38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9">
        <f t="shared" ref="AP635:AP640" si="296">SUM(H635:AO635)</f>
        <v>0</v>
      </c>
      <c r="AQ635" s="1"/>
    </row>
    <row r="636" ht="15.0" customHeight="1">
      <c r="A636" s="1"/>
      <c r="B636" s="35"/>
      <c r="C636" s="84"/>
      <c r="D636" s="35"/>
      <c r="E636" s="33" t="s">
        <v>231</v>
      </c>
      <c r="F636" s="36" t="s">
        <v>67</v>
      </c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8"/>
      <c r="T636" s="37"/>
      <c r="U636" s="38"/>
      <c r="V636" s="37"/>
      <c r="W636" s="37"/>
      <c r="X636" s="37"/>
      <c r="Y636" s="37"/>
      <c r="Z636" s="37"/>
      <c r="AA636" s="37"/>
      <c r="AB636" s="37"/>
      <c r="AC636" s="37"/>
      <c r="AD636" s="38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9">
        <f t="shared" si="296"/>
        <v>0</v>
      </c>
      <c r="AQ636" s="1"/>
    </row>
    <row r="637" ht="15.0" customHeight="1">
      <c r="A637" s="1"/>
      <c r="B637" s="35"/>
      <c r="C637" s="84"/>
      <c r="D637" s="35"/>
      <c r="E637" s="33" t="s">
        <v>183</v>
      </c>
      <c r="F637" s="36" t="s">
        <v>67</v>
      </c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8"/>
      <c r="T637" s="37"/>
      <c r="U637" s="38"/>
      <c r="V637" s="37"/>
      <c r="W637" s="37"/>
      <c r="X637" s="37"/>
      <c r="Y637" s="37"/>
      <c r="Z637" s="37"/>
      <c r="AA637" s="37"/>
      <c r="AB637" s="37"/>
      <c r="AC637" s="37"/>
      <c r="AD637" s="38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9">
        <f t="shared" si="296"/>
        <v>0</v>
      </c>
      <c r="AQ637" s="1"/>
    </row>
    <row r="638" ht="15.0" customHeight="1">
      <c r="A638" s="51"/>
      <c r="B638" s="35"/>
      <c r="C638" s="84"/>
      <c r="D638" s="35"/>
      <c r="E638" s="47"/>
      <c r="F638" s="40" t="s">
        <v>26</v>
      </c>
      <c r="G638" s="49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50">
        <f t="shared" si="296"/>
        <v>0</v>
      </c>
      <c r="AQ638" s="51"/>
    </row>
    <row r="639" ht="15.0" customHeight="1">
      <c r="A639" s="1"/>
      <c r="B639" s="35"/>
      <c r="C639" s="84"/>
      <c r="D639" s="35"/>
      <c r="E639" s="33" t="s">
        <v>27</v>
      </c>
      <c r="F639" s="41" t="s">
        <v>28</v>
      </c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8"/>
      <c r="T639" s="37"/>
      <c r="U639" s="38"/>
      <c r="V639" s="37"/>
      <c r="W639" s="37"/>
      <c r="X639" s="37"/>
      <c r="Y639" s="37"/>
      <c r="Z639" s="37"/>
      <c r="AA639" s="37"/>
      <c r="AB639" s="37"/>
      <c r="AC639" s="37"/>
      <c r="AD639" s="38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9">
        <f t="shared" si="296"/>
        <v>0</v>
      </c>
      <c r="AQ639" s="1"/>
    </row>
    <row r="640" ht="15.0" customHeight="1">
      <c r="A640" s="1"/>
      <c r="B640" s="35"/>
      <c r="C640" s="84"/>
      <c r="D640" s="35"/>
      <c r="E640" s="33"/>
      <c r="F640" s="41" t="s">
        <v>29</v>
      </c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8"/>
      <c r="T640" s="37"/>
      <c r="U640" s="38"/>
      <c r="V640" s="37"/>
      <c r="W640" s="37"/>
      <c r="X640" s="37"/>
      <c r="Y640" s="37"/>
      <c r="Z640" s="37"/>
      <c r="AA640" s="37"/>
      <c r="AB640" s="37"/>
      <c r="AC640" s="37"/>
      <c r="AD640" s="38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9">
        <f t="shared" si="296"/>
        <v>0</v>
      </c>
      <c r="AQ640" s="1"/>
    </row>
    <row r="641" ht="15.0" customHeight="1">
      <c r="A641" s="1"/>
      <c r="B641" s="42"/>
      <c r="C641" s="18"/>
      <c r="D641" s="42"/>
      <c r="E641" s="52"/>
      <c r="F641" s="43" t="s">
        <v>30</v>
      </c>
      <c r="G641" s="44"/>
      <c r="H641" s="34">
        <f t="shared" ref="H641:AN641" si="297">H634+H635+H636+H637-H638+H639-H640</f>
        <v>1</v>
      </c>
      <c r="I641" s="34">
        <f t="shared" si="297"/>
        <v>1</v>
      </c>
      <c r="J641" s="34">
        <f t="shared" si="297"/>
        <v>1</v>
      </c>
      <c r="K641" s="34">
        <f t="shared" si="297"/>
        <v>1</v>
      </c>
      <c r="L641" s="34">
        <f t="shared" si="297"/>
        <v>1</v>
      </c>
      <c r="M641" s="34">
        <f t="shared" si="297"/>
        <v>1</v>
      </c>
      <c r="N641" s="34">
        <f t="shared" si="297"/>
        <v>1</v>
      </c>
      <c r="O641" s="34">
        <f t="shared" si="297"/>
        <v>1</v>
      </c>
      <c r="P641" s="34">
        <f t="shared" si="297"/>
        <v>1</v>
      </c>
      <c r="Q641" s="34">
        <f t="shared" si="297"/>
        <v>1</v>
      </c>
      <c r="R641" s="34">
        <f t="shared" si="297"/>
        <v>1</v>
      </c>
      <c r="S641" s="34">
        <f t="shared" si="297"/>
        <v>1</v>
      </c>
      <c r="T641" s="34">
        <f t="shared" si="297"/>
        <v>1</v>
      </c>
      <c r="U641" s="34">
        <f t="shared" si="297"/>
        <v>1</v>
      </c>
      <c r="V641" s="34">
        <f t="shared" si="297"/>
        <v>1</v>
      </c>
      <c r="W641" s="34">
        <f t="shared" si="297"/>
        <v>1</v>
      </c>
      <c r="X641" s="34">
        <f t="shared" si="297"/>
        <v>1</v>
      </c>
      <c r="Y641" s="34">
        <f t="shared" si="297"/>
        <v>1</v>
      </c>
      <c r="Z641" s="34">
        <f t="shared" si="297"/>
        <v>1</v>
      </c>
      <c r="AA641" s="34">
        <f t="shared" si="297"/>
        <v>1</v>
      </c>
      <c r="AB641" s="34">
        <f t="shared" si="297"/>
        <v>1</v>
      </c>
      <c r="AC641" s="34">
        <f t="shared" si="297"/>
        <v>1</v>
      </c>
      <c r="AD641" s="34">
        <f t="shared" si="297"/>
        <v>1</v>
      </c>
      <c r="AE641" s="34">
        <f t="shared" si="297"/>
        <v>1</v>
      </c>
      <c r="AF641" s="34">
        <f t="shared" si="297"/>
        <v>1</v>
      </c>
      <c r="AG641" s="34">
        <f t="shared" si="297"/>
        <v>1</v>
      </c>
      <c r="AH641" s="34">
        <f t="shared" si="297"/>
        <v>1</v>
      </c>
      <c r="AI641" s="34">
        <f t="shared" si="297"/>
        <v>1</v>
      </c>
      <c r="AJ641" s="34">
        <f t="shared" si="297"/>
        <v>1</v>
      </c>
      <c r="AK641" s="34">
        <f t="shared" si="297"/>
        <v>1</v>
      </c>
      <c r="AL641" s="34">
        <f t="shared" si="297"/>
        <v>1</v>
      </c>
      <c r="AM641" s="34">
        <f t="shared" si="297"/>
        <v>1</v>
      </c>
      <c r="AN641" s="34">
        <f t="shared" si="297"/>
        <v>1</v>
      </c>
      <c r="AO641" s="34"/>
      <c r="AP641" s="45">
        <f>AN641</f>
        <v>1</v>
      </c>
      <c r="AQ641" s="1"/>
    </row>
    <row r="642" ht="15.0" customHeight="1">
      <c r="A642" s="1"/>
      <c r="B642" s="32"/>
      <c r="C642" s="12" t="s">
        <v>235</v>
      </c>
      <c r="D642" s="32" t="s">
        <v>229</v>
      </c>
      <c r="E642" s="13"/>
      <c r="F642" s="14" t="s">
        <v>23</v>
      </c>
      <c r="G642" s="44"/>
      <c r="H642" s="34">
        <v>0.0</v>
      </c>
      <c r="I642" s="34">
        <f t="shared" ref="I642:AO642" si="298">H649</f>
        <v>0</v>
      </c>
      <c r="J642" s="34">
        <f t="shared" si="298"/>
        <v>0</v>
      </c>
      <c r="K642" s="34">
        <f t="shared" si="298"/>
        <v>0</v>
      </c>
      <c r="L642" s="34">
        <f t="shared" si="298"/>
        <v>0</v>
      </c>
      <c r="M642" s="34">
        <f t="shared" si="298"/>
        <v>0</v>
      </c>
      <c r="N642" s="34">
        <f t="shared" si="298"/>
        <v>0</v>
      </c>
      <c r="O642" s="34">
        <f t="shared" si="298"/>
        <v>0</v>
      </c>
      <c r="P642" s="34">
        <f t="shared" si="298"/>
        <v>0</v>
      </c>
      <c r="Q642" s="34">
        <f t="shared" si="298"/>
        <v>0</v>
      </c>
      <c r="R642" s="34">
        <f t="shared" si="298"/>
        <v>0</v>
      </c>
      <c r="S642" s="34">
        <f t="shared" si="298"/>
        <v>0</v>
      </c>
      <c r="T642" s="34">
        <f t="shared" si="298"/>
        <v>0</v>
      </c>
      <c r="U642" s="34">
        <f t="shared" si="298"/>
        <v>0</v>
      </c>
      <c r="V642" s="34">
        <f t="shared" si="298"/>
        <v>0</v>
      </c>
      <c r="W642" s="34">
        <f t="shared" si="298"/>
        <v>0</v>
      </c>
      <c r="X642" s="34">
        <f t="shared" si="298"/>
        <v>0</v>
      </c>
      <c r="Y642" s="34">
        <f t="shared" si="298"/>
        <v>0</v>
      </c>
      <c r="Z642" s="34">
        <f t="shared" si="298"/>
        <v>0</v>
      </c>
      <c r="AA642" s="34">
        <f t="shared" si="298"/>
        <v>0</v>
      </c>
      <c r="AB642" s="34">
        <f t="shared" si="298"/>
        <v>0</v>
      </c>
      <c r="AC642" s="34">
        <f t="shared" si="298"/>
        <v>0</v>
      </c>
      <c r="AD642" s="34">
        <f t="shared" si="298"/>
        <v>0</v>
      </c>
      <c r="AE642" s="34">
        <f t="shared" si="298"/>
        <v>0</v>
      </c>
      <c r="AF642" s="34">
        <f t="shared" si="298"/>
        <v>0</v>
      </c>
      <c r="AG642" s="34">
        <f t="shared" si="298"/>
        <v>0</v>
      </c>
      <c r="AH642" s="34">
        <f t="shared" si="298"/>
        <v>0</v>
      </c>
      <c r="AI642" s="34">
        <f t="shared" si="298"/>
        <v>0</v>
      </c>
      <c r="AJ642" s="34">
        <f t="shared" si="298"/>
        <v>0</v>
      </c>
      <c r="AK642" s="34">
        <f t="shared" si="298"/>
        <v>0</v>
      </c>
      <c r="AL642" s="34">
        <f t="shared" si="298"/>
        <v>0</v>
      </c>
      <c r="AM642" s="34">
        <f t="shared" si="298"/>
        <v>0</v>
      </c>
      <c r="AN642" s="34">
        <f t="shared" si="298"/>
        <v>0</v>
      </c>
      <c r="AO642" s="34">
        <f t="shared" si="298"/>
        <v>0</v>
      </c>
      <c r="AP642" s="54"/>
      <c r="AQ642" s="1"/>
    </row>
    <row r="643" ht="15.0" customHeight="1">
      <c r="A643" s="1"/>
      <c r="B643" s="35"/>
      <c r="C643" s="84"/>
      <c r="D643" s="35"/>
      <c r="E643" s="33" t="s">
        <v>24</v>
      </c>
      <c r="F643" s="36" t="s">
        <v>25</v>
      </c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8"/>
      <c r="T643" s="37"/>
      <c r="U643" s="38"/>
      <c r="V643" s="37"/>
      <c r="W643" s="37"/>
      <c r="X643" s="37"/>
      <c r="Y643" s="37"/>
      <c r="Z643" s="37"/>
      <c r="AA643" s="37"/>
      <c r="AB643" s="37"/>
      <c r="AC643" s="37"/>
      <c r="AD643" s="38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9">
        <f t="shared" ref="AP643:AP648" si="299">SUM(H643:AO643)</f>
        <v>0</v>
      </c>
      <c r="AQ643" s="1"/>
    </row>
    <row r="644" ht="15.0" customHeight="1">
      <c r="A644" s="1"/>
      <c r="B644" s="35"/>
      <c r="C644" s="84"/>
      <c r="D644" s="35"/>
      <c r="E644" s="33" t="s">
        <v>68</v>
      </c>
      <c r="F644" s="36" t="s">
        <v>67</v>
      </c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8"/>
      <c r="T644" s="37"/>
      <c r="U644" s="38"/>
      <c r="V644" s="37"/>
      <c r="W644" s="37"/>
      <c r="X644" s="37"/>
      <c r="Y644" s="37"/>
      <c r="Z644" s="37"/>
      <c r="AA644" s="37"/>
      <c r="AB644" s="37"/>
      <c r="AC644" s="37"/>
      <c r="AD644" s="38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9">
        <f t="shared" si="299"/>
        <v>0</v>
      </c>
      <c r="AQ644" s="1"/>
    </row>
    <row r="645" ht="15.0" customHeight="1">
      <c r="A645" s="1"/>
      <c r="B645" s="35"/>
      <c r="C645" s="84"/>
      <c r="D645" s="35"/>
      <c r="E645" s="33" t="s">
        <v>183</v>
      </c>
      <c r="F645" s="36" t="s">
        <v>67</v>
      </c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8"/>
      <c r="T645" s="37"/>
      <c r="U645" s="38"/>
      <c r="V645" s="37"/>
      <c r="W645" s="37"/>
      <c r="X645" s="37"/>
      <c r="Y645" s="37"/>
      <c r="Z645" s="37"/>
      <c r="AA645" s="37"/>
      <c r="AB645" s="37"/>
      <c r="AC645" s="37"/>
      <c r="AD645" s="38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9">
        <f t="shared" si="299"/>
        <v>0</v>
      </c>
      <c r="AQ645" s="1"/>
    </row>
    <row r="646" ht="15.0" customHeight="1">
      <c r="A646" s="51"/>
      <c r="B646" s="35"/>
      <c r="C646" s="84"/>
      <c r="D646" s="35"/>
      <c r="E646" s="47"/>
      <c r="F646" s="40" t="s">
        <v>26</v>
      </c>
      <c r="G646" s="49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50">
        <f t="shared" si="299"/>
        <v>0</v>
      </c>
      <c r="AQ646" s="51"/>
    </row>
    <row r="647" ht="15.0" customHeight="1">
      <c r="A647" s="1"/>
      <c r="B647" s="35"/>
      <c r="C647" s="84"/>
      <c r="D647" s="35"/>
      <c r="E647" s="33" t="s">
        <v>27</v>
      </c>
      <c r="F647" s="41" t="s">
        <v>28</v>
      </c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8"/>
      <c r="T647" s="37"/>
      <c r="U647" s="38"/>
      <c r="V647" s="37"/>
      <c r="W647" s="37"/>
      <c r="X647" s="37"/>
      <c r="Y647" s="37"/>
      <c r="Z647" s="37"/>
      <c r="AA647" s="37"/>
      <c r="AB647" s="37"/>
      <c r="AC647" s="37"/>
      <c r="AD647" s="38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9">
        <f t="shared" si="299"/>
        <v>0</v>
      </c>
      <c r="AQ647" s="1"/>
    </row>
    <row r="648" ht="15.0" customHeight="1">
      <c r="A648" s="1"/>
      <c r="B648" s="35"/>
      <c r="C648" s="84"/>
      <c r="D648" s="35"/>
      <c r="E648" s="33"/>
      <c r="F648" s="41" t="s">
        <v>29</v>
      </c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8"/>
      <c r="T648" s="37"/>
      <c r="U648" s="38"/>
      <c r="V648" s="37"/>
      <c r="W648" s="37"/>
      <c r="X648" s="37"/>
      <c r="Y648" s="37"/>
      <c r="Z648" s="37"/>
      <c r="AA648" s="37"/>
      <c r="AB648" s="37"/>
      <c r="AC648" s="37"/>
      <c r="AD648" s="38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9">
        <f t="shared" si="299"/>
        <v>0</v>
      </c>
      <c r="AQ648" s="1"/>
    </row>
    <row r="649" ht="15.0" customHeight="1">
      <c r="A649" s="1"/>
      <c r="B649" s="42"/>
      <c r="C649" s="18"/>
      <c r="D649" s="42"/>
      <c r="E649" s="52"/>
      <c r="F649" s="43" t="s">
        <v>30</v>
      </c>
      <c r="G649" s="44"/>
      <c r="H649" s="34">
        <f t="shared" ref="H649:AN649" si="300">H642+H643+H644+H645-H646+H647-H648</f>
        <v>0</v>
      </c>
      <c r="I649" s="34">
        <f t="shared" si="300"/>
        <v>0</v>
      </c>
      <c r="J649" s="34">
        <f t="shared" si="300"/>
        <v>0</v>
      </c>
      <c r="K649" s="34">
        <f t="shared" si="300"/>
        <v>0</v>
      </c>
      <c r="L649" s="34">
        <f t="shared" si="300"/>
        <v>0</v>
      </c>
      <c r="M649" s="34">
        <f t="shared" si="300"/>
        <v>0</v>
      </c>
      <c r="N649" s="34">
        <f t="shared" si="300"/>
        <v>0</v>
      </c>
      <c r="O649" s="34">
        <f t="shared" si="300"/>
        <v>0</v>
      </c>
      <c r="P649" s="34">
        <f t="shared" si="300"/>
        <v>0</v>
      </c>
      <c r="Q649" s="34">
        <f t="shared" si="300"/>
        <v>0</v>
      </c>
      <c r="R649" s="34">
        <f t="shared" si="300"/>
        <v>0</v>
      </c>
      <c r="S649" s="34">
        <f t="shared" si="300"/>
        <v>0</v>
      </c>
      <c r="T649" s="34">
        <f t="shared" si="300"/>
        <v>0</v>
      </c>
      <c r="U649" s="34">
        <f t="shared" si="300"/>
        <v>0</v>
      </c>
      <c r="V649" s="34">
        <f t="shared" si="300"/>
        <v>0</v>
      </c>
      <c r="W649" s="34">
        <f t="shared" si="300"/>
        <v>0</v>
      </c>
      <c r="X649" s="34">
        <f t="shared" si="300"/>
        <v>0</v>
      </c>
      <c r="Y649" s="34">
        <f t="shared" si="300"/>
        <v>0</v>
      </c>
      <c r="Z649" s="34">
        <f t="shared" si="300"/>
        <v>0</v>
      </c>
      <c r="AA649" s="34">
        <f t="shared" si="300"/>
        <v>0</v>
      </c>
      <c r="AB649" s="34">
        <f t="shared" si="300"/>
        <v>0</v>
      </c>
      <c r="AC649" s="34">
        <f t="shared" si="300"/>
        <v>0</v>
      </c>
      <c r="AD649" s="34">
        <f t="shared" si="300"/>
        <v>0</v>
      </c>
      <c r="AE649" s="34">
        <f t="shared" si="300"/>
        <v>0</v>
      </c>
      <c r="AF649" s="34">
        <f t="shared" si="300"/>
        <v>0</v>
      </c>
      <c r="AG649" s="34">
        <f t="shared" si="300"/>
        <v>0</v>
      </c>
      <c r="AH649" s="34">
        <f t="shared" si="300"/>
        <v>0</v>
      </c>
      <c r="AI649" s="34">
        <f t="shared" si="300"/>
        <v>0</v>
      </c>
      <c r="AJ649" s="34">
        <f t="shared" si="300"/>
        <v>0</v>
      </c>
      <c r="AK649" s="34">
        <f t="shared" si="300"/>
        <v>0</v>
      </c>
      <c r="AL649" s="34">
        <f t="shared" si="300"/>
        <v>0</v>
      </c>
      <c r="AM649" s="34">
        <f t="shared" si="300"/>
        <v>0</v>
      </c>
      <c r="AN649" s="34">
        <f t="shared" si="300"/>
        <v>0</v>
      </c>
      <c r="AO649" s="34"/>
      <c r="AP649" s="45" t="str">
        <f>AO644</f>
        <v/>
      </c>
      <c r="AQ649" s="1"/>
    </row>
    <row r="650" ht="15.75" customHeight="1">
      <c r="A650" s="1"/>
      <c r="B650" s="32"/>
      <c r="C650" s="12" t="s">
        <v>236</v>
      </c>
      <c r="D650" s="32" t="s">
        <v>237</v>
      </c>
      <c r="E650" s="13"/>
      <c r="F650" s="14" t="s">
        <v>23</v>
      </c>
      <c r="G650" s="44"/>
      <c r="H650" s="34">
        <v>20.0</v>
      </c>
      <c r="I650" s="34">
        <f t="shared" ref="I650:AO650" si="301">H657</f>
        <v>20</v>
      </c>
      <c r="J650" s="34">
        <f t="shared" si="301"/>
        <v>10</v>
      </c>
      <c r="K650" s="34">
        <f t="shared" si="301"/>
        <v>10</v>
      </c>
      <c r="L650" s="34">
        <f t="shared" si="301"/>
        <v>10</v>
      </c>
      <c r="M650" s="34">
        <f t="shared" si="301"/>
        <v>40</v>
      </c>
      <c r="N650" s="34">
        <f t="shared" si="301"/>
        <v>30</v>
      </c>
      <c r="O650" s="34">
        <f t="shared" si="301"/>
        <v>30</v>
      </c>
      <c r="P650" s="34">
        <f t="shared" si="301"/>
        <v>30</v>
      </c>
      <c r="Q650" s="34">
        <f t="shared" si="301"/>
        <v>30</v>
      </c>
      <c r="R650" s="34">
        <f t="shared" si="301"/>
        <v>71</v>
      </c>
      <c r="S650" s="34">
        <f t="shared" si="301"/>
        <v>75</v>
      </c>
      <c r="T650" s="34">
        <f t="shared" si="301"/>
        <v>45</v>
      </c>
      <c r="U650" s="34">
        <f t="shared" si="301"/>
        <v>45</v>
      </c>
      <c r="V650" s="34">
        <f t="shared" si="301"/>
        <v>45</v>
      </c>
      <c r="W650" s="34">
        <f t="shared" si="301"/>
        <v>45</v>
      </c>
      <c r="X650" s="34">
        <f t="shared" si="301"/>
        <v>45</v>
      </c>
      <c r="Y650" s="34">
        <f t="shared" si="301"/>
        <v>45</v>
      </c>
      <c r="Z650" s="34">
        <f t="shared" si="301"/>
        <v>45</v>
      </c>
      <c r="AA650" s="34">
        <f t="shared" si="301"/>
        <v>45</v>
      </c>
      <c r="AB650" s="34">
        <f t="shared" si="301"/>
        <v>4</v>
      </c>
      <c r="AC650" s="34">
        <f t="shared" si="301"/>
        <v>4</v>
      </c>
      <c r="AD650" s="34">
        <f t="shared" si="301"/>
        <v>4</v>
      </c>
      <c r="AE650" s="34">
        <f t="shared" si="301"/>
        <v>4</v>
      </c>
      <c r="AF650" s="34">
        <f t="shared" si="301"/>
        <v>4</v>
      </c>
      <c r="AG650" s="34">
        <f t="shared" si="301"/>
        <v>4</v>
      </c>
      <c r="AH650" s="34">
        <f t="shared" si="301"/>
        <v>4</v>
      </c>
      <c r="AI650" s="34">
        <f t="shared" si="301"/>
        <v>4</v>
      </c>
      <c r="AJ650" s="34">
        <f t="shared" si="301"/>
        <v>4</v>
      </c>
      <c r="AK650" s="34">
        <f t="shared" si="301"/>
        <v>4</v>
      </c>
      <c r="AL650" s="34">
        <f t="shared" si="301"/>
        <v>4</v>
      </c>
      <c r="AM650" s="34">
        <f t="shared" si="301"/>
        <v>4</v>
      </c>
      <c r="AN650" s="34">
        <f t="shared" si="301"/>
        <v>4</v>
      </c>
      <c r="AO650" s="34">
        <f t="shared" si="301"/>
        <v>4</v>
      </c>
      <c r="AP650" s="54"/>
      <c r="AQ650" s="1"/>
    </row>
    <row r="651" ht="15.0" customHeight="1">
      <c r="A651" s="1"/>
      <c r="B651" s="35"/>
      <c r="C651" s="84"/>
      <c r="D651" s="35"/>
      <c r="E651" s="33" t="s">
        <v>24</v>
      </c>
      <c r="F651" s="36" t="s">
        <v>25</v>
      </c>
      <c r="G651" s="37"/>
      <c r="H651" s="37"/>
      <c r="I651" s="37">
        <v>10.0</v>
      </c>
      <c r="J651" s="37"/>
      <c r="K651" s="37"/>
      <c r="L651" s="37">
        <v>30.0</v>
      </c>
      <c r="M651" s="37"/>
      <c r="N651" s="37"/>
      <c r="O651" s="37"/>
      <c r="P651" s="37"/>
      <c r="Q651" s="37">
        <v>41.0</v>
      </c>
      <c r="R651" s="37">
        <v>4.0</v>
      </c>
      <c r="S651" s="38"/>
      <c r="T651" s="37"/>
      <c r="U651" s="38"/>
      <c r="V651" s="37"/>
      <c r="W651" s="37"/>
      <c r="X651" s="37"/>
      <c r="Y651" s="37"/>
      <c r="Z651" s="37"/>
      <c r="AA651" s="37"/>
      <c r="AB651" s="37"/>
      <c r="AC651" s="37"/>
      <c r="AD651" s="38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9">
        <f t="shared" ref="AP651:AP656" si="302">SUM(H651:AO651)</f>
        <v>85</v>
      </c>
      <c r="AQ651" s="1"/>
    </row>
    <row r="652" ht="15.0" customHeight="1">
      <c r="A652" s="1"/>
      <c r="B652" s="35"/>
      <c r="C652" s="84"/>
      <c r="D652" s="35"/>
      <c r="E652" s="33" t="s">
        <v>231</v>
      </c>
      <c r="F652" s="36" t="s">
        <v>67</v>
      </c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8"/>
      <c r="T652" s="37"/>
      <c r="U652" s="38"/>
      <c r="V652" s="37"/>
      <c r="W652" s="37"/>
      <c r="X652" s="37"/>
      <c r="Y652" s="37"/>
      <c r="Z652" s="37"/>
      <c r="AA652" s="37"/>
      <c r="AB652" s="37"/>
      <c r="AC652" s="37"/>
      <c r="AD652" s="38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9">
        <f t="shared" si="302"/>
        <v>0</v>
      </c>
      <c r="AQ652" s="1"/>
    </row>
    <row r="653" ht="15.0" customHeight="1">
      <c r="A653" s="1"/>
      <c r="B653" s="35"/>
      <c r="C653" s="84"/>
      <c r="D653" s="35"/>
      <c r="E653" s="33" t="s">
        <v>38</v>
      </c>
      <c r="F653" s="36" t="s">
        <v>67</v>
      </c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8"/>
      <c r="T653" s="37"/>
      <c r="U653" s="38"/>
      <c r="V653" s="37"/>
      <c r="W653" s="37"/>
      <c r="X653" s="37"/>
      <c r="Y653" s="37"/>
      <c r="Z653" s="37"/>
      <c r="AA653" s="37"/>
      <c r="AB653" s="37"/>
      <c r="AC653" s="37"/>
      <c r="AD653" s="38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9">
        <f t="shared" si="302"/>
        <v>0</v>
      </c>
      <c r="AQ653" s="1"/>
    </row>
    <row r="654" ht="15.0" customHeight="1">
      <c r="A654" s="51"/>
      <c r="B654" s="35"/>
      <c r="C654" s="84"/>
      <c r="D654" s="35"/>
      <c r="E654" s="47"/>
      <c r="F654" s="40" t="s">
        <v>26</v>
      </c>
      <c r="G654" s="49"/>
      <c r="H654" s="48"/>
      <c r="I654" s="48">
        <v>20.0</v>
      </c>
      <c r="J654" s="48"/>
      <c r="K654" s="48"/>
      <c r="L654" s="48"/>
      <c r="M654" s="48">
        <v>10.0</v>
      </c>
      <c r="N654" s="48"/>
      <c r="O654" s="48"/>
      <c r="P654" s="48"/>
      <c r="Q654" s="48"/>
      <c r="R654" s="48"/>
      <c r="S654" s="48">
        <v>30.0</v>
      </c>
      <c r="T654" s="48"/>
      <c r="U654" s="48"/>
      <c r="V654" s="48"/>
      <c r="W654" s="48"/>
      <c r="X654" s="48"/>
      <c r="Y654" s="48"/>
      <c r="Z654" s="48"/>
      <c r="AA654" s="48">
        <v>41.0</v>
      </c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50">
        <f t="shared" si="302"/>
        <v>101</v>
      </c>
      <c r="AQ654" s="51"/>
    </row>
    <row r="655" ht="15.0" customHeight="1">
      <c r="A655" s="1"/>
      <c r="B655" s="35"/>
      <c r="C655" s="84"/>
      <c r="D655" s="35"/>
      <c r="E655" s="33" t="s">
        <v>27</v>
      </c>
      <c r="F655" s="41" t="s">
        <v>28</v>
      </c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8"/>
      <c r="T655" s="37"/>
      <c r="U655" s="38"/>
      <c r="V655" s="37"/>
      <c r="W655" s="37"/>
      <c r="X655" s="37"/>
      <c r="Y655" s="37"/>
      <c r="Z655" s="37"/>
      <c r="AA655" s="37"/>
      <c r="AB655" s="37"/>
      <c r="AC655" s="37"/>
      <c r="AD655" s="38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9">
        <f t="shared" si="302"/>
        <v>0</v>
      </c>
      <c r="AQ655" s="1"/>
    </row>
    <row r="656" ht="15.0" customHeight="1">
      <c r="A656" s="1"/>
      <c r="B656" s="35"/>
      <c r="C656" s="84"/>
      <c r="D656" s="35"/>
      <c r="E656" s="33"/>
      <c r="F656" s="41" t="s">
        <v>29</v>
      </c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8"/>
      <c r="T656" s="37"/>
      <c r="U656" s="38"/>
      <c r="V656" s="37"/>
      <c r="W656" s="37"/>
      <c r="X656" s="37"/>
      <c r="Y656" s="37"/>
      <c r="Z656" s="37"/>
      <c r="AA656" s="37"/>
      <c r="AB656" s="37"/>
      <c r="AC656" s="37"/>
      <c r="AD656" s="38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9">
        <f t="shared" si="302"/>
        <v>0</v>
      </c>
      <c r="AQ656" s="1"/>
    </row>
    <row r="657" ht="15.0" customHeight="1">
      <c r="A657" s="1"/>
      <c r="B657" s="42"/>
      <c r="C657" s="18"/>
      <c r="D657" s="42"/>
      <c r="E657" s="52"/>
      <c r="F657" s="43" t="s">
        <v>30</v>
      </c>
      <c r="G657" s="44"/>
      <c r="H657" s="34">
        <f t="shared" ref="H657:AN657" si="303">H650+H651+H652+H653-H654+H655-H656</f>
        <v>20</v>
      </c>
      <c r="I657" s="34">
        <f t="shared" si="303"/>
        <v>10</v>
      </c>
      <c r="J657" s="34">
        <f t="shared" si="303"/>
        <v>10</v>
      </c>
      <c r="K657" s="34">
        <f t="shared" si="303"/>
        <v>10</v>
      </c>
      <c r="L657" s="34">
        <f t="shared" si="303"/>
        <v>40</v>
      </c>
      <c r="M657" s="34">
        <f t="shared" si="303"/>
        <v>30</v>
      </c>
      <c r="N657" s="34">
        <f t="shared" si="303"/>
        <v>30</v>
      </c>
      <c r="O657" s="34">
        <f t="shared" si="303"/>
        <v>30</v>
      </c>
      <c r="P657" s="34">
        <f t="shared" si="303"/>
        <v>30</v>
      </c>
      <c r="Q657" s="34">
        <f t="shared" si="303"/>
        <v>71</v>
      </c>
      <c r="R657" s="34">
        <f t="shared" si="303"/>
        <v>75</v>
      </c>
      <c r="S657" s="34">
        <f t="shared" si="303"/>
        <v>45</v>
      </c>
      <c r="T657" s="34">
        <f t="shared" si="303"/>
        <v>45</v>
      </c>
      <c r="U657" s="34">
        <f t="shared" si="303"/>
        <v>45</v>
      </c>
      <c r="V657" s="34">
        <f t="shared" si="303"/>
        <v>45</v>
      </c>
      <c r="W657" s="34">
        <f t="shared" si="303"/>
        <v>45</v>
      </c>
      <c r="X657" s="34">
        <f t="shared" si="303"/>
        <v>45</v>
      </c>
      <c r="Y657" s="34">
        <f t="shared" si="303"/>
        <v>45</v>
      </c>
      <c r="Z657" s="34">
        <f t="shared" si="303"/>
        <v>45</v>
      </c>
      <c r="AA657" s="34">
        <f t="shared" si="303"/>
        <v>4</v>
      </c>
      <c r="AB657" s="34">
        <f t="shared" si="303"/>
        <v>4</v>
      </c>
      <c r="AC657" s="34">
        <f t="shared" si="303"/>
        <v>4</v>
      </c>
      <c r="AD657" s="34">
        <f t="shared" si="303"/>
        <v>4</v>
      </c>
      <c r="AE657" s="34">
        <f t="shared" si="303"/>
        <v>4</v>
      </c>
      <c r="AF657" s="34">
        <f t="shared" si="303"/>
        <v>4</v>
      </c>
      <c r="AG657" s="34">
        <f t="shared" si="303"/>
        <v>4</v>
      </c>
      <c r="AH657" s="34">
        <f t="shared" si="303"/>
        <v>4</v>
      </c>
      <c r="AI657" s="34">
        <f t="shared" si="303"/>
        <v>4</v>
      </c>
      <c r="AJ657" s="34">
        <f t="shared" si="303"/>
        <v>4</v>
      </c>
      <c r="AK657" s="34">
        <f t="shared" si="303"/>
        <v>4</v>
      </c>
      <c r="AL657" s="34">
        <f t="shared" si="303"/>
        <v>4</v>
      </c>
      <c r="AM657" s="34">
        <f t="shared" si="303"/>
        <v>4</v>
      </c>
      <c r="AN657" s="34">
        <f t="shared" si="303"/>
        <v>4</v>
      </c>
      <c r="AO657" s="34"/>
      <c r="AP657" s="45">
        <f>AO650</f>
        <v>4</v>
      </c>
      <c r="AQ657" s="68"/>
    </row>
    <row r="658" ht="15.0" customHeight="1">
      <c r="A658" s="1"/>
      <c r="B658" s="32"/>
      <c r="C658" s="12" t="s">
        <v>238</v>
      </c>
      <c r="D658" s="32" t="s">
        <v>237</v>
      </c>
      <c r="E658" s="13"/>
      <c r="F658" s="14" t="s">
        <v>23</v>
      </c>
      <c r="G658" s="44"/>
      <c r="H658" s="34">
        <v>0.0</v>
      </c>
      <c r="I658" s="34">
        <f t="shared" ref="I658:AO658" si="304">H665</f>
        <v>0</v>
      </c>
      <c r="J658" s="34">
        <f t="shared" si="304"/>
        <v>0</v>
      </c>
      <c r="K658" s="34">
        <f t="shared" si="304"/>
        <v>0</v>
      </c>
      <c r="L658" s="34">
        <f t="shared" si="304"/>
        <v>0</v>
      </c>
      <c r="M658" s="34">
        <f t="shared" si="304"/>
        <v>0</v>
      </c>
      <c r="N658" s="34">
        <f t="shared" si="304"/>
        <v>0</v>
      </c>
      <c r="O658" s="34">
        <f t="shared" si="304"/>
        <v>0</v>
      </c>
      <c r="P658" s="34">
        <f t="shared" si="304"/>
        <v>0</v>
      </c>
      <c r="Q658" s="34">
        <f t="shared" si="304"/>
        <v>0</v>
      </c>
      <c r="R658" s="34">
        <f t="shared" si="304"/>
        <v>0</v>
      </c>
      <c r="S658" s="34">
        <f t="shared" si="304"/>
        <v>0</v>
      </c>
      <c r="T658" s="34">
        <f t="shared" si="304"/>
        <v>0</v>
      </c>
      <c r="U658" s="34">
        <f t="shared" si="304"/>
        <v>0</v>
      </c>
      <c r="V658" s="34">
        <f t="shared" si="304"/>
        <v>0</v>
      </c>
      <c r="W658" s="34">
        <f t="shared" si="304"/>
        <v>0</v>
      </c>
      <c r="X658" s="34">
        <f t="shared" si="304"/>
        <v>0</v>
      </c>
      <c r="Y658" s="34">
        <f t="shared" si="304"/>
        <v>0</v>
      </c>
      <c r="Z658" s="34">
        <f t="shared" si="304"/>
        <v>0</v>
      </c>
      <c r="AA658" s="34">
        <f t="shared" si="304"/>
        <v>0</v>
      </c>
      <c r="AB658" s="34">
        <f t="shared" si="304"/>
        <v>0</v>
      </c>
      <c r="AC658" s="34">
        <f t="shared" si="304"/>
        <v>0</v>
      </c>
      <c r="AD658" s="34">
        <f t="shared" si="304"/>
        <v>0</v>
      </c>
      <c r="AE658" s="34">
        <f t="shared" si="304"/>
        <v>0</v>
      </c>
      <c r="AF658" s="34">
        <f t="shared" si="304"/>
        <v>0</v>
      </c>
      <c r="AG658" s="34">
        <f t="shared" si="304"/>
        <v>0</v>
      </c>
      <c r="AH658" s="34">
        <f t="shared" si="304"/>
        <v>0</v>
      </c>
      <c r="AI658" s="34">
        <f t="shared" si="304"/>
        <v>0</v>
      </c>
      <c r="AJ658" s="34">
        <f t="shared" si="304"/>
        <v>0</v>
      </c>
      <c r="AK658" s="34">
        <f t="shared" si="304"/>
        <v>0</v>
      </c>
      <c r="AL658" s="34">
        <f t="shared" si="304"/>
        <v>0</v>
      </c>
      <c r="AM658" s="34">
        <f t="shared" si="304"/>
        <v>0</v>
      </c>
      <c r="AN658" s="34">
        <f t="shared" si="304"/>
        <v>0</v>
      </c>
      <c r="AO658" s="34">
        <f t="shared" si="304"/>
        <v>0</v>
      </c>
      <c r="AP658" s="54"/>
      <c r="AQ658" s="68"/>
    </row>
    <row r="659" ht="15.0" customHeight="1">
      <c r="A659" s="1"/>
      <c r="B659" s="35"/>
      <c r="C659" s="84"/>
      <c r="D659" s="35"/>
      <c r="E659" s="33" t="s">
        <v>24</v>
      </c>
      <c r="F659" s="36" t="s">
        <v>25</v>
      </c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8"/>
      <c r="T659" s="37"/>
      <c r="U659" s="38"/>
      <c r="V659" s="37"/>
      <c r="W659" s="37"/>
      <c r="X659" s="37"/>
      <c r="Y659" s="37"/>
      <c r="Z659" s="37"/>
      <c r="AA659" s="37"/>
      <c r="AB659" s="37"/>
      <c r="AC659" s="37"/>
      <c r="AD659" s="38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9">
        <f t="shared" ref="AP659:AP664" si="305">SUM(H659:AO659)</f>
        <v>0</v>
      </c>
      <c r="AQ659" s="68"/>
    </row>
    <row r="660" ht="15.0" customHeight="1">
      <c r="A660" s="1"/>
      <c r="B660" s="35"/>
      <c r="C660" s="84"/>
      <c r="D660" s="35"/>
      <c r="E660" s="33" t="s">
        <v>239</v>
      </c>
      <c r="F660" s="36" t="s">
        <v>67</v>
      </c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8"/>
      <c r="T660" s="37"/>
      <c r="U660" s="38"/>
      <c r="V660" s="37"/>
      <c r="W660" s="37"/>
      <c r="X660" s="37"/>
      <c r="Y660" s="37"/>
      <c r="Z660" s="37"/>
      <c r="AA660" s="37"/>
      <c r="AB660" s="37"/>
      <c r="AC660" s="37"/>
      <c r="AD660" s="38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9">
        <f t="shared" si="305"/>
        <v>0</v>
      </c>
      <c r="AQ660" s="68"/>
    </row>
    <row r="661" ht="15.0" customHeight="1">
      <c r="A661" s="1"/>
      <c r="B661" s="35"/>
      <c r="C661" s="84"/>
      <c r="D661" s="35"/>
      <c r="E661" s="33" t="s">
        <v>240</v>
      </c>
      <c r="F661" s="36" t="s">
        <v>67</v>
      </c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8"/>
      <c r="T661" s="37"/>
      <c r="U661" s="38"/>
      <c r="V661" s="37"/>
      <c r="W661" s="37"/>
      <c r="X661" s="37"/>
      <c r="Y661" s="37"/>
      <c r="Z661" s="37"/>
      <c r="AA661" s="37"/>
      <c r="AB661" s="37"/>
      <c r="AC661" s="37"/>
      <c r="AD661" s="38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9">
        <f t="shared" si="305"/>
        <v>0</v>
      </c>
      <c r="AQ661" s="68"/>
    </row>
    <row r="662" ht="15.0" customHeight="1">
      <c r="A662" s="1"/>
      <c r="B662" s="35"/>
      <c r="C662" s="84"/>
      <c r="D662" s="35"/>
      <c r="E662" s="33"/>
      <c r="F662" s="40" t="s">
        <v>26</v>
      </c>
      <c r="G662" s="37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9">
        <f t="shared" si="305"/>
        <v>0</v>
      </c>
      <c r="AQ662" s="68"/>
    </row>
    <row r="663" ht="15.0" customHeight="1">
      <c r="A663" s="1"/>
      <c r="B663" s="35"/>
      <c r="C663" s="84"/>
      <c r="D663" s="35"/>
      <c r="E663" s="33" t="s">
        <v>27</v>
      </c>
      <c r="F663" s="41" t="s">
        <v>28</v>
      </c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8"/>
      <c r="T663" s="37"/>
      <c r="U663" s="38"/>
      <c r="V663" s="37"/>
      <c r="W663" s="37"/>
      <c r="X663" s="37"/>
      <c r="Y663" s="37"/>
      <c r="Z663" s="37"/>
      <c r="AA663" s="37"/>
      <c r="AB663" s="37"/>
      <c r="AC663" s="37"/>
      <c r="AD663" s="38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9">
        <f t="shared" si="305"/>
        <v>0</v>
      </c>
      <c r="AQ663" s="68"/>
    </row>
    <row r="664" ht="15.0" customHeight="1">
      <c r="A664" s="1"/>
      <c r="B664" s="35"/>
      <c r="C664" s="84"/>
      <c r="D664" s="35"/>
      <c r="E664" s="33"/>
      <c r="F664" s="41" t="s">
        <v>29</v>
      </c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8"/>
      <c r="T664" s="37"/>
      <c r="U664" s="38"/>
      <c r="V664" s="37"/>
      <c r="W664" s="37"/>
      <c r="X664" s="37"/>
      <c r="Y664" s="37"/>
      <c r="Z664" s="37"/>
      <c r="AA664" s="37"/>
      <c r="AB664" s="37"/>
      <c r="AC664" s="37"/>
      <c r="AD664" s="38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9">
        <f t="shared" si="305"/>
        <v>0</v>
      </c>
      <c r="AQ664" s="68"/>
    </row>
    <row r="665" ht="15.0" customHeight="1">
      <c r="A665" s="1"/>
      <c r="B665" s="42"/>
      <c r="C665" s="18"/>
      <c r="D665" s="42"/>
      <c r="E665" s="52"/>
      <c r="F665" s="43" t="s">
        <v>30</v>
      </c>
      <c r="G665" s="44"/>
      <c r="H665" s="34">
        <f t="shared" ref="H665:AN665" si="306">H658+H659+H660+H661-H662+H663-H664</f>
        <v>0</v>
      </c>
      <c r="I665" s="34">
        <f t="shared" si="306"/>
        <v>0</v>
      </c>
      <c r="J665" s="34">
        <f t="shared" si="306"/>
        <v>0</v>
      </c>
      <c r="K665" s="34">
        <f t="shared" si="306"/>
        <v>0</v>
      </c>
      <c r="L665" s="34">
        <f t="shared" si="306"/>
        <v>0</v>
      </c>
      <c r="M665" s="34">
        <f t="shared" si="306"/>
        <v>0</v>
      </c>
      <c r="N665" s="34">
        <f t="shared" si="306"/>
        <v>0</v>
      </c>
      <c r="O665" s="34">
        <f t="shared" si="306"/>
        <v>0</v>
      </c>
      <c r="P665" s="34">
        <f t="shared" si="306"/>
        <v>0</v>
      </c>
      <c r="Q665" s="34">
        <f t="shared" si="306"/>
        <v>0</v>
      </c>
      <c r="R665" s="34">
        <f t="shared" si="306"/>
        <v>0</v>
      </c>
      <c r="S665" s="34">
        <f t="shared" si="306"/>
        <v>0</v>
      </c>
      <c r="T665" s="34">
        <f t="shared" si="306"/>
        <v>0</v>
      </c>
      <c r="U665" s="34">
        <f t="shared" si="306"/>
        <v>0</v>
      </c>
      <c r="V665" s="34">
        <f t="shared" si="306"/>
        <v>0</v>
      </c>
      <c r="W665" s="34">
        <f t="shared" si="306"/>
        <v>0</v>
      </c>
      <c r="X665" s="34">
        <f t="shared" si="306"/>
        <v>0</v>
      </c>
      <c r="Y665" s="34">
        <f t="shared" si="306"/>
        <v>0</v>
      </c>
      <c r="Z665" s="34">
        <f t="shared" si="306"/>
        <v>0</v>
      </c>
      <c r="AA665" s="34">
        <f t="shared" si="306"/>
        <v>0</v>
      </c>
      <c r="AB665" s="34">
        <f t="shared" si="306"/>
        <v>0</v>
      </c>
      <c r="AC665" s="34">
        <f t="shared" si="306"/>
        <v>0</v>
      </c>
      <c r="AD665" s="34">
        <f t="shared" si="306"/>
        <v>0</v>
      </c>
      <c r="AE665" s="34">
        <f t="shared" si="306"/>
        <v>0</v>
      </c>
      <c r="AF665" s="34">
        <f t="shared" si="306"/>
        <v>0</v>
      </c>
      <c r="AG665" s="34">
        <f t="shared" si="306"/>
        <v>0</v>
      </c>
      <c r="AH665" s="34">
        <f t="shared" si="306"/>
        <v>0</v>
      </c>
      <c r="AI665" s="34">
        <f t="shared" si="306"/>
        <v>0</v>
      </c>
      <c r="AJ665" s="34">
        <f t="shared" si="306"/>
        <v>0</v>
      </c>
      <c r="AK665" s="34">
        <f t="shared" si="306"/>
        <v>0</v>
      </c>
      <c r="AL665" s="34">
        <f t="shared" si="306"/>
        <v>0</v>
      </c>
      <c r="AM665" s="34">
        <f t="shared" si="306"/>
        <v>0</v>
      </c>
      <c r="AN665" s="34">
        <f t="shared" si="306"/>
        <v>0</v>
      </c>
      <c r="AO665" s="34"/>
      <c r="AP665" s="45">
        <f>AO658</f>
        <v>0</v>
      </c>
      <c r="AQ665" s="68"/>
    </row>
    <row r="666" ht="15.75" customHeight="1">
      <c r="A666" s="1"/>
      <c r="B666" s="32"/>
      <c r="C666" s="12" t="s">
        <v>241</v>
      </c>
      <c r="D666" s="32" t="s">
        <v>242</v>
      </c>
      <c r="E666" s="13"/>
      <c r="F666" s="14" t="s">
        <v>23</v>
      </c>
      <c r="G666" s="44"/>
      <c r="H666" s="34">
        <v>0.0</v>
      </c>
      <c r="I666" s="34">
        <f t="shared" ref="I666:AO666" si="307">H673</f>
        <v>0</v>
      </c>
      <c r="J666" s="34">
        <f t="shared" si="307"/>
        <v>0</v>
      </c>
      <c r="K666" s="34">
        <f t="shared" si="307"/>
        <v>0</v>
      </c>
      <c r="L666" s="34">
        <f t="shared" si="307"/>
        <v>0</v>
      </c>
      <c r="M666" s="34">
        <f t="shared" si="307"/>
        <v>0</v>
      </c>
      <c r="N666" s="34">
        <f t="shared" si="307"/>
        <v>0</v>
      </c>
      <c r="O666" s="34">
        <f t="shared" si="307"/>
        <v>0</v>
      </c>
      <c r="P666" s="34">
        <f t="shared" si="307"/>
        <v>0</v>
      </c>
      <c r="Q666" s="34">
        <f t="shared" si="307"/>
        <v>0</v>
      </c>
      <c r="R666" s="34">
        <f t="shared" si="307"/>
        <v>0</v>
      </c>
      <c r="S666" s="34">
        <f t="shared" si="307"/>
        <v>0</v>
      </c>
      <c r="T666" s="34">
        <f t="shared" si="307"/>
        <v>0</v>
      </c>
      <c r="U666" s="34">
        <f t="shared" si="307"/>
        <v>0</v>
      </c>
      <c r="V666" s="34">
        <f t="shared" si="307"/>
        <v>0</v>
      </c>
      <c r="W666" s="34">
        <f t="shared" si="307"/>
        <v>0</v>
      </c>
      <c r="X666" s="34">
        <f t="shared" si="307"/>
        <v>0</v>
      </c>
      <c r="Y666" s="34">
        <f t="shared" si="307"/>
        <v>0</v>
      </c>
      <c r="Z666" s="34">
        <f t="shared" si="307"/>
        <v>0</v>
      </c>
      <c r="AA666" s="34">
        <f t="shared" si="307"/>
        <v>0</v>
      </c>
      <c r="AB666" s="34">
        <f t="shared" si="307"/>
        <v>0</v>
      </c>
      <c r="AC666" s="34">
        <f t="shared" si="307"/>
        <v>0</v>
      </c>
      <c r="AD666" s="34">
        <f t="shared" si="307"/>
        <v>0</v>
      </c>
      <c r="AE666" s="34">
        <f t="shared" si="307"/>
        <v>0</v>
      </c>
      <c r="AF666" s="34">
        <f t="shared" si="307"/>
        <v>0</v>
      </c>
      <c r="AG666" s="34">
        <f t="shared" si="307"/>
        <v>0</v>
      </c>
      <c r="AH666" s="34">
        <f t="shared" si="307"/>
        <v>0</v>
      </c>
      <c r="AI666" s="34">
        <f t="shared" si="307"/>
        <v>0</v>
      </c>
      <c r="AJ666" s="34">
        <f t="shared" si="307"/>
        <v>0</v>
      </c>
      <c r="AK666" s="34">
        <f t="shared" si="307"/>
        <v>0</v>
      </c>
      <c r="AL666" s="34">
        <f t="shared" si="307"/>
        <v>0</v>
      </c>
      <c r="AM666" s="34">
        <f t="shared" si="307"/>
        <v>0</v>
      </c>
      <c r="AN666" s="34">
        <f t="shared" si="307"/>
        <v>0</v>
      </c>
      <c r="AO666" s="34">
        <f t="shared" si="307"/>
        <v>0</v>
      </c>
      <c r="AP666" s="54"/>
      <c r="AQ666" s="1"/>
    </row>
    <row r="667" ht="15.0" customHeight="1">
      <c r="A667" s="1"/>
      <c r="B667" s="35"/>
      <c r="C667" s="84"/>
      <c r="D667" s="35"/>
      <c r="E667" s="33" t="s">
        <v>24</v>
      </c>
      <c r="F667" s="36" t="s">
        <v>25</v>
      </c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8"/>
      <c r="T667" s="37"/>
      <c r="U667" s="38"/>
      <c r="V667" s="37"/>
      <c r="W667" s="37"/>
      <c r="X667" s="37"/>
      <c r="Y667" s="37"/>
      <c r="Z667" s="37"/>
      <c r="AA667" s="37"/>
      <c r="AB667" s="37"/>
      <c r="AC667" s="37"/>
      <c r="AD667" s="38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9">
        <f t="shared" ref="AP667:AP672" si="308">SUM(H667:AO667)</f>
        <v>0</v>
      </c>
      <c r="AQ667" s="1"/>
    </row>
    <row r="668" ht="15.0" customHeight="1">
      <c r="A668" s="1"/>
      <c r="B668" s="35"/>
      <c r="C668" s="84"/>
      <c r="D668" s="35"/>
      <c r="E668" s="33" t="s">
        <v>243</v>
      </c>
      <c r="F668" s="36" t="s">
        <v>67</v>
      </c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8"/>
      <c r="T668" s="37"/>
      <c r="U668" s="38"/>
      <c r="V668" s="37"/>
      <c r="W668" s="37"/>
      <c r="X668" s="37"/>
      <c r="Y668" s="37"/>
      <c r="Z668" s="37"/>
      <c r="AA668" s="37"/>
      <c r="AB668" s="37"/>
      <c r="AC668" s="37"/>
      <c r="AD668" s="38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9">
        <f t="shared" si="308"/>
        <v>0</v>
      </c>
      <c r="AQ668" s="1"/>
    </row>
    <row r="669" ht="15.0" customHeight="1">
      <c r="A669" s="1"/>
      <c r="B669" s="35"/>
      <c r="C669" s="84"/>
      <c r="D669" s="35"/>
      <c r="E669" s="33"/>
      <c r="F669" s="36" t="s">
        <v>94</v>
      </c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8"/>
      <c r="T669" s="37"/>
      <c r="U669" s="38"/>
      <c r="V669" s="37"/>
      <c r="W669" s="37"/>
      <c r="X669" s="37"/>
      <c r="Y669" s="37"/>
      <c r="Z669" s="37"/>
      <c r="AA669" s="37"/>
      <c r="AB669" s="37"/>
      <c r="AC669" s="37"/>
      <c r="AD669" s="38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9">
        <f t="shared" si="308"/>
        <v>0</v>
      </c>
      <c r="AQ669" s="1"/>
    </row>
    <row r="670" ht="15.0" customHeight="1">
      <c r="A670" s="51"/>
      <c r="B670" s="35"/>
      <c r="C670" s="84"/>
      <c r="D670" s="35"/>
      <c r="E670" s="47"/>
      <c r="F670" s="40" t="s">
        <v>26</v>
      </c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8"/>
      <c r="T670" s="49"/>
      <c r="U670" s="48"/>
      <c r="V670" s="49"/>
      <c r="W670" s="49"/>
      <c r="X670" s="49"/>
      <c r="Y670" s="49"/>
      <c r="Z670" s="49"/>
      <c r="AA670" s="49"/>
      <c r="AB670" s="49"/>
      <c r="AC670" s="49"/>
      <c r="AD670" s="48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50">
        <f t="shared" si="308"/>
        <v>0</v>
      </c>
      <c r="AQ670" s="51"/>
    </row>
    <row r="671" ht="15.0" customHeight="1">
      <c r="A671" s="1"/>
      <c r="B671" s="35"/>
      <c r="C671" s="84"/>
      <c r="D671" s="35"/>
      <c r="E671" s="33" t="s">
        <v>27</v>
      </c>
      <c r="F671" s="41" t="s">
        <v>28</v>
      </c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8"/>
      <c r="T671" s="37"/>
      <c r="U671" s="38"/>
      <c r="V671" s="37"/>
      <c r="W671" s="37"/>
      <c r="X671" s="37"/>
      <c r="Y671" s="37"/>
      <c r="Z671" s="37"/>
      <c r="AA671" s="37"/>
      <c r="AB671" s="37"/>
      <c r="AC671" s="37"/>
      <c r="AD671" s="38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9">
        <f t="shared" si="308"/>
        <v>0</v>
      </c>
      <c r="AQ671" s="1"/>
    </row>
    <row r="672" ht="15.0" customHeight="1">
      <c r="A672" s="1"/>
      <c r="B672" s="35"/>
      <c r="C672" s="84"/>
      <c r="D672" s="35"/>
      <c r="E672" s="33"/>
      <c r="F672" s="41" t="s">
        <v>29</v>
      </c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8"/>
      <c r="T672" s="37"/>
      <c r="U672" s="38"/>
      <c r="V672" s="37"/>
      <c r="W672" s="37"/>
      <c r="X672" s="37"/>
      <c r="Y672" s="37"/>
      <c r="Z672" s="37"/>
      <c r="AA672" s="37"/>
      <c r="AB672" s="37"/>
      <c r="AC672" s="37"/>
      <c r="AD672" s="38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9">
        <f t="shared" si="308"/>
        <v>0</v>
      </c>
      <c r="AQ672" s="1"/>
    </row>
    <row r="673" ht="15.0" customHeight="1">
      <c r="A673" s="1"/>
      <c r="B673" s="42"/>
      <c r="C673" s="18"/>
      <c r="D673" s="42"/>
      <c r="E673" s="52"/>
      <c r="F673" s="43" t="s">
        <v>30</v>
      </c>
      <c r="G673" s="44"/>
      <c r="H673" s="34">
        <f t="shared" ref="H673:AN673" si="309">H666+H667+H668+H669-H670+H671-H672</f>
        <v>0</v>
      </c>
      <c r="I673" s="34">
        <f t="shared" si="309"/>
        <v>0</v>
      </c>
      <c r="J673" s="34">
        <f t="shared" si="309"/>
        <v>0</v>
      </c>
      <c r="K673" s="34">
        <f t="shared" si="309"/>
        <v>0</v>
      </c>
      <c r="L673" s="34">
        <f t="shared" si="309"/>
        <v>0</v>
      </c>
      <c r="M673" s="34">
        <f t="shared" si="309"/>
        <v>0</v>
      </c>
      <c r="N673" s="34">
        <f t="shared" si="309"/>
        <v>0</v>
      </c>
      <c r="O673" s="34">
        <f t="shared" si="309"/>
        <v>0</v>
      </c>
      <c r="P673" s="34">
        <f t="shared" si="309"/>
        <v>0</v>
      </c>
      <c r="Q673" s="34">
        <f t="shared" si="309"/>
        <v>0</v>
      </c>
      <c r="R673" s="34">
        <f t="shared" si="309"/>
        <v>0</v>
      </c>
      <c r="S673" s="34">
        <f t="shared" si="309"/>
        <v>0</v>
      </c>
      <c r="T673" s="34">
        <f t="shared" si="309"/>
        <v>0</v>
      </c>
      <c r="U673" s="34">
        <f t="shared" si="309"/>
        <v>0</v>
      </c>
      <c r="V673" s="34">
        <f t="shared" si="309"/>
        <v>0</v>
      </c>
      <c r="W673" s="34">
        <f t="shared" si="309"/>
        <v>0</v>
      </c>
      <c r="X673" s="34">
        <f t="shared" si="309"/>
        <v>0</v>
      </c>
      <c r="Y673" s="34">
        <f t="shared" si="309"/>
        <v>0</v>
      </c>
      <c r="Z673" s="34">
        <f t="shared" si="309"/>
        <v>0</v>
      </c>
      <c r="AA673" s="34">
        <f t="shared" si="309"/>
        <v>0</v>
      </c>
      <c r="AB673" s="34">
        <f t="shared" si="309"/>
        <v>0</v>
      </c>
      <c r="AC673" s="34">
        <f t="shared" si="309"/>
        <v>0</v>
      </c>
      <c r="AD673" s="34">
        <f t="shared" si="309"/>
        <v>0</v>
      </c>
      <c r="AE673" s="34">
        <f t="shared" si="309"/>
        <v>0</v>
      </c>
      <c r="AF673" s="34">
        <f t="shared" si="309"/>
        <v>0</v>
      </c>
      <c r="AG673" s="34">
        <f t="shared" si="309"/>
        <v>0</v>
      </c>
      <c r="AH673" s="34">
        <f t="shared" si="309"/>
        <v>0</v>
      </c>
      <c r="AI673" s="34">
        <f t="shared" si="309"/>
        <v>0</v>
      </c>
      <c r="AJ673" s="34">
        <f t="shared" si="309"/>
        <v>0</v>
      </c>
      <c r="AK673" s="34">
        <f t="shared" si="309"/>
        <v>0</v>
      </c>
      <c r="AL673" s="34">
        <f t="shared" si="309"/>
        <v>0</v>
      </c>
      <c r="AM673" s="34">
        <f t="shared" si="309"/>
        <v>0</v>
      </c>
      <c r="AN673" s="34">
        <f t="shared" si="309"/>
        <v>0</v>
      </c>
      <c r="AO673" s="34"/>
      <c r="AP673" s="75">
        <f>AO666</f>
        <v>0</v>
      </c>
      <c r="AQ673" s="1"/>
    </row>
    <row r="674" ht="15.75" customHeight="1">
      <c r="A674" s="1"/>
      <c r="B674" s="32"/>
      <c r="C674" s="12" t="s">
        <v>244</v>
      </c>
      <c r="D674" s="32" t="s">
        <v>245</v>
      </c>
      <c r="E674" s="13"/>
      <c r="F674" s="14" t="s">
        <v>23</v>
      </c>
      <c r="G674" s="44"/>
      <c r="H674" s="21">
        <v>0.0</v>
      </c>
      <c r="I674" s="21">
        <f t="shared" ref="I674:AO674" si="310">H682</f>
        <v>0</v>
      </c>
      <c r="J674" s="21">
        <f t="shared" si="310"/>
        <v>0</v>
      </c>
      <c r="K674" s="21">
        <f t="shared" si="310"/>
        <v>0</v>
      </c>
      <c r="L674" s="21">
        <f t="shared" si="310"/>
        <v>0</v>
      </c>
      <c r="M674" s="21">
        <f t="shared" si="310"/>
        <v>0</v>
      </c>
      <c r="N674" s="21">
        <f t="shared" si="310"/>
        <v>0</v>
      </c>
      <c r="O674" s="21">
        <f t="shared" si="310"/>
        <v>0</v>
      </c>
      <c r="P674" s="21">
        <f t="shared" si="310"/>
        <v>0</v>
      </c>
      <c r="Q674" s="21">
        <f t="shared" si="310"/>
        <v>0</v>
      </c>
      <c r="R674" s="21">
        <f t="shared" si="310"/>
        <v>39</v>
      </c>
      <c r="S674" s="21">
        <f t="shared" si="310"/>
        <v>39</v>
      </c>
      <c r="T674" s="21">
        <f t="shared" si="310"/>
        <v>9</v>
      </c>
      <c r="U674" s="21">
        <f t="shared" si="310"/>
        <v>9</v>
      </c>
      <c r="V674" s="21">
        <f t="shared" si="310"/>
        <v>9</v>
      </c>
      <c r="W674" s="21">
        <f t="shared" si="310"/>
        <v>9</v>
      </c>
      <c r="X674" s="21">
        <f t="shared" si="310"/>
        <v>9</v>
      </c>
      <c r="Y674" s="21">
        <f t="shared" si="310"/>
        <v>9</v>
      </c>
      <c r="Z674" s="21">
        <f t="shared" si="310"/>
        <v>9</v>
      </c>
      <c r="AA674" s="21">
        <f t="shared" si="310"/>
        <v>9</v>
      </c>
      <c r="AB674" s="21">
        <f t="shared" si="310"/>
        <v>0</v>
      </c>
      <c r="AC674" s="21">
        <f t="shared" si="310"/>
        <v>0</v>
      </c>
      <c r="AD674" s="21">
        <f t="shared" si="310"/>
        <v>0</v>
      </c>
      <c r="AE674" s="21">
        <f t="shared" si="310"/>
        <v>0</v>
      </c>
      <c r="AF674" s="21">
        <f t="shared" si="310"/>
        <v>0</v>
      </c>
      <c r="AG674" s="21">
        <f t="shared" si="310"/>
        <v>0</v>
      </c>
      <c r="AH674" s="21">
        <f t="shared" si="310"/>
        <v>0</v>
      </c>
      <c r="AI674" s="21">
        <f t="shared" si="310"/>
        <v>0</v>
      </c>
      <c r="AJ674" s="21">
        <f t="shared" si="310"/>
        <v>0</v>
      </c>
      <c r="AK674" s="21">
        <f t="shared" si="310"/>
        <v>0</v>
      </c>
      <c r="AL674" s="21">
        <f t="shared" si="310"/>
        <v>0</v>
      </c>
      <c r="AM674" s="21">
        <f t="shared" si="310"/>
        <v>0</v>
      </c>
      <c r="AN674" s="21">
        <f t="shared" si="310"/>
        <v>0</v>
      </c>
      <c r="AO674" s="21">
        <f t="shared" si="310"/>
        <v>0</v>
      </c>
      <c r="AP674" s="54"/>
      <c r="AQ674" s="1"/>
    </row>
    <row r="675" ht="15.0" customHeight="1">
      <c r="A675" s="1"/>
      <c r="B675" s="35"/>
      <c r="C675" s="84"/>
      <c r="D675" s="35"/>
      <c r="E675" s="33" t="s">
        <v>24</v>
      </c>
      <c r="F675" s="36" t="s">
        <v>25</v>
      </c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>
        <v>39.0</v>
      </c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9">
        <f t="shared" ref="AP675:AP681" si="311">SUM(H675:AO675)</f>
        <v>39</v>
      </c>
      <c r="AQ675" s="1"/>
    </row>
    <row r="676" ht="15.0" customHeight="1">
      <c r="A676" s="1"/>
      <c r="B676" s="35"/>
      <c r="C676" s="84"/>
      <c r="D676" s="35"/>
      <c r="E676" s="33" t="s">
        <v>246</v>
      </c>
      <c r="F676" s="36" t="s">
        <v>67</v>
      </c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8"/>
      <c r="T676" s="37"/>
      <c r="U676" s="38"/>
      <c r="V676" s="37"/>
      <c r="W676" s="37"/>
      <c r="X676" s="37"/>
      <c r="Y676" s="37"/>
      <c r="Z676" s="37"/>
      <c r="AA676" s="37"/>
      <c r="AB676" s="37"/>
      <c r="AC676" s="37"/>
      <c r="AD676" s="38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9">
        <f t="shared" si="311"/>
        <v>0</v>
      </c>
      <c r="AQ676" s="1"/>
    </row>
    <row r="677" ht="15.0" customHeight="1">
      <c r="A677" s="1"/>
      <c r="B677" s="35"/>
      <c r="C677" s="84"/>
      <c r="D677" s="35"/>
      <c r="E677" s="33" t="s">
        <v>247</v>
      </c>
      <c r="F677" s="36" t="s">
        <v>67</v>
      </c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8"/>
      <c r="T677" s="37"/>
      <c r="U677" s="38"/>
      <c r="V677" s="37"/>
      <c r="W677" s="37"/>
      <c r="X677" s="37"/>
      <c r="Y677" s="37"/>
      <c r="Z677" s="37"/>
      <c r="AA677" s="37"/>
      <c r="AB677" s="37"/>
      <c r="AC677" s="37"/>
      <c r="AD677" s="38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9">
        <f t="shared" si="311"/>
        <v>0</v>
      </c>
      <c r="AQ677" s="1"/>
    </row>
    <row r="678" ht="15.0" customHeight="1">
      <c r="A678" s="1"/>
      <c r="B678" s="35"/>
      <c r="C678" s="84"/>
      <c r="D678" s="35"/>
      <c r="E678" s="33" t="s">
        <v>232</v>
      </c>
      <c r="F678" s="36" t="s">
        <v>67</v>
      </c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8"/>
      <c r="T678" s="37"/>
      <c r="U678" s="38"/>
      <c r="V678" s="37"/>
      <c r="W678" s="37"/>
      <c r="X678" s="37"/>
      <c r="Y678" s="37"/>
      <c r="Z678" s="37"/>
      <c r="AA678" s="37"/>
      <c r="AB678" s="37"/>
      <c r="AC678" s="37"/>
      <c r="AD678" s="38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9">
        <f t="shared" si="311"/>
        <v>0</v>
      </c>
      <c r="AQ678" s="1"/>
    </row>
    <row r="679" ht="15.0" customHeight="1">
      <c r="A679" s="51"/>
      <c r="B679" s="35"/>
      <c r="C679" s="84"/>
      <c r="D679" s="35"/>
      <c r="E679" s="47"/>
      <c r="F679" s="40" t="s">
        <v>26</v>
      </c>
      <c r="G679" s="49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>
        <v>30.0</v>
      </c>
      <c r="T679" s="48"/>
      <c r="U679" s="48"/>
      <c r="V679" s="48"/>
      <c r="W679" s="48"/>
      <c r="X679" s="48"/>
      <c r="Y679" s="48"/>
      <c r="Z679" s="48"/>
      <c r="AA679" s="48">
        <v>9.0</v>
      </c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50">
        <f t="shared" si="311"/>
        <v>39</v>
      </c>
      <c r="AQ679" s="51"/>
    </row>
    <row r="680" ht="15.0" customHeight="1">
      <c r="A680" s="1"/>
      <c r="B680" s="35"/>
      <c r="C680" s="84"/>
      <c r="D680" s="35"/>
      <c r="E680" s="33" t="s">
        <v>27</v>
      </c>
      <c r="F680" s="41" t="s">
        <v>28</v>
      </c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8"/>
      <c r="T680" s="37"/>
      <c r="U680" s="38"/>
      <c r="V680" s="37"/>
      <c r="W680" s="37"/>
      <c r="X680" s="37"/>
      <c r="Y680" s="37"/>
      <c r="Z680" s="37"/>
      <c r="AA680" s="37"/>
      <c r="AB680" s="37"/>
      <c r="AC680" s="37"/>
      <c r="AD680" s="38"/>
      <c r="AE680" s="37"/>
      <c r="AF680" s="37"/>
      <c r="AG680" s="37"/>
      <c r="AH680" s="38"/>
      <c r="AI680" s="37"/>
      <c r="AJ680" s="37"/>
      <c r="AK680" s="37"/>
      <c r="AL680" s="37"/>
      <c r="AM680" s="37"/>
      <c r="AN680" s="37"/>
      <c r="AO680" s="37"/>
      <c r="AP680" s="39">
        <f t="shared" si="311"/>
        <v>0</v>
      </c>
      <c r="AQ680" s="1"/>
    </row>
    <row r="681" ht="15.0" customHeight="1">
      <c r="A681" s="1"/>
      <c r="B681" s="35"/>
      <c r="C681" s="84"/>
      <c r="D681" s="35"/>
      <c r="E681" s="33"/>
      <c r="F681" s="41" t="s">
        <v>29</v>
      </c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8"/>
      <c r="T681" s="37"/>
      <c r="U681" s="38"/>
      <c r="V681" s="37"/>
      <c r="W681" s="37"/>
      <c r="X681" s="37"/>
      <c r="Y681" s="37"/>
      <c r="Z681" s="37"/>
      <c r="AA681" s="37"/>
      <c r="AB681" s="37"/>
      <c r="AC681" s="37"/>
      <c r="AD681" s="38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9">
        <f t="shared" si="311"/>
        <v>0</v>
      </c>
      <c r="AQ681" s="1"/>
    </row>
    <row r="682" ht="15.0" customHeight="1">
      <c r="A682" s="1"/>
      <c r="B682" s="42"/>
      <c r="C682" s="18"/>
      <c r="D682" s="42"/>
      <c r="E682" s="52"/>
      <c r="F682" s="43" t="s">
        <v>30</v>
      </c>
      <c r="G682" s="44"/>
      <c r="H682" s="34">
        <f t="shared" ref="H682:AN682" si="312">H674+H675+H676+H677+H678-H679+H680-H681</f>
        <v>0</v>
      </c>
      <c r="I682" s="34">
        <f t="shared" si="312"/>
        <v>0</v>
      </c>
      <c r="J682" s="34">
        <f t="shared" si="312"/>
        <v>0</v>
      </c>
      <c r="K682" s="34">
        <f t="shared" si="312"/>
        <v>0</v>
      </c>
      <c r="L682" s="34">
        <f t="shared" si="312"/>
        <v>0</v>
      </c>
      <c r="M682" s="34">
        <f t="shared" si="312"/>
        <v>0</v>
      </c>
      <c r="N682" s="34">
        <f t="shared" si="312"/>
        <v>0</v>
      </c>
      <c r="O682" s="34">
        <f t="shared" si="312"/>
        <v>0</v>
      </c>
      <c r="P682" s="34">
        <f t="shared" si="312"/>
        <v>0</v>
      </c>
      <c r="Q682" s="34">
        <f t="shared" si="312"/>
        <v>39</v>
      </c>
      <c r="R682" s="34">
        <f t="shared" si="312"/>
        <v>39</v>
      </c>
      <c r="S682" s="34">
        <f t="shared" si="312"/>
        <v>9</v>
      </c>
      <c r="T682" s="34">
        <f t="shared" si="312"/>
        <v>9</v>
      </c>
      <c r="U682" s="34">
        <f t="shared" si="312"/>
        <v>9</v>
      </c>
      <c r="V682" s="34">
        <f t="shared" si="312"/>
        <v>9</v>
      </c>
      <c r="W682" s="34">
        <f t="shared" si="312"/>
        <v>9</v>
      </c>
      <c r="X682" s="34">
        <f t="shared" si="312"/>
        <v>9</v>
      </c>
      <c r="Y682" s="34">
        <f t="shared" si="312"/>
        <v>9</v>
      </c>
      <c r="Z682" s="34">
        <f t="shared" si="312"/>
        <v>9</v>
      </c>
      <c r="AA682" s="34">
        <f t="shared" si="312"/>
        <v>0</v>
      </c>
      <c r="AB682" s="34">
        <f t="shared" si="312"/>
        <v>0</v>
      </c>
      <c r="AC682" s="34">
        <f t="shared" si="312"/>
        <v>0</v>
      </c>
      <c r="AD682" s="34">
        <f t="shared" si="312"/>
        <v>0</v>
      </c>
      <c r="AE682" s="34">
        <f t="shared" si="312"/>
        <v>0</v>
      </c>
      <c r="AF682" s="34">
        <f t="shared" si="312"/>
        <v>0</v>
      </c>
      <c r="AG682" s="34">
        <f t="shared" si="312"/>
        <v>0</v>
      </c>
      <c r="AH682" s="34">
        <f t="shared" si="312"/>
        <v>0</v>
      </c>
      <c r="AI682" s="34">
        <f t="shared" si="312"/>
        <v>0</v>
      </c>
      <c r="AJ682" s="34">
        <f t="shared" si="312"/>
        <v>0</v>
      </c>
      <c r="AK682" s="34">
        <f t="shared" si="312"/>
        <v>0</v>
      </c>
      <c r="AL682" s="34">
        <f t="shared" si="312"/>
        <v>0</v>
      </c>
      <c r="AM682" s="34">
        <f t="shared" si="312"/>
        <v>0</v>
      </c>
      <c r="AN682" s="34">
        <f t="shared" si="312"/>
        <v>0</v>
      </c>
      <c r="AO682" s="34"/>
      <c r="AP682" s="45">
        <f>AO674</f>
        <v>0</v>
      </c>
      <c r="AQ682" s="1"/>
    </row>
    <row r="683" ht="15.0" customHeight="1">
      <c r="A683" s="1"/>
      <c r="B683" s="32"/>
      <c r="C683" s="12" t="s">
        <v>248</v>
      </c>
      <c r="D683" s="32" t="s">
        <v>245</v>
      </c>
      <c r="E683" s="13"/>
      <c r="F683" s="14" t="s">
        <v>23</v>
      </c>
      <c r="G683" s="44"/>
      <c r="H683" s="21">
        <v>0.0</v>
      </c>
      <c r="I683" s="21">
        <f t="shared" ref="I683:AO683" si="313">H690</f>
        <v>0</v>
      </c>
      <c r="J683" s="21">
        <f t="shared" si="313"/>
        <v>0</v>
      </c>
      <c r="K683" s="21">
        <f t="shared" si="313"/>
        <v>0</v>
      </c>
      <c r="L683" s="21">
        <f t="shared" si="313"/>
        <v>0</v>
      </c>
      <c r="M683" s="21">
        <f t="shared" si="313"/>
        <v>0</v>
      </c>
      <c r="N683" s="21">
        <f t="shared" si="313"/>
        <v>0</v>
      </c>
      <c r="O683" s="21">
        <f t="shared" si="313"/>
        <v>0</v>
      </c>
      <c r="P683" s="21">
        <f t="shared" si="313"/>
        <v>0</v>
      </c>
      <c r="Q683" s="21">
        <f t="shared" si="313"/>
        <v>0</v>
      </c>
      <c r="R683" s="21">
        <f t="shared" si="313"/>
        <v>0</v>
      </c>
      <c r="S683" s="21">
        <f t="shared" si="313"/>
        <v>0</v>
      </c>
      <c r="T683" s="21">
        <f t="shared" si="313"/>
        <v>0</v>
      </c>
      <c r="U683" s="21">
        <f t="shared" si="313"/>
        <v>0</v>
      </c>
      <c r="V683" s="21">
        <f t="shared" si="313"/>
        <v>0</v>
      </c>
      <c r="W683" s="21">
        <f t="shared" si="313"/>
        <v>0</v>
      </c>
      <c r="X683" s="21">
        <f t="shared" si="313"/>
        <v>0</v>
      </c>
      <c r="Y683" s="21">
        <f t="shared" si="313"/>
        <v>0</v>
      </c>
      <c r="Z683" s="21">
        <f t="shared" si="313"/>
        <v>0</v>
      </c>
      <c r="AA683" s="21">
        <f t="shared" si="313"/>
        <v>0</v>
      </c>
      <c r="AB683" s="21">
        <f t="shared" si="313"/>
        <v>0</v>
      </c>
      <c r="AC683" s="21">
        <f t="shared" si="313"/>
        <v>0</v>
      </c>
      <c r="AD683" s="21">
        <f t="shared" si="313"/>
        <v>0</v>
      </c>
      <c r="AE683" s="21">
        <f t="shared" si="313"/>
        <v>0</v>
      </c>
      <c r="AF683" s="21">
        <f t="shared" si="313"/>
        <v>0</v>
      </c>
      <c r="AG683" s="21">
        <f t="shared" si="313"/>
        <v>0</v>
      </c>
      <c r="AH683" s="21">
        <f t="shared" si="313"/>
        <v>0</v>
      </c>
      <c r="AI683" s="21">
        <f t="shared" si="313"/>
        <v>0</v>
      </c>
      <c r="AJ683" s="21">
        <f t="shared" si="313"/>
        <v>0</v>
      </c>
      <c r="AK683" s="21">
        <f t="shared" si="313"/>
        <v>0</v>
      </c>
      <c r="AL683" s="21">
        <f t="shared" si="313"/>
        <v>0</v>
      </c>
      <c r="AM683" s="21">
        <f t="shared" si="313"/>
        <v>0</v>
      </c>
      <c r="AN683" s="21">
        <f t="shared" si="313"/>
        <v>0</v>
      </c>
      <c r="AO683" s="21">
        <f t="shared" si="313"/>
        <v>0</v>
      </c>
      <c r="AP683" s="54"/>
      <c r="AQ683" s="1"/>
    </row>
    <row r="684" ht="15.0" customHeight="1">
      <c r="A684" s="1"/>
      <c r="B684" s="35"/>
      <c r="C684" s="84"/>
      <c r="D684" s="35"/>
      <c r="E684" s="33" t="s">
        <v>24</v>
      </c>
      <c r="F684" s="36" t="s">
        <v>25</v>
      </c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8"/>
      <c r="V684" s="37"/>
      <c r="W684" s="37"/>
      <c r="X684" s="37"/>
      <c r="Y684" s="37"/>
      <c r="Z684" s="37"/>
      <c r="AA684" s="37"/>
      <c r="AB684" s="37"/>
      <c r="AC684" s="37"/>
      <c r="AD684" s="38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9">
        <f t="shared" ref="AP684:AP689" si="314">SUM(H684:AO684)</f>
        <v>0</v>
      </c>
      <c r="AQ684" s="1"/>
    </row>
    <row r="685" ht="15.0" customHeight="1">
      <c r="A685" s="1"/>
      <c r="B685" s="35"/>
      <c r="C685" s="84"/>
      <c r="D685" s="35"/>
      <c r="E685" s="33"/>
      <c r="F685" s="36" t="s">
        <v>94</v>
      </c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8"/>
      <c r="T685" s="37"/>
      <c r="U685" s="38"/>
      <c r="V685" s="37"/>
      <c r="W685" s="37"/>
      <c r="X685" s="37"/>
      <c r="Y685" s="37"/>
      <c r="Z685" s="37"/>
      <c r="AA685" s="37"/>
      <c r="AB685" s="37"/>
      <c r="AC685" s="37"/>
      <c r="AD685" s="38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9">
        <f t="shared" si="314"/>
        <v>0</v>
      </c>
      <c r="AQ685" s="1"/>
    </row>
    <row r="686" ht="15.0" customHeight="1">
      <c r="A686" s="1"/>
      <c r="B686" s="35"/>
      <c r="C686" s="84"/>
      <c r="D686" s="35"/>
      <c r="E686" s="33" t="s">
        <v>118</v>
      </c>
      <c r="F686" s="36" t="s">
        <v>67</v>
      </c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8"/>
      <c r="T686" s="37"/>
      <c r="U686" s="38"/>
      <c r="V686" s="37"/>
      <c r="W686" s="37"/>
      <c r="X686" s="37"/>
      <c r="Y686" s="37"/>
      <c r="Z686" s="37"/>
      <c r="AA686" s="37"/>
      <c r="AB686" s="37"/>
      <c r="AC686" s="37"/>
      <c r="AD686" s="38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9">
        <f t="shared" si="314"/>
        <v>0</v>
      </c>
      <c r="AQ686" s="1"/>
    </row>
    <row r="687" ht="15.0" customHeight="1">
      <c r="A687" s="1"/>
      <c r="B687" s="35"/>
      <c r="C687" s="84"/>
      <c r="D687" s="35"/>
      <c r="E687" s="33"/>
      <c r="F687" s="40" t="s">
        <v>26</v>
      </c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8"/>
      <c r="T687" s="37"/>
      <c r="U687" s="38"/>
      <c r="V687" s="37"/>
      <c r="W687" s="37"/>
      <c r="X687" s="37"/>
      <c r="Y687" s="37"/>
      <c r="Z687" s="37"/>
      <c r="AA687" s="37"/>
      <c r="AB687" s="37"/>
      <c r="AC687" s="37"/>
      <c r="AD687" s="38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9">
        <f t="shared" si="314"/>
        <v>0</v>
      </c>
      <c r="AQ687" s="1"/>
    </row>
    <row r="688" ht="15.0" customHeight="1">
      <c r="A688" s="1"/>
      <c r="B688" s="35"/>
      <c r="C688" s="84"/>
      <c r="D688" s="35"/>
      <c r="E688" s="33" t="s">
        <v>27</v>
      </c>
      <c r="F688" s="41" t="s">
        <v>28</v>
      </c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8"/>
      <c r="T688" s="37"/>
      <c r="U688" s="38"/>
      <c r="V688" s="37"/>
      <c r="W688" s="37"/>
      <c r="X688" s="37"/>
      <c r="Y688" s="37"/>
      <c r="Z688" s="37"/>
      <c r="AA688" s="37"/>
      <c r="AB688" s="37"/>
      <c r="AC688" s="37"/>
      <c r="AD688" s="38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9">
        <f t="shared" si="314"/>
        <v>0</v>
      </c>
      <c r="AQ688" s="1"/>
    </row>
    <row r="689" ht="15.0" customHeight="1">
      <c r="A689" s="1"/>
      <c r="B689" s="35"/>
      <c r="C689" s="84"/>
      <c r="D689" s="35"/>
      <c r="E689" s="33"/>
      <c r="F689" s="41" t="s">
        <v>29</v>
      </c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8"/>
      <c r="T689" s="37"/>
      <c r="U689" s="38"/>
      <c r="V689" s="37"/>
      <c r="W689" s="37"/>
      <c r="X689" s="37"/>
      <c r="Y689" s="37"/>
      <c r="Z689" s="37"/>
      <c r="AA689" s="37"/>
      <c r="AB689" s="37"/>
      <c r="AC689" s="37"/>
      <c r="AD689" s="38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9">
        <f t="shared" si="314"/>
        <v>0</v>
      </c>
      <c r="AQ689" s="1"/>
    </row>
    <row r="690" ht="15.0" customHeight="1">
      <c r="A690" s="1"/>
      <c r="B690" s="42"/>
      <c r="C690" s="18"/>
      <c r="D690" s="42"/>
      <c r="E690" s="52"/>
      <c r="F690" s="43" t="s">
        <v>30</v>
      </c>
      <c r="G690" s="44"/>
      <c r="H690" s="34">
        <f t="shared" ref="H690:AN690" si="315">H683+H684+H685+H686-H687+H688-H689</f>
        <v>0</v>
      </c>
      <c r="I690" s="34">
        <f t="shared" si="315"/>
        <v>0</v>
      </c>
      <c r="J690" s="34">
        <f t="shared" si="315"/>
        <v>0</v>
      </c>
      <c r="K690" s="34">
        <f t="shared" si="315"/>
        <v>0</v>
      </c>
      <c r="L690" s="34">
        <f t="shared" si="315"/>
        <v>0</v>
      </c>
      <c r="M690" s="34">
        <f t="shared" si="315"/>
        <v>0</v>
      </c>
      <c r="N690" s="34">
        <f t="shared" si="315"/>
        <v>0</v>
      </c>
      <c r="O690" s="34">
        <f t="shared" si="315"/>
        <v>0</v>
      </c>
      <c r="P690" s="34">
        <f t="shared" si="315"/>
        <v>0</v>
      </c>
      <c r="Q690" s="34">
        <f t="shared" si="315"/>
        <v>0</v>
      </c>
      <c r="R690" s="34">
        <f t="shared" si="315"/>
        <v>0</v>
      </c>
      <c r="S690" s="34">
        <f t="shared" si="315"/>
        <v>0</v>
      </c>
      <c r="T690" s="34">
        <f t="shared" si="315"/>
        <v>0</v>
      </c>
      <c r="U690" s="34">
        <f t="shared" si="315"/>
        <v>0</v>
      </c>
      <c r="V690" s="34">
        <f t="shared" si="315"/>
        <v>0</v>
      </c>
      <c r="W690" s="34">
        <f t="shared" si="315"/>
        <v>0</v>
      </c>
      <c r="X690" s="34">
        <f t="shared" si="315"/>
        <v>0</v>
      </c>
      <c r="Y690" s="34">
        <f t="shared" si="315"/>
        <v>0</v>
      </c>
      <c r="Z690" s="34">
        <f t="shared" si="315"/>
        <v>0</v>
      </c>
      <c r="AA690" s="34">
        <f t="shared" si="315"/>
        <v>0</v>
      </c>
      <c r="AB690" s="34">
        <f t="shared" si="315"/>
        <v>0</v>
      </c>
      <c r="AC690" s="34">
        <f t="shared" si="315"/>
        <v>0</v>
      </c>
      <c r="AD690" s="34">
        <f t="shared" si="315"/>
        <v>0</v>
      </c>
      <c r="AE690" s="34">
        <f t="shared" si="315"/>
        <v>0</v>
      </c>
      <c r="AF690" s="34">
        <f t="shared" si="315"/>
        <v>0</v>
      </c>
      <c r="AG690" s="34">
        <f t="shared" si="315"/>
        <v>0</v>
      </c>
      <c r="AH690" s="34">
        <f t="shared" si="315"/>
        <v>0</v>
      </c>
      <c r="AI690" s="34">
        <f t="shared" si="315"/>
        <v>0</v>
      </c>
      <c r="AJ690" s="34">
        <f t="shared" si="315"/>
        <v>0</v>
      </c>
      <c r="AK690" s="34">
        <f t="shared" si="315"/>
        <v>0</v>
      </c>
      <c r="AL690" s="34">
        <f t="shared" si="315"/>
        <v>0</v>
      </c>
      <c r="AM690" s="34">
        <f t="shared" si="315"/>
        <v>0</v>
      </c>
      <c r="AN690" s="34">
        <f t="shared" si="315"/>
        <v>0</v>
      </c>
      <c r="AO690" s="34"/>
      <c r="AP690" s="75">
        <f>AO683</f>
        <v>0</v>
      </c>
      <c r="AQ690" s="1"/>
    </row>
    <row r="691" ht="15.0" customHeight="1">
      <c r="A691" s="1"/>
      <c r="B691" s="32"/>
      <c r="C691" s="12" t="s">
        <v>249</v>
      </c>
      <c r="D691" s="32" t="s">
        <v>133</v>
      </c>
      <c r="E691" s="13"/>
      <c r="F691" s="14" t="s">
        <v>23</v>
      </c>
      <c r="G691" s="44"/>
      <c r="H691" s="21">
        <v>0.0</v>
      </c>
      <c r="I691" s="21">
        <f t="shared" ref="I691:AO691" si="316">H698</f>
        <v>0</v>
      </c>
      <c r="J691" s="21">
        <f t="shared" si="316"/>
        <v>0</v>
      </c>
      <c r="K691" s="21">
        <f t="shared" si="316"/>
        <v>0</v>
      </c>
      <c r="L691" s="21">
        <f t="shared" si="316"/>
        <v>0</v>
      </c>
      <c r="M691" s="21">
        <f t="shared" si="316"/>
        <v>0</v>
      </c>
      <c r="N691" s="21">
        <f t="shared" si="316"/>
        <v>0</v>
      </c>
      <c r="O691" s="21">
        <f t="shared" si="316"/>
        <v>0</v>
      </c>
      <c r="P691" s="21">
        <f t="shared" si="316"/>
        <v>0</v>
      </c>
      <c r="Q691" s="21">
        <f t="shared" si="316"/>
        <v>0</v>
      </c>
      <c r="R691" s="21">
        <f t="shared" si="316"/>
        <v>0</v>
      </c>
      <c r="S691" s="21">
        <f t="shared" si="316"/>
        <v>0</v>
      </c>
      <c r="T691" s="21">
        <f t="shared" si="316"/>
        <v>-8</v>
      </c>
      <c r="U691" s="21">
        <f t="shared" si="316"/>
        <v>-8</v>
      </c>
      <c r="V691" s="21">
        <f t="shared" si="316"/>
        <v>-8</v>
      </c>
      <c r="W691" s="21">
        <f t="shared" si="316"/>
        <v>-8</v>
      </c>
      <c r="X691" s="21">
        <f t="shared" si="316"/>
        <v>-8</v>
      </c>
      <c r="Y691" s="21">
        <f t="shared" si="316"/>
        <v>-8</v>
      </c>
      <c r="Z691" s="21">
        <f t="shared" si="316"/>
        <v>-8</v>
      </c>
      <c r="AA691" s="21">
        <f t="shared" si="316"/>
        <v>-8</v>
      </c>
      <c r="AB691" s="21">
        <f t="shared" si="316"/>
        <v>-8</v>
      </c>
      <c r="AC691" s="21">
        <f t="shared" si="316"/>
        <v>-8</v>
      </c>
      <c r="AD691" s="21">
        <f t="shared" si="316"/>
        <v>-8</v>
      </c>
      <c r="AE691" s="21">
        <f t="shared" si="316"/>
        <v>-8</v>
      </c>
      <c r="AF691" s="21">
        <f t="shared" si="316"/>
        <v>-8</v>
      </c>
      <c r="AG691" s="21">
        <f t="shared" si="316"/>
        <v>-8</v>
      </c>
      <c r="AH691" s="21">
        <f t="shared" si="316"/>
        <v>-8</v>
      </c>
      <c r="AI691" s="21">
        <f t="shared" si="316"/>
        <v>-8</v>
      </c>
      <c r="AJ691" s="21">
        <f t="shared" si="316"/>
        <v>-8</v>
      </c>
      <c r="AK691" s="21">
        <f t="shared" si="316"/>
        <v>-8</v>
      </c>
      <c r="AL691" s="21">
        <f t="shared" si="316"/>
        <v>-8</v>
      </c>
      <c r="AM691" s="21">
        <f t="shared" si="316"/>
        <v>-8</v>
      </c>
      <c r="AN691" s="21">
        <f t="shared" si="316"/>
        <v>-8</v>
      </c>
      <c r="AO691" s="21">
        <f t="shared" si="316"/>
        <v>-8</v>
      </c>
      <c r="AP691" s="54"/>
      <c r="AQ691" s="1"/>
    </row>
    <row r="692" ht="15.0" customHeight="1">
      <c r="A692" s="1"/>
      <c r="B692" s="35"/>
      <c r="C692" s="84"/>
      <c r="D692" s="35"/>
      <c r="E692" s="33" t="s">
        <v>24</v>
      </c>
      <c r="F692" s="36" t="s">
        <v>25</v>
      </c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8"/>
      <c r="T692" s="37"/>
      <c r="U692" s="38"/>
      <c r="V692" s="37"/>
      <c r="W692" s="37"/>
      <c r="X692" s="37"/>
      <c r="Y692" s="37"/>
      <c r="Z692" s="37"/>
      <c r="AA692" s="37"/>
      <c r="AB692" s="37"/>
      <c r="AC692" s="37"/>
      <c r="AD692" s="38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9">
        <f t="shared" ref="AP692:AP697" si="317">SUM(H692:AO692)</f>
        <v>0</v>
      </c>
      <c r="AQ692" s="1"/>
    </row>
    <row r="693" ht="15.0" customHeight="1">
      <c r="A693" s="1"/>
      <c r="B693" s="35"/>
      <c r="C693" s="84"/>
      <c r="D693" s="35"/>
      <c r="E693" s="33"/>
      <c r="F693" s="36" t="s">
        <v>94</v>
      </c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8"/>
      <c r="T693" s="37"/>
      <c r="U693" s="38"/>
      <c r="V693" s="37"/>
      <c r="W693" s="37"/>
      <c r="X693" s="37"/>
      <c r="Y693" s="37"/>
      <c r="Z693" s="37"/>
      <c r="AA693" s="37"/>
      <c r="AB693" s="37"/>
      <c r="AC693" s="37"/>
      <c r="AD693" s="38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9">
        <f t="shared" si="317"/>
        <v>0</v>
      </c>
      <c r="AQ693" s="1"/>
    </row>
    <row r="694" ht="15.0" customHeight="1">
      <c r="A694" s="1"/>
      <c r="B694" s="35"/>
      <c r="C694" s="84"/>
      <c r="D694" s="35"/>
      <c r="E694" s="33" t="s">
        <v>246</v>
      </c>
      <c r="F694" s="36" t="s">
        <v>67</v>
      </c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8"/>
      <c r="T694" s="37"/>
      <c r="U694" s="38"/>
      <c r="V694" s="37"/>
      <c r="W694" s="37"/>
      <c r="X694" s="37"/>
      <c r="Y694" s="37"/>
      <c r="Z694" s="37"/>
      <c r="AA694" s="37"/>
      <c r="AB694" s="37"/>
      <c r="AC694" s="37"/>
      <c r="AD694" s="38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9">
        <f t="shared" si="317"/>
        <v>0</v>
      </c>
      <c r="AQ694" s="1"/>
    </row>
    <row r="695" ht="15.0" customHeight="1">
      <c r="A695" s="51"/>
      <c r="B695" s="35"/>
      <c r="C695" s="84"/>
      <c r="D695" s="35"/>
      <c r="E695" s="47"/>
      <c r="F695" s="40" t="s">
        <v>26</v>
      </c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8">
        <v>8.0</v>
      </c>
      <c r="T695" s="49"/>
      <c r="U695" s="48"/>
      <c r="V695" s="49"/>
      <c r="W695" s="49"/>
      <c r="X695" s="49"/>
      <c r="Y695" s="49"/>
      <c r="Z695" s="49"/>
      <c r="AA695" s="49"/>
      <c r="AB695" s="49"/>
      <c r="AC695" s="49"/>
      <c r="AD695" s="48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50">
        <f t="shared" si="317"/>
        <v>8</v>
      </c>
      <c r="AQ695" s="51"/>
    </row>
    <row r="696" ht="15.0" customHeight="1">
      <c r="A696" s="1"/>
      <c r="B696" s="35"/>
      <c r="C696" s="84"/>
      <c r="D696" s="35"/>
      <c r="E696" s="33" t="s">
        <v>27</v>
      </c>
      <c r="F696" s="41" t="s">
        <v>28</v>
      </c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8"/>
      <c r="T696" s="37"/>
      <c r="U696" s="38"/>
      <c r="V696" s="37"/>
      <c r="W696" s="37"/>
      <c r="X696" s="37"/>
      <c r="Y696" s="37"/>
      <c r="Z696" s="37"/>
      <c r="AA696" s="37"/>
      <c r="AB696" s="37"/>
      <c r="AC696" s="37"/>
      <c r="AD696" s="38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9">
        <f t="shared" si="317"/>
        <v>0</v>
      </c>
      <c r="AQ696" s="1"/>
    </row>
    <row r="697" ht="15.0" customHeight="1">
      <c r="A697" s="1"/>
      <c r="B697" s="35"/>
      <c r="C697" s="84"/>
      <c r="D697" s="35"/>
      <c r="E697" s="33"/>
      <c r="F697" s="41" t="s">
        <v>29</v>
      </c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8"/>
      <c r="T697" s="37"/>
      <c r="U697" s="38"/>
      <c r="V697" s="37"/>
      <c r="W697" s="37"/>
      <c r="X697" s="37"/>
      <c r="Y697" s="37"/>
      <c r="Z697" s="37"/>
      <c r="AA697" s="37"/>
      <c r="AB697" s="37"/>
      <c r="AC697" s="37"/>
      <c r="AD697" s="38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9">
        <f t="shared" si="317"/>
        <v>0</v>
      </c>
      <c r="AQ697" s="1"/>
    </row>
    <row r="698" ht="15.0" customHeight="1">
      <c r="A698" s="1"/>
      <c r="B698" s="42"/>
      <c r="C698" s="18"/>
      <c r="D698" s="42"/>
      <c r="E698" s="52"/>
      <c r="F698" s="43" t="s">
        <v>30</v>
      </c>
      <c r="G698" s="44"/>
      <c r="H698" s="34">
        <f t="shared" ref="H698:AN698" si="318">H691+H692+H693+H694-H695+H696-H697</f>
        <v>0</v>
      </c>
      <c r="I698" s="34">
        <f t="shared" si="318"/>
        <v>0</v>
      </c>
      <c r="J698" s="34">
        <f t="shared" si="318"/>
        <v>0</v>
      </c>
      <c r="K698" s="34">
        <f t="shared" si="318"/>
        <v>0</v>
      </c>
      <c r="L698" s="34">
        <f t="shared" si="318"/>
        <v>0</v>
      </c>
      <c r="M698" s="34">
        <f t="shared" si="318"/>
        <v>0</v>
      </c>
      <c r="N698" s="34">
        <f t="shared" si="318"/>
        <v>0</v>
      </c>
      <c r="O698" s="34">
        <f t="shared" si="318"/>
        <v>0</v>
      </c>
      <c r="P698" s="34">
        <f t="shared" si="318"/>
        <v>0</v>
      </c>
      <c r="Q698" s="34">
        <f t="shared" si="318"/>
        <v>0</v>
      </c>
      <c r="R698" s="34">
        <f t="shared" si="318"/>
        <v>0</v>
      </c>
      <c r="S698" s="34">
        <f t="shared" si="318"/>
        <v>-8</v>
      </c>
      <c r="T698" s="34">
        <f t="shared" si="318"/>
        <v>-8</v>
      </c>
      <c r="U698" s="34">
        <f t="shared" si="318"/>
        <v>-8</v>
      </c>
      <c r="V698" s="34">
        <f t="shared" si="318"/>
        <v>-8</v>
      </c>
      <c r="W698" s="34">
        <f t="shared" si="318"/>
        <v>-8</v>
      </c>
      <c r="X698" s="34">
        <f t="shared" si="318"/>
        <v>-8</v>
      </c>
      <c r="Y698" s="34">
        <f t="shared" si="318"/>
        <v>-8</v>
      </c>
      <c r="Z698" s="34">
        <f t="shared" si="318"/>
        <v>-8</v>
      </c>
      <c r="AA698" s="34">
        <f t="shared" si="318"/>
        <v>-8</v>
      </c>
      <c r="AB698" s="34">
        <f t="shared" si="318"/>
        <v>-8</v>
      </c>
      <c r="AC698" s="34">
        <f t="shared" si="318"/>
        <v>-8</v>
      </c>
      <c r="AD698" s="34">
        <f t="shared" si="318"/>
        <v>-8</v>
      </c>
      <c r="AE698" s="34">
        <f t="shared" si="318"/>
        <v>-8</v>
      </c>
      <c r="AF698" s="34">
        <f t="shared" si="318"/>
        <v>-8</v>
      </c>
      <c r="AG698" s="34">
        <f t="shared" si="318"/>
        <v>-8</v>
      </c>
      <c r="AH698" s="34">
        <f t="shared" si="318"/>
        <v>-8</v>
      </c>
      <c r="AI698" s="34">
        <f t="shared" si="318"/>
        <v>-8</v>
      </c>
      <c r="AJ698" s="34">
        <f t="shared" si="318"/>
        <v>-8</v>
      </c>
      <c r="AK698" s="34">
        <f t="shared" si="318"/>
        <v>-8</v>
      </c>
      <c r="AL698" s="34">
        <f t="shared" si="318"/>
        <v>-8</v>
      </c>
      <c r="AM698" s="34">
        <f t="shared" si="318"/>
        <v>-8</v>
      </c>
      <c r="AN698" s="34">
        <f t="shared" si="318"/>
        <v>-8</v>
      </c>
      <c r="AO698" s="34"/>
      <c r="AP698" s="75">
        <f>AO691</f>
        <v>-8</v>
      </c>
      <c r="AQ698" s="1"/>
    </row>
    <row r="699" ht="15.75" customHeight="1">
      <c r="A699" s="1"/>
      <c r="B699" s="32"/>
      <c r="C699" s="12" t="s">
        <v>250</v>
      </c>
      <c r="D699" s="32" t="s">
        <v>133</v>
      </c>
      <c r="E699" s="13"/>
      <c r="F699" s="14" t="s">
        <v>23</v>
      </c>
      <c r="G699" s="44"/>
      <c r="H699" s="21">
        <v>0.0</v>
      </c>
      <c r="I699" s="21">
        <f t="shared" ref="I699:AO699" si="319">H706</f>
        <v>0</v>
      </c>
      <c r="J699" s="21">
        <f t="shared" si="319"/>
        <v>0</v>
      </c>
      <c r="K699" s="21">
        <f t="shared" si="319"/>
        <v>0</v>
      </c>
      <c r="L699" s="21">
        <f t="shared" si="319"/>
        <v>0</v>
      </c>
      <c r="M699" s="21">
        <f t="shared" si="319"/>
        <v>0</v>
      </c>
      <c r="N699" s="21">
        <f t="shared" si="319"/>
        <v>0</v>
      </c>
      <c r="O699" s="21">
        <f t="shared" si="319"/>
        <v>0</v>
      </c>
      <c r="P699" s="21">
        <f t="shared" si="319"/>
        <v>0</v>
      </c>
      <c r="Q699" s="21">
        <f t="shared" si="319"/>
        <v>0</v>
      </c>
      <c r="R699" s="21">
        <f t="shared" si="319"/>
        <v>0</v>
      </c>
      <c r="S699" s="21">
        <f t="shared" si="319"/>
        <v>0</v>
      </c>
      <c r="T699" s="21">
        <f t="shared" si="319"/>
        <v>0</v>
      </c>
      <c r="U699" s="21">
        <f t="shared" si="319"/>
        <v>0</v>
      </c>
      <c r="V699" s="21">
        <f t="shared" si="319"/>
        <v>0</v>
      </c>
      <c r="W699" s="21">
        <f t="shared" si="319"/>
        <v>0</v>
      </c>
      <c r="X699" s="21">
        <f t="shared" si="319"/>
        <v>0</v>
      </c>
      <c r="Y699" s="21">
        <f t="shared" si="319"/>
        <v>0</v>
      </c>
      <c r="Z699" s="21">
        <f t="shared" si="319"/>
        <v>0</v>
      </c>
      <c r="AA699" s="21">
        <f t="shared" si="319"/>
        <v>0</v>
      </c>
      <c r="AB699" s="21">
        <f t="shared" si="319"/>
        <v>0</v>
      </c>
      <c r="AC699" s="21">
        <f t="shared" si="319"/>
        <v>0</v>
      </c>
      <c r="AD699" s="21">
        <f t="shared" si="319"/>
        <v>0</v>
      </c>
      <c r="AE699" s="21">
        <f t="shared" si="319"/>
        <v>0</v>
      </c>
      <c r="AF699" s="21">
        <f t="shared" si="319"/>
        <v>0</v>
      </c>
      <c r="AG699" s="21">
        <f t="shared" si="319"/>
        <v>0</v>
      </c>
      <c r="AH699" s="21">
        <f t="shared" si="319"/>
        <v>0</v>
      </c>
      <c r="AI699" s="21">
        <f t="shared" si="319"/>
        <v>0</v>
      </c>
      <c r="AJ699" s="21">
        <f t="shared" si="319"/>
        <v>0</v>
      </c>
      <c r="AK699" s="21">
        <f t="shared" si="319"/>
        <v>0</v>
      </c>
      <c r="AL699" s="21">
        <f t="shared" si="319"/>
        <v>0</v>
      </c>
      <c r="AM699" s="21">
        <f t="shared" si="319"/>
        <v>0</v>
      </c>
      <c r="AN699" s="21">
        <f t="shared" si="319"/>
        <v>0</v>
      </c>
      <c r="AO699" s="21">
        <f t="shared" si="319"/>
        <v>0</v>
      </c>
      <c r="AP699" s="54"/>
      <c r="AQ699" s="1"/>
    </row>
    <row r="700" ht="15.0" customHeight="1">
      <c r="A700" s="1"/>
      <c r="B700" s="35"/>
      <c r="C700" s="84"/>
      <c r="D700" s="35"/>
      <c r="E700" s="33" t="s">
        <v>24</v>
      </c>
      <c r="F700" s="36" t="s">
        <v>25</v>
      </c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8"/>
      <c r="T700" s="37"/>
      <c r="U700" s="38"/>
      <c r="V700" s="37"/>
      <c r="W700" s="37"/>
      <c r="X700" s="37"/>
      <c r="Y700" s="37"/>
      <c r="Z700" s="37"/>
      <c r="AA700" s="37"/>
      <c r="AB700" s="37"/>
      <c r="AC700" s="37"/>
      <c r="AD700" s="38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9">
        <f t="shared" ref="AP700:AP705" si="320">SUM(H700:AO700)</f>
        <v>0</v>
      </c>
      <c r="AQ700" s="1"/>
    </row>
    <row r="701" ht="15.0" customHeight="1">
      <c r="A701" s="1"/>
      <c r="B701" s="35"/>
      <c r="C701" s="84"/>
      <c r="D701" s="35"/>
      <c r="E701" s="33"/>
      <c r="F701" s="36" t="s">
        <v>94</v>
      </c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8"/>
      <c r="T701" s="37"/>
      <c r="U701" s="38"/>
      <c r="V701" s="37"/>
      <c r="W701" s="37"/>
      <c r="X701" s="37"/>
      <c r="Y701" s="37"/>
      <c r="Z701" s="37"/>
      <c r="AA701" s="37"/>
      <c r="AB701" s="37"/>
      <c r="AC701" s="37"/>
      <c r="AD701" s="38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9">
        <f t="shared" si="320"/>
        <v>0</v>
      </c>
      <c r="AQ701" s="1"/>
    </row>
    <row r="702" ht="15.0" customHeight="1">
      <c r="A702" s="1"/>
      <c r="B702" s="35"/>
      <c r="C702" s="84"/>
      <c r="D702" s="35"/>
      <c r="E702" s="33" t="s">
        <v>144</v>
      </c>
      <c r="F702" s="36" t="s">
        <v>67</v>
      </c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8"/>
      <c r="T702" s="37"/>
      <c r="U702" s="38"/>
      <c r="V702" s="37"/>
      <c r="W702" s="37"/>
      <c r="X702" s="37"/>
      <c r="Y702" s="37"/>
      <c r="Z702" s="37"/>
      <c r="AA702" s="37"/>
      <c r="AB702" s="37"/>
      <c r="AC702" s="37"/>
      <c r="AD702" s="38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9">
        <f t="shared" si="320"/>
        <v>0</v>
      </c>
      <c r="AQ702" s="1"/>
    </row>
    <row r="703" ht="15.0" customHeight="1">
      <c r="A703" s="1"/>
      <c r="B703" s="35"/>
      <c r="C703" s="84"/>
      <c r="D703" s="35"/>
      <c r="E703" s="33"/>
      <c r="F703" s="40" t="s">
        <v>26</v>
      </c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8"/>
      <c r="T703" s="37"/>
      <c r="U703" s="38"/>
      <c r="V703" s="37"/>
      <c r="W703" s="37"/>
      <c r="X703" s="37"/>
      <c r="Y703" s="37"/>
      <c r="Z703" s="37"/>
      <c r="AA703" s="37"/>
      <c r="AB703" s="37"/>
      <c r="AC703" s="37"/>
      <c r="AD703" s="38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9">
        <f t="shared" si="320"/>
        <v>0</v>
      </c>
      <c r="AQ703" s="1"/>
    </row>
    <row r="704" ht="15.0" customHeight="1">
      <c r="A704" s="1"/>
      <c r="B704" s="35"/>
      <c r="C704" s="84"/>
      <c r="D704" s="35"/>
      <c r="E704" s="33" t="s">
        <v>27</v>
      </c>
      <c r="F704" s="41" t="s">
        <v>28</v>
      </c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8"/>
      <c r="T704" s="37"/>
      <c r="U704" s="38"/>
      <c r="V704" s="37"/>
      <c r="W704" s="37"/>
      <c r="X704" s="37"/>
      <c r="Y704" s="37"/>
      <c r="Z704" s="37"/>
      <c r="AA704" s="37"/>
      <c r="AB704" s="37"/>
      <c r="AC704" s="37"/>
      <c r="AD704" s="38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9">
        <f t="shared" si="320"/>
        <v>0</v>
      </c>
      <c r="AQ704" s="1"/>
    </row>
    <row r="705" ht="15.0" customHeight="1">
      <c r="A705" s="1"/>
      <c r="B705" s="35"/>
      <c r="C705" s="84"/>
      <c r="D705" s="35"/>
      <c r="E705" s="33"/>
      <c r="F705" s="41" t="s">
        <v>29</v>
      </c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8"/>
      <c r="T705" s="37"/>
      <c r="U705" s="38"/>
      <c r="V705" s="37"/>
      <c r="W705" s="37"/>
      <c r="X705" s="37"/>
      <c r="Y705" s="37"/>
      <c r="Z705" s="37"/>
      <c r="AA705" s="37"/>
      <c r="AB705" s="37"/>
      <c r="AC705" s="37"/>
      <c r="AD705" s="38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9">
        <f t="shared" si="320"/>
        <v>0</v>
      </c>
      <c r="AQ705" s="1"/>
    </row>
    <row r="706" ht="15.0" customHeight="1">
      <c r="A706" s="1"/>
      <c r="B706" s="42"/>
      <c r="C706" s="18"/>
      <c r="D706" s="42"/>
      <c r="E706" s="52"/>
      <c r="F706" s="43" t="s">
        <v>30</v>
      </c>
      <c r="G706" s="44"/>
      <c r="H706" s="34">
        <f t="shared" ref="H706:AN706" si="321">H699+H700+H701+H702-H703+H704-H705</f>
        <v>0</v>
      </c>
      <c r="I706" s="34">
        <f t="shared" si="321"/>
        <v>0</v>
      </c>
      <c r="J706" s="34">
        <f t="shared" si="321"/>
        <v>0</v>
      </c>
      <c r="K706" s="34">
        <f t="shared" si="321"/>
        <v>0</v>
      </c>
      <c r="L706" s="34">
        <f t="shared" si="321"/>
        <v>0</v>
      </c>
      <c r="M706" s="34">
        <f t="shared" si="321"/>
        <v>0</v>
      </c>
      <c r="N706" s="34">
        <f t="shared" si="321"/>
        <v>0</v>
      </c>
      <c r="O706" s="34">
        <f t="shared" si="321"/>
        <v>0</v>
      </c>
      <c r="P706" s="34">
        <f t="shared" si="321"/>
        <v>0</v>
      </c>
      <c r="Q706" s="34">
        <f t="shared" si="321"/>
        <v>0</v>
      </c>
      <c r="R706" s="34">
        <f t="shared" si="321"/>
        <v>0</v>
      </c>
      <c r="S706" s="34">
        <f t="shared" si="321"/>
        <v>0</v>
      </c>
      <c r="T706" s="34">
        <f t="shared" si="321"/>
        <v>0</v>
      </c>
      <c r="U706" s="34">
        <f t="shared" si="321"/>
        <v>0</v>
      </c>
      <c r="V706" s="34">
        <f t="shared" si="321"/>
        <v>0</v>
      </c>
      <c r="W706" s="34">
        <f t="shared" si="321"/>
        <v>0</v>
      </c>
      <c r="X706" s="34">
        <f t="shared" si="321"/>
        <v>0</v>
      </c>
      <c r="Y706" s="34">
        <f t="shared" si="321"/>
        <v>0</v>
      </c>
      <c r="Z706" s="34">
        <f t="shared" si="321"/>
        <v>0</v>
      </c>
      <c r="AA706" s="34">
        <f t="shared" si="321"/>
        <v>0</v>
      </c>
      <c r="AB706" s="34">
        <f t="shared" si="321"/>
        <v>0</v>
      </c>
      <c r="AC706" s="34">
        <f t="shared" si="321"/>
        <v>0</v>
      </c>
      <c r="AD706" s="34">
        <f t="shared" si="321"/>
        <v>0</v>
      </c>
      <c r="AE706" s="34">
        <f t="shared" si="321"/>
        <v>0</v>
      </c>
      <c r="AF706" s="34">
        <f t="shared" si="321"/>
        <v>0</v>
      </c>
      <c r="AG706" s="34">
        <f t="shared" si="321"/>
        <v>0</v>
      </c>
      <c r="AH706" s="34">
        <f t="shared" si="321"/>
        <v>0</v>
      </c>
      <c r="AI706" s="34">
        <f t="shared" si="321"/>
        <v>0</v>
      </c>
      <c r="AJ706" s="34">
        <f t="shared" si="321"/>
        <v>0</v>
      </c>
      <c r="AK706" s="34">
        <f t="shared" si="321"/>
        <v>0</v>
      </c>
      <c r="AL706" s="34">
        <f t="shared" si="321"/>
        <v>0</v>
      </c>
      <c r="AM706" s="34">
        <f t="shared" si="321"/>
        <v>0</v>
      </c>
      <c r="AN706" s="34">
        <f t="shared" si="321"/>
        <v>0</v>
      </c>
      <c r="AO706" s="34"/>
      <c r="AP706" s="75">
        <f>AO699</f>
        <v>0</v>
      </c>
      <c r="AQ706" s="1"/>
    </row>
    <row r="707" ht="15.75" customHeight="1">
      <c r="A707" s="1"/>
      <c r="B707" s="32"/>
      <c r="C707" s="12" t="s">
        <v>251</v>
      </c>
      <c r="D707" s="32" t="s">
        <v>252</v>
      </c>
      <c r="E707" s="13"/>
      <c r="F707" s="14" t="s">
        <v>23</v>
      </c>
      <c r="G707" s="44"/>
      <c r="H707" s="21">
        <v>4.0</v>
      </c>
      <c r="I707" s="21">
        <f t="shared" ref="I707:AO707" si="322">H713</f>
        <v>4</v>
      </c>
      <c r="J707" s="21">
        <f t="shared" si="322"/>
        <v>4</v>
      </c>
      <c r="K707" s="21">
        <f t="shared" si="322"/>
        <v>4</v>
      </c>
      <c r="L707" s="21">
        <f t="shared" si="322"/>
        <v>4</v>
      </c>
      <c r="M707" s="21">
        <f t="shared" si="322"/>
        <v>4</v>
      </c>
      <c r="N707" s="21">
        <f t="shared" si="322"/>
        <v>4</v>
      </c>
      <c r="O707" s="21">
        <f t="shared" si="322"/>
        <v>4</v>
      </c>
      <c r="P707" s="21">
        <f t="shared" si="322"/>
        <v>4</v>
      </c>
      <c r="Q707" s="21">
        <f t="shared" si="322"/>
        <v>4</v>
      </c>
      <c r="R707" s="21">
        <f t="shared" si="322"/>
        <v>4</v>
      </c>
      <c r="S707" s="21">
        <f t="shared" si="322"/>
        <v>4</v>
      </c>
      <c r="T707" s="21">
        <f t="shared" si="322"/>
        <v>4</v>
      </c>
      <c r="U707" s="21">
        <f t="shared" si="322"/>
        <v>4</v>
      </c>
      <c r="V707" s="21">
        <f t="shared" si="322"/>
        <v>4</v>
      </c>
      <c r="W707" s="21">
        <f t="shared" si="322"/>
        <v>4</v>
      </c>
      <c r="X707" s="21">
        <f t="shared" si="322"/>
        <v>4</v>
      </c>
      <c r="Y707" s="21">
        <f t="shared" si="322"/>
        <v>4</v>
      </c>
      <c r="Z707" s="21">
        <f t="shared" si="322"/>
        <v>4</v>
      </c>
      <c r="AA707" s="21">
        <f t="shared" si="322"/>
        <v>4</v>
      </c>
      <c r="AB707" s="21">
        <f t="shared" si="322"/>
        <v>4</v>
      </c>
      <c r="AC707" s="21">
        <f t="shared" si="322"/>
        <v>4</v>
      </c>
      <c r="AD707" s="21">
        <f t="shared" si="322"/>
        <v>4</v>
      </c>
      <c r="AE707" s="21">
        <f t="shared" si="322"/>
        <v>4</v>
      </c>
      <c r="AF707" s="21">
        <f t="shared" si="322"/>
        <v>4</v>
      </c>
      <c r="AG707" s="21">
        <f t="shared" si="322"/>
        <v>4</v>
      </c>
      <c r="AH707" s="21">
        <f t="shared" si="322"/>
        <v>4</v>
      </c>
      <c r="AI707" s="21">
        <f t="shared" si="322"/>
        <v>4</v>
      </c>
      <c r="AJ707" s="21">
        <f t="shared" si="322"/>
        <v>4</v>
      </c>
      <c r="AK707" s="21">
        <f t="shared" si="322"/>
        <v>4</v>
      </c>
      <c r="AL707" s="21">
        <f t="shared" si="322"/>
        <v>4</v>
      </c>
      <c r="AM707" s="21">
        <f t="shared" si="322"/>
        <v>4</v>
      </c>
      <c r="AN707" s="21">
        <f t="shared" si="322"/>
        <v>4</v>
      </c>
      <c r="AO707" s="21">
        <f t="shared" si="322"/>
        <v>4</v>
      </c>
      <c r="AP707" s="54"/>
      <c r="AQ707" s="1"/>
    </row>
    <row r="708" ht="15.0" customHeight="1">
      <c r="A708" s="1"/>
      <c r="B708" s="35"/>
      <c r="C708" s="84"/>
      <c r="D708" s="35"/>
      <c r="E708" s="33" t="s">
        <v>24</v>
      </c>
      <c r="F708" s="36" t="s">
        <v>25</v>
      </c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8"/>
      <c r="T708" s="37"/>
      <c r="U708" s="38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9">
        <f t="shared" ref="AP708:AP712" si="323">SUM(H708:AO708)</f>
        <v>0</v>
      </c>
      <c r="AQ708" s="1"/>
    </row>
    <row r="709" ht="15.0" customHeight="1">
      <c r="A709" s="1"/>
      <c r="B709" s="35"/>
      <c r="C709" s="84"/>
      <c r="D709" s="35"/>
      <c r="E709" s="33" t="s">
        <v>243</v>
      </c>
      <c r="F709" s="36" t="s">
        <v>67</v>
      </c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8"/>
      <c r="T709" s="37"/>
      <c r="U709" s="38"/>
      <c r="V709" s="37"/>
      <c r="W709" s="37"/>
      <c r="X709" s="37"/>
      <c r="Y709" s="37"/>
      <c r="Z709" s="37"/>
      <c r="AA709" s="37"/>
      <c r="AB709" s="37"/>
      <c r="AC709" s="37"/>
      <c r="AD709" s="38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9">
        <f t="shared" si="323"/>
        <v>0</v>
      </c>
      <c r="AQ709" s="1"/>
    </row>
    <row r="710" ht="15.0" customHeight="1">
      <c r="A710" s="51"/>
      <c r="B710" s="35"/>
      <c r="C710" s="84"/>
      <c r="D710" s="35"/>
      <c r="E710" s="47"/>
      <c r="F710" s="40" t="s">
        <v>26</v>
      </c>
      <c r="G710" s="49"/>
      <c r="H710" s="48"/>
      <c r="I710" s="48"/>
      <c r="J710" s="48"/>
      <c r="K710" s="48"/>
      <c r="L710" s="48"/>
      <c r="M710" s="48"/>
      <c r="N710" s="49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50">
        <f t="shared" si="323"/>
        <v>0</v>
      </c>
      <c r="AQ710" s="51"/>
    </row>
    <row r="711" ht="15.0" customHeight="1">
      <c r="A711" s="1"/>
      <c r="B711" s="35"/>
      <c r="C711" s="84"/>
      <c r="D711" s="35"/>
      <c r="E711" s="33" t="s">
        <v>27</v>
      </c>
      <c r="F711" s="41" t="s">
        <v>28</v>
      </c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8"/>
      <c r="T711" s="37"/>
      <c r="U711" s="38"/>
      <c r="V711" s="37"/>
      <c r="W711" s="37"/>
      <c r="X711" s="37"/>
      <c r="Y711" s="37"/>
      <c r="Z711" s="37"/>
      <c r="AA711" s="37"/>
      <c r="AB711" s="37"/>
      <c r="AC711" s="37"/>
      <c r="AD711" s="38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9">
        <f t="shared" si="323"/>
        <v>0</v>
      </c>
      <c r="AQ711" s="1"/>
    </row>
    <row r="712" ht="15.0" customHeight="1">
      <c r="A712" s="1"/>
      <c r="B712" s="35"/>
      <c r="C712" s="84"/>
      <c r="D712" s="35"/>
      <c r="E712" s="33"/>
      <c r="F712" s="41" t="s">
        <v>29</v>
      </c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8"/>
      <c r="T712" s="37"/>
      <c r="U712" s="38"/>
      <c r="V712" s="37"/>
      <c r="W712" s="37"/>
      <c r="X712" s="37"/>
      <c r="Y712" s="37"/>
      <c r="Z712" s="37"/>
      <c r="AA712" s="37"/>
      <c r="AB712" s="37"/>
      <c r="AC712" s="37"/>
      <c r="AD712" s="38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9">
        <f t="shared" si="323"/>
        <v>0</v>
      </c>
      <c r="AQ712" s="1"/>
    </row>
    <row r="713" ht="15.0" customHeight="1">
      <c r="A713" s="1"/>
      <c r="B713" s="42"/>
      <c r="C713" s="18"/>
      <c r="D713" s="42"/>
      <c r="E713" s="52"/>
      <c r="F713" s="43" t="s">
        <v>30</v>
      </c>
      <c r="G713" s="44"/>
      <c r="H713" s="34">
        <f t="shared" ref="H713:AN713" si="324">H707+H708+H709-H710+H711-H712</f>
        <v>4</v>
      </c>
      <c r="I713" s="34">
        <f t="shared" si="324"/>
        <v>4</v>
      </c>
      <c r="J713" s="34">
        <f t="shared" si="324"/>
        <v>4</v>
      </c>
      <c r="K713" s="34">
        <f t="shared" si="324"/>
        <v>4</v>
      </c>
      <c r="L713" s="34">
        <f t="shared" si="324"/>
        <v>4</v>
      </c>
      <c r="M713" s="34">
        <f t="shared" si="324"/>
        <v>4</v>
      </c>
      <c r="N713" s="34">
        <f t="shared" si="324"/>
        <v>4</v>
      </c>
      <c r="O713" s="34">
        <f t="shared" si="324"/>
        <v>4</v>
      </c>
      <c r="P713" s="34">
        <f t="shared" si="324"/>
        <v>4</v>
      </c>
      <c r="Q713" s="34">
        <f t="shared" si="324"/>
        <v>4</v>
      </c>
      <c r="R713" s="34">
        <f t="shared" si="324"/>
        <v>4</v>
      </c>
      <c r="S713" s="34">
        <f t="shared" si="324"/>
        <v>4</v>
      </c>
      <c r="T713" s="34">
        <f t="shared" si="324"/>
        <v>4</v>
      </c>
      <c r="U713" s="34">
        <f t="shared" si="324"/>
        <v>4</v>
      </c>
      <c r="V713" s="34">
        <f t="shared" si="324"/>
        <v>4</v>
      </c>
      <c r="W713" s="34">
        <f t="shared" si="324"/>
        <v>4</v>
      </c>
      <c r="X713" s="34">
        <f t="shared" si="324"/>
        <v>4</v>
      </c>
      <c r="Y713" s="34">
        <f t="shared" si="324"/>
        <v>4</v>
      </c>
      <c r="Z713" s="34">
        <f t="shared" si="324"/>
        <v>4</v>
      </c>
      <c r="AA713" s="34">
        <f t="shared" si="324"/>
        <v>4</v>
      </c>
      <c r="AB713" s="34">
        <f t="shared" si="324"/>
        <v>4</v>
      </c>
      <c r="AC713" s="34">
        <f t="shared" si="324"/>
        <v>4</v>
      </c>
      <c r="AD713" s="34">
        <f t="shared" si="324"/>
        <v>4</v>
      </c>
      <c r="AE713" s="34">
        <f t="shared" si="324"/>
        <v>4</v>
      </c>
      <c r="AF713" s="34">
        <f t="shared" si="324"/>
        <v>4</v>
      </c>
      <c r="AG713" s="34">
        <f t="shared" si="324"/>
        <v>4</v>
      </c>
      <c r="AH713" s="34">
        <f t="shared" si="324"/>
        <v>4</v>
      </c>
      <c r="AI713" s="34">
        <f t="shared" si="324"/>
        <v>4</v>
      </c>
      <c r="AJ713" s="34">
        <f t="shared" si="324"/>
        <v>4</v>
      </c>
      <c r="AK713" s="34">
        <f t="shared" si="324"/>
        <v>4</v>
      </c>
      <c r="AL713" s="34">
        <f t="shared" si="324"/>
        <v>4</v>
      </c>
      <c r="AM713" s="34">
        <f t="shared" si="324"/>
        <v>4</v>
      </c>
      <c r="AN713" s="34">
        <f t="shared" si="324"/>
        <v>4</v>
      </c>
      <c r="AO713" s="34"/>
      <c r="AP713" s="75">
        <f>AO707</f>
        <v>4</v>
      </c>
      <c r="AQ713" s="1"/>
    </row>
    <row r="714" ht="15.0" customHeight="1">
      <c r="A714" s="1"/>
      <c r="B714" s="32"/>
      <c r="C714" s="12" t="s">
        <v>253</v>
      </c>
      <c r="D714" s="32" t="s">
        <v>252</v>
      </c>
      <c r="E714" s="13"/>
      <c r="F714" s="14" t="s">
        <v>23</v>
      </c>
      <c r="G714" s="44"/>
      <c r="H714" s="34">
        <v>0.0</v>
      </c>
      <c r="I714" s="34">
        <f t="shared" ref="I714:AO714" si="325">H719</f>
        <v>0</v>
      </c>
      <c r="J714" s="34">
        <f t="shared" si="325"/>
        <v>0</v>
      </c>
      <c r="K714" s="34">
        <f t="shared" si="325"/>
        <v>0</v>
      </c>
      <c r="L714" s="34">
        <f t="shared" si="325"/>
        <v>0</v>
      </c>
      <c r="M714" s="34">
        <f t="shared" si="325"/>
        <v>0</v>
      </c>
      <c r="N714" s="34">
        <f t="shared" si="325"/>
        <v>0</v>
      </c>
      <c r="O714" s="34">
        <f t="shared" si="325"/>
        <v>0</v>
      </c>
      <c r="P714" s="34">
        <f t="shared" si="325"/>
        <v>0</v>
      </c>
      <c r="Q714" s="34">
        <f t="shared" si="325"/>
        <v>0</v>
      </c>
      <c r="R714" s="34">
        <f t="shared" si="325"/>
        <v>0</v>
      </c>
      <c r="S714" s="34">
        <f t="shared" si="325"/>
        <v>0</v>
      </c>
      <c r="T714" s="34">
        <f t="shared" si="325"/>
        <v>0</v>
      </c>
      <c r="U714" s="34">
        <f t="shared" si="325"/>
        <v>0</v>
      </c>
      <c r="V714" s="34">
        <f t="shared" si="325"/>
        <v>0</v>
      </c>
      <c r="W714" s="34">
        <f t="shared" si="325"/>
        <v>0</v>
      </c>
      <c r="X714" s="34">
        <f t="shared" si="325"/>
        <v>0</v>
      </c>
      <c r="Y714" s="34">
        <f t="shared" si="325"/>
        <v>0</v>
      </c>
      <c r="Z714" s="34">
        <f t="shared" si="325"/>
        <v>0</v>
      </c>
      <c r="AA714" s="34">
        <f t="shared" si="325"/>
        <v>0</v>
      </c>
      <c r="AB714" s="34">
        <f t="shared" si="325"/>
        <v>0</v>
      </c>
      <c r="AC714" s="34">
        <f t="shared" si="325"/>
        <v>0</v>
      </c>
      <c r="AD714" s="34">
        <f t="shared" si="325"/>
        <v>0</v>
      </c>
      <c r="AE714" s="34">
        <f t="shared" si="325"/>
        <v>0</v>
      </c>
      <c r="AF714" s="34">
        <f t="shared" si="325"/>
        <v>0</v>
      </c>
      <c r="AG714" s="34">
        <f t="shared" si="325"/>
        <v>0</v>
      </c>
      <c r="AH714" s="34">
        <f t="shared" si="325"/>
        <v>0</v>
      </c>
      <c r="AI714" s="34">
        <f t="shared" si="325"/>
        <v>0</v>
      </c>
      <c r="AJ714" s="34">
        <f t="shared" si="325"/>
        <v>0</v>
      </c>
      <c r="AK714" s="34">
        <f t="shared" si="325"/>
        <v>0</v>
      </c>
      <c r="AL714" s="34">
        <f t="shared" si="325"/>
        <v>0</v>
      </c>
      <c r="AM714" s="34">
        <f t="shared" si="325"/>
        <v>0</v>
      </c>
      <c r="AN714" s="34">
        <f t="shared" si="325"/>
        <v>0</v>
      </c>
      <c r="AO714" s="34">
        <f t="shared" si="325"/>
        <v>0</v>
      </c>
      <c r="AP714" s="54"/>
      <c r="AQ714" s="1"/>
    </row>
    <row r="715" ht="15.0" customHeight="1">
      <c r="A715" s="1"/>
      <c r="B715" s="35"/>
      <c r="C715" s="84"/>
      <c r="D715" s="35"/>
      <c r="E715" s="33" t="s">
        <v>24</v>
      </c>
      <c r="F715" s="36" t="s">
        <v>25</v>
      </c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8"/>
      <c r="T715" s="37"/>
      <c r="U715" s="38"/>
      <c r="V715" s="37"/>
      <c r="W715" s="37"/>
      <c r="X715" s="37"/>
      <c r="Y715" s="37"/>
      <c r="Z715" s="37"/>
      <c r="AA715" s="37"/>
      <c r="AB715" s="37"/>
      <c r="AC715" s="37"/>
      <c r="AD715" s="38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9">
        <f t="shared" ref="AP715:AP718" si="326">SUM(H715:AO715)</f>
        <v>0</v>
      </c>
      <c r="AQ715" s="1"/>
    </row>
    <row r="716" ht="15.0" customHeight="1">
      <c r="A716" s="1"/>
      <c r="B716" s="35"/>
      <c r="C716" s="84"/>
      <c r="D716" s="35"/>
      <c r="E716" s="33"/>
      <c r="F716" s="40" t="s">
        <v>26</v>
      </c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8"/>
      <c r="T716" s="37"/>
      <c r="U716" s="38"/>
      <c r="V716" s="37"/>
      <c r="W716" s="37"/>
      <c r="X716" s="37"/>
      <c r="Y716" s="37"/>
      <c r="Z716" s="37"/>
      <c r="AA716" s="37"/>
      <c r="AB716" s="37"/>
      <c r="AC716" s="37"/>
      <c r="AD716" s="38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9">
        <f t="shared" si="326"/>
        <v>0</v>
      </c>
      <c r="AQ716" s="1"/>
    </row>
    <row r="717" ht="15.0" customHeight="1">
      <c r="A717" s="1"/>
      <c r="B717" s="35"/>
      <c r="C717" s="84"/>
      <c r="D717" s="35"/>
      <c r="E717" s="33" t="s">
        <v>27</v>
      </c>
      <c r="F717" s="41" t="s">
        <v>28</v>
      </c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8"/>
      <c r="T717" s="37"/>
      <c r="U717" s="38"/>
      <c r="V717" s="37"/>
      <c r="W717" s="37"/>
      <c r="X717" s="37"/>
      <c r="Y717" s="37"/>
      <c r="Z717" s="37"/>
      <c r="AA717" s="37"/>
      <c r="AB717" s="37"/>
      <c r="AC717" s="37"/>
      <c r="AD717" s="38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9">
        <f t="shared" si="326"/>
        <v>0</v>
      </c>
      <c r="AQ717" s="1"/>
    </row>
    <row r="718" ht="15.0" customHeight="1">
      <c r="A718" s="1"/>
      <c r="B718" s="35"/>
      <c r="C718" s="84"/>
      <c r="D718" s="35"/>
      <c r="E718" s="33"/>
      <c r="F718" s="41" t="s">
        <v>29</v>
      </c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8"/>
      <c r="T718" s="37"/>
      <c r="U718" s="38"/>
      <c r="V718" s="37"/>
      <c r="W718" s="37"/>
      <c r="X718" s="37"/>
      <c r="Y718" s="37"/>
      <c r="Z718" s="37"/>
      <c r="AA718" s="37"/>
      <c r="AB718" s="37"/>
      <c r="AC718" s="37"/>
      <c r="AD718" s="38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9">
        <f t="shared" si="326"/>
        <v>0</v>
      </c>
      <c r="AQ718" s="1"/>
    </row>
    <row r="719" ht="15.0" customHeight="1">
      <c r="A719" s="1"/>
      <c r="B719" s="42"/>
      <c r="C719" s="18"/>
      <c r="D719" s="42"/>
      <c r="E719" s="52"/>
      <c r="F719" s="43" t="s">
        <v>30</v>
      </c>
      <c r="G719" s="44"/>
      <c r="H719" s="34">
        <f t="shared" ref="H719:AN719" si="327">H714+H715-H716+H717-H718</f>
        <v>0</v>
      </c>
      <c r="I719" s="34">
        <f t="shared" si="327"/>
        <v>0</v>
      </c>
      <c r="J719" s="34">
        <f t="shared" si="327"/>
        <v>0</v>
      </c>
      <c r="K719" s="34">
        <f t="shared" si="327"/>
        <v>0</v>
      </c>
      <c r="L719" s="34">
        <f t="shared" si="327"/>
        <v>0</v>
      </c>
      <c r="M719" s="34">
        <f t="shared" si="327"/>
        <v>0</v>
      </c>
      <c r="N719" s="34">
        <f t="shared" si="327"/>
        <v>0</v>
      </c>
      <c r="O719" s="34">
        <f t="shared" si="327"/>
        <v>0</v>
      </c>
      <c r="P719" s="34">
        <f t="shared" si="327"/>
        <v>0</v>
      </c>
      <c r="Q719" s="34">
        <f t="shared" si="327"/>
        <v>0</v>
      </c>
      <c r="R719" s="34">
        <f t="shared" si="327"/>
        <v>0</v>
      </c>
      <c r="S719" s="34">
        <f t="shared" si="327"/>
        <v>0</v>
      </c>
      <c r="T719" s="34">
        <f t="shared" si="327"/>
        <v>0</v>
      </c>
      <c r="U719" s="34">
        <f t="shared" si="327"/>
        <v>0</v>
      </c>
      <c r="V719" s="34">
        <f t="shared" si="327"/>
        <v>0</v>
      </c>
      <c r="W719" s="34">
        <f t="shared" si="327"/>
        <v>0</v>
      </c>
      <c r="X719" s="34">
        <f t="shared" si="327"/>
        <v>0</v>
      </c>
      <c r="Y719" s="34">
        <f t="shared" si="327"/>
        <v>0</v>
      </c>
      <c r="Z719" s="34">
        <f t="shared" si="327"/>
        <v>0</v>
      </c>
      <c r="AA719" s="34">
        <f t="shared" si="327"/>
        <v>0</v>
      </c>
      <c r="AB719" s="34">
        <f t="shared" si="327"/>
        <v>0</v>
      </c>
      <c r="AC719" s="34">
        <f t="shared" si="327"/>
        <v>0</v>
      </c>
      <c r="AD719" s="34">
        <f t="shared" si="327"/>
        <v>0</v>
      </c>
      <c r="AE719" s="34">
        <f t="shared" si="327"/>
        <v>0</v>
      </c>
      <c r="AF719" s="34">
        <f t="shared" si="327"/>
        <v>0</v>
      </c>
      <c r="AG719" s="34">
        <f t="shared" si="327"/>
        <v>0</v>
      </c>
      <c r="AH719" s="34">
        <f t="shared" si="327"/>
        <v>0</v>
      </c>
      <c r="AI719" s="34">
        <f t="shared" si="327"/>
        <v>0</v>
      </c>
      <c r="AJ719" s="34">
        <f t="shared" si="327"/>
        <v>0</v>
      </c>
      <c r="AK719" s="34">
        <f t="shared" si="327"/>
        <v>0</v>
      </c>
      <c r="AL719" s="34">
        <f t="shared" si="327"/>
        <v>0</v>
      </c>
      <c r="AM719" s="34">
        <f t="shared" si="327"/>
        <v>0</v>
      </c>
      <c r="AN719" s="34">
        <f t="shared" si="327"/>
        <v>0</v>
      </c>
      <c r="AO719" s="34"/>
      <c r="AP719" s="75">
        <f>AO714</f>
        <v>0</v>
      </c>
      <c r="AQ719" s="1"/>
    </row>
    <row r="720" ht="15.75" customHeight="1">
      <c r="A720" s="1"/>
      <c r="B720" s="32"/>
      <c r="C720" s="12" t="s">
        <v>254</v>
      </c>
      <c r="D720" s="32" t="s">
        <v>255</v>
      </c>
      <c r="E720" s="13"/>
      <c r="F720" s="14" t="s">
        <v>23</v>
      </c>
      <c r="G720" s="44"/>
      <c r="H720" s="34">
        <v>29.0</v>
      </c>
      <c r="I720" s="34">
        <f t="shared" ref="I720:AO720" si="328">H725</f>
        <v>29</v>
      </c>
      <c r="J720" s="34">
        <f t="shared" si="328"/>
        <v>29</v>
      </c>
      <c r="K720" s="34">
        <f t="shared" si="328"/>
        <v>29</v>
      </c>
      <c r="L720" s="34">
        <f t="shared" si="328"/>
        <v>29</v>
      </c>
      <c r="M720" s="34">
        <f t="shared" si="328"/>
        <v>29</v>
      </c>
      <c r="N720" s="34">
        <f t="shared" si="328"/>
        <v>3</v>
      </c>
      <c r="O720" s="34">
        <f t="shared" si="328"/>
        <v>3</v>
      </c>
      <c r="P720" s="34">
        <f t="shared" si="328"/>
        <v>3</v>
      </c>
      <c r="Q720" s="34">
        <f t="shared" si="328"/>
        <v>3</v>
      </c>
      <c r="R720" s="34">
        <f t="shared" si="328"/>
        <v>3</v>
      </c>
      <c r="S720" s="34">
        <f t="shared" si="328"/>
        <v>3</v>
      </c>
      <c r="T720" s="34">
        <f t="shared" si="328"/>
        <v>3</v>
      </c>
      <c r="U720" s="34">
        <f t="shared" si="328"/>
        <v>3</v>
      </c>
      <c r="V720" s="34">
        <f t="shared" si="328"/>
        <v>3</v>
      </c>
      <c r="W720" s="34">
        <f t="shared" si="328"/>
        <v>3</v>
      </c>
      <c r="X720" s="34">
        <f t="shared" si="328"/>
        <v>3</v>
      </c>
      <c r="Y720" s="34">
        <f t="shared" si="328"/>
        <v>3</v>
      </c>
      <c r="Z720" s="34">
        <f t="shared" si="328"/>
        <v>3</v>
      </c>
      <c r="AA720" s="34">
        <f t="shared" si="328"/>
        <v>3</v>
      </c>
      <c r="AB720" s="34">
        <f t="shared" si="328"/>
        <v>3</v>
      </c>
      <c r="AC720" s="34">
        <f t="shared" si="328"/>
        <v>3</v>
      </c>
      <c r="AD720" s="34">
        <f t="shared" si="328"/>
        <v>3</v>
      </c>
      <c r="AE720" s="34">
        <f t="shared" si="328"/>
        <v>3</v>
      </c>
      <c r="AF720" s="34">
        <f t="shared" si="328"/>
        <v>3</v>
      </c>
      <c r="AG720" s="34">
        <f t="shared" si="328"/>
        <v>3</v>
      </c>
      <c r="AH720" s="34">
        <f t="shared" si="328"/>
        <v>3</v>
      </c>
      <c r="AI720" s="34">
        <f t="shared" si="328"/>
        <v>3</v>
      </c>
      <c r="AJ720" s="34">
        <f t="shared" si="328"/>
        <v>3</v>
      </c>
      <c r="AK720" s="34">
        <f t="shared" si="328"/>
        <v>3</v>
      </c>
      <c r="AL720" s="34">
        <f t="shared" si="328"/>
        <v>3</v>
      </c>
      <c r="AM720" s="34">
        <f t="shared" si="328"/>
        <v>3</v>
      </c>
      <c r="AN720" s="34">
        <f t="shared" si="328"/>
        <v>3</v>
      </c>
      <c r="AO720" s="34">
        <f t="shared" si="328"/>
        <v>3</v>
      </c>
      <c r="AP720" s="54"/>
      <c r="AQ720" s="1"/>
    </row>
    <row r="721" ht="15.75" customHeight="1">
      <c r="A721" s="1"/>
      <c r="B721" s="35"/>
      <c r="C721" s="84"/>
      <c r="D721" s="35"/>
      <c r="E721" s="33" t="s">
        <v>24</v>
      </c>
      <c r="F721" s="36" t="s">
        <v>25</v>
      </c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8"/>
      <c r="T721" s="37"/>
      <c r="U721" s="38"/>
      <c r="V721" s="37"/>
      <c r="W721" s="37"/>
      <c r="X721" s="37"/>
      <c r="Y721" s="37"/>
      <c r="Z721" s="37"/>
      <c r="AA721" s="37"/>
      <c r="AB721" s="37"/>
      <c r="AC721" s="37"/>
      <c r="AD721" s="38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9">
        <f t="shared" ref="AP721:AP724" si="329">SUM(H721:AO721)</f>
        <v>0</v>
      </c>
      <c r="AQ721" s="1"/>
    </row>
    <row r="722" ht="15.75" customHeight="1">
      <c r="A722" s="51"/>
      <c r="B722" s="35"/>
      <c r="C722" s="84"/>
      <c r="D722" s="35"/>
      <c r="E722" s="47"/>
      <c r="F722" s="40" t="s">
        <v>26</v>
      </c>
      <c r="G722" s="49"/>
      <c r="H722" s="49"/>
      <c r="I722" s="49"/>
      <c r="J722" s="49"/>
      <c r="K722" s="49"/>
      <c r="L722" s="49"/>
      <c r="M722" s="49">
        <v>26.0</v>
      </c>
      <c r="N722" s="49"/>
      <c r="O722" s="49"/>
      <c r="P722" s="49"/>
      <c r="Q722" s="49"/>
      <c r="R722" s="49"/>
      <c r="S722" s="48"/>
      <c r="T722" s="49"/>
      <c r="U722" s="48"/>
      <c r="V722" s="49"/>
      <c r="W722" s="49"/>
      <c r="X722" s="49"/>
      <c r="Y722" s="49"/>
      <c r="Z722" s="49"/>
      <c r="AA722" s="49"/>
      <c r="AB722" s="49"/>
      <c r="AC722" s="49"/>
      <c r="AD722" s="48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50">
        <f t="shared" si="329"/>
        <v>26</v>
      </c>
      <c r="AQ722" s="51"/>
    </row>
    <row r="723" ht="15.75" customHeight="1">
      <c r="A723" s="1"/>
      <c r="B723" s="35"/>
      <c r="C723" s="84"/>
      <c r="D723" s="35"/>
      <c r="E723" s="33" t="s">
        <v>27</v>
      </c>
      <c r="F723" s="41" t="s">
        <v>28</v>
      </c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8"/>
      <c r="T723" s="37"/>
      <c r="U723" s="38"/>
      <c r="V723" s="37"/>
      <c r="W723" s="37"/>
      <c r="X723" s="37"/>
      <c r="Y723" s="37"/>
      <c r="Z723" s="37"/>
      <c r="AA723" s="37"/>
      <c r="AB723" s="37"/>
      <c r="AC723" s="37"/>
      <c r="AD723" s="38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9">
        <f t="shared" si="329"/>
        <v>0</v>
      </c>
      <c r="AQ723" s="1"/>
    </row>
    <row r="724" ht="15.75" customHeight="1">
      <c r="A724" s="1"/>
      <c r="B724" s="35"/>
      <c r="C724" s="84"/>
      <c r="D724" s="35"/>
      <c r="E724" s="33"/>
      <c r="F724" s="41" t="s">
        <v>29</v>
      </c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8"/>
      <c r="T724" s="37"/>
      <c r="U724" s="38"/>
      <c r="V724" s="37"/>
      <c r="W724" s="37"/>
      <c r="X724" s="37"/>
      <c r="Y724" s="37"/>
      <c r="Z724" s="37"/>
      <c r="AA724" s="37"/>
      <c r="AB724" s="37"/>
      <c r="AC724" s="37"/>
      <c r="AD724" s="38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9">
        <f t="shared" si="329"/>
        <v>0</v>
      </c>
      <c r="AQ724" s="1"/>
    </row>
    <row r="725" ht="15.75" customHeight="1">
      <c r="A725" s="1"/>
      <c r="B725" s="42"/>
      <c r="C725" s="18"/>
      <c r="D725" s="42"/>
      <c r="E725" s="52"/>
      <c r="F725" s="43" t="s">
        <v>30</v>
      </c>
      <c r="G725" s="44"/>
      <c r="H725" s="34">
        <f t="shared" ref="H725:AN725" si="330">H720+H721-H722+H723-H724</f>
        <v>29</v>
      </c>
      <c r="I725" s="34">
        <f t="shared" si="330"/>
        <v>29</v>
      </c>
      <c r="J725" s="34">
        <f t="shared" si="330"/>
        <v>29</v>
      </c>
      <c r="K725" s="34">
        <f t="shared" si="330"/>
        <v>29</v>
      </c>
      <c r="L725" s="34">
        <f t="shared" si="330"/>
        <v>29</v>
      </c>
      <c r="M725" s="34">
        <f t="shared" si="330"/>
        <v>3</v>
      </c>
      <c r="N725" s="34">
        <f t="shared" si="330"/>
        <v>3</v>
      </c>
      <c r="O725" s="34">
        <f t="shared" si="330"/>
        <v>3</v>
      </c>
      <c r="P725" s="34">
        <f t="shared" si="330"/>
        <v>3</v>
      </c>
      <c r="Q725" s="34">
        <f t="shared" si="330"/>
        <v>3</v>
      </c>
      <c r="R725" s="34">
        <f t="shared" si="330"/>
        <v>3</v>
      </c>
      <c r="S725" s="34">
        <f t="shared" si="330"/>
        <v>3</v>
      </c>
      <c r="T725" s="34">
        <f t="shared" si="330"/>
        <v>3</v>
      </c>
      <c r="U725" s="34">
        <f t="shared" si="330"/>
        <v>3</v>
      </c>
      <c r="V725" s="34">
        <f t="shared" si="330"/>
        <v>3</v>
      </c>
      <c r="W725" s="34">
        <f t="shared" si="330"/>
        <v>3</v>
      </c>
      <c r="X725" s="34">
        <f t="shared" si="330"/>
        <v>3</v>
      </c>
      <c r="Y725" s="34">
        <f t="shared" si="330"/>
        <v>3</v>
      </c>
      <c r="Z725" s="34">
        <f t="shared" si="330"/>
        <v>3</v>
      </c>
      <c r="AA725" s="34">
        <f t="shared" si="330"/>
        <v>3</v>
      </c>
      <c r="AB725" s="34">
        <f t="shared" si="330"/>
        <v>3</v>
      </c>
      <c r="AC725" s="34">
        <f t="shared" si="330"/>
        <v>3</v>
      </c>
      <c r="AD725" s="34">
        <f t="shared" si="330"/>
        <v>3</v>
      </c>
      <c r="AE725" s="34">
        <f t="shared" si="330"/>
        <v>3</v>
      </c>
      <c r="AF725" s="34">
        <f t="shared" si="330"/>
        <v>3</v>
      </c>
      <c r="AG725" s="34">
        <f t="shared" si="330"/>
        <v>3</v>
      </c>
      <c r="AH725" s="34">
        <f t="shared" si="330"/>
        <v>3</v>
      </c>
      <c r="AI725" s="34">
        <f t="shared" si="330"/>
        <v>3</v>
      </c>
      <c r="AJ725" s="34">
        <f t="shared" si="330"/>
        <v>3</v>
      </c>
      <c r="AK725" s="34">
        <f t="shared" si="330"/>
        <v>3</v>
      </c>
      <c r="AL725" s="34">
        <f t="shared" si="330"/>
        <v>3</v>
      </c>
      <c r="AM725" s="34">
        <f t="shared" si="330"/>
        <v>3</v>
      </c>
      <c r="AN725" s="34">
        <f t="shared" si="330"/>
        <v>3</v>
      </c>
      <c r="AO725" s="34"/>
      <c r="AP725" s="75">
        <f>AO720</f>
        <v>3</v>
      </c>
      <c r="AQ725" s="1"/>
    </row>
    <row r="726" ht="15.75" customHeight="1">
      <c r="A726" s="1"/>
      <c r="B726" s="32"/>
      <c r="C726" s="12" t="s">
        <v>256</v>
      </c>
      <c r="D726" s="32" t="s">
        <v>255</v>
      </c>
      <c r="E726" s="13"/>
      <c r="F726" s="14" t="s">
        <v>23</v>
      </c>
      <c r="G726" s="44"/>
      <c r="H726" s="34">
        <v>0.0</v>
      </c>
      <c r="I726" s="34">
        <f t="shared" ref="I726:AO726" si="331">H731</f>
        <v>0</v>
      </c>
      <c r="J726" s="34">
        <f t="shared" si="331"/>
        <v>0</v>
      </c>
      <c r="K726" s="34">
        <f t="shared" si="331"/>
        <v>0</v>
      </c>
      <c r="L726" s="34">
        <f t="shared" si="331"/>
        <v>0</v>
      </c>
      <c r="M726" s="34">
        <f t="shared" si="331"/>
        <v>0</v>
      </c>
      <c r="N726" s="34">
        <f t="shared" si="331"/>
        <v>0</v>
      </c>
      <c r="O726" s="34">
        <f t="shared" si="331"/>
        <v>0</v>
      </c>
      <c r="P726" s="34">
        <f t="shared" si="331"/>
        <v>0</v>
      </c>
      <c r="Q726" s="34">
        <f t="shared" si="331"/>
        <v>0</v>
      </c>
      <c r="R726" s="34">
        <f t="shared" si="331"/>
        <v>0</v>
      </c>
      <c r="S726" s="34">
        <f t="shared" si="331"/>
        <v>0</v>
      </c>
      <c r="T726" s="34">
        <f t="shared" si="331"/>
        <v>0</v>
      </c>
      <c r="U726" s="34">
        <f t="shared" si="331"/>
        <v>0</v>
      </c>
      <c r="V726" s="34">
        <f t="shared" si="331"/>
        <v>0</v>
      </c>
      <c r="W726" s="34">
        <f t="shared" si="331"/>
        <v>0</v>
      </c>
      <c r="X726" s="34">
        <f t="shared" si="331"/>
        <v>0</v>
      </c>
      <c r="Y726" s="34">
        <f t="shared" si="331"/>
        <v>0</v>
      </c>
      <c r="Z726" s="34">
        <f t="shared" si="331"/>
        <v>0</v>
      </c>
      <c r="AA726" s="34">
        <f t="shared" si="331"/>
        <v>0</v>
      </c>
      <c r="AB726" s="34">
        <f t="shared" si="331"/>
        <v>0</v>
      </c>
      <c r="AC726" s="34">
        <f t="shared" si="331"/>
        <v>0</v>
      </c>
      <c r="AD726" s="34">
        <f t="shared" si="331"/>
        <v>0</v>
      </c>
      <c r="AE726" s="34">
        <f t="shared" si="331"/>
        <v>0</v>
      </c>
      <c r="AF726" s="34">
        <f t="shared" si="331"/>
        <v>0</v>
      </c>
      <c r="AG726" s="34">
        <f t="shared" si="331"/>
        <v>0</v>
      </c>
      <c r="AH726" s="34">
        <f t="shared" si="331"/>
        <v>0</v>
      </c>
      <c r="AI726" s="34">
        <f t="shared" si="331"/>
        <v>0</v>
      </c>
      <c r="AJ726" s="34">
        <f t="shared" si="331"/>
        <v>0</v>
      </c>
      <c r="AK726" s="34">
        <f t="shared" si="331"/>
        <v>0</v>
      </c>
      <c r="AL726" s="34">
        <f t="shared" si="331"/>
        <v>0</v>
      </c>
      <c r="AM726" s="34">
        <f t="shared" si="331"/>
        <v>0</v>
      </c>
      <c r="AN726" s="34">
        <f t="shared" si="331"/>
        <v>0</v>
      </c>
      <c r="AO726" s="34">
        <f t="shared" si="331"/>
        <v>0</v>
      </c>
      <c r="AP726" s="54"/>
      <c r="AQ726" s="1"/>
    </row>
    <row r="727" ht="15.75" customHeight="1">
      <c r="A727" s="1"/>
      <c r="B727" s="35"/>
      <c r="C727" s="84"/>
      <c r="D727" s="35"/>
      <c r="E727" s="33" t="s">
        <v>24</v>
      </c>
      <c r="F727" s="36" t="s">
        <v>25</v>
      </c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8"/>
      <c r="T727" s="37"/>
      <c r="U727" s="38"/>
      <c r="V727" s="37"/>
      <c r="W727" s="37"/>
      <c r="X727" s="37"/>
      <c r="Y727" s="37"/>
      <c r="Z727" s="37"/>
      <c r="AA727" s="37"/>
      <c r="AB727" s="37"/>
      <c r="AC727" s="37"/>
      <c r="AD727" s="38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9">
        <f t="shared" ref="AP727:AP730" si="332">SUM(H727:AO727)</f>
        <v>0</v>
      </c>
      <c r="AQ727" s="1"/>
    </row>
    <row r="728" ht="15.75" customHeight="1">
      <c r="A728" s="1"/>
      <c r="B728" s="35"/>
      <c r="C728" s="84"/>
      <c r="D728" s="35"/>
      <c r="E728" s="33"/>
      <c r="F728" s="40" t="s">
        <v>26</v>
      </c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8"/>
      <c r="T728" s="37"/>
      <c r="U728" s="38"/>
      <c r="V728" s="37"/>
      <c r="W728" s="37"/>
      <c r="X728" s="37"/>
      <c r="Y728" s="37"/>
      <c r="Z728" s="37"/>
      <c r="AA728" s="37"/>
      <c r="AB728" s="37"/>
      <c r="AC728" s="37"/>
      <c r="AD728" s="38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9">
        <f t="shared" si="332"/>
        <v>0</v>
      </c>
      <c r="AQ728" s="1"/>
    </row>
    <row r="729" ht="15.75" customHeight="1">
      <c r="A729" s="1"/>
      <c r="B729" s="35"/>
      <c r="C729" s="84"/>
      <c r="D729" s="35"/>
      <c r="E729" s="33" t="s">
        <v>27</v>
      </c>
      <c r="F729" s="41" t="s">
        <v>28</v>
      </c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8"/>
      <c r="T729" s="37"/>
      <c r="U729" s="38"/>
      <c r="V729" s="37"/>
      <c r="W729" s="37"/>
      <c r="X729" s="37"/>
      <c r="Y729" s="37"/>
      <c r="Z729" s="37"/>
      <c r="AA729" s="37"/>
      <c r="AB729" s="37"/>
      <c r="AC729" s="37"/>
      <c r="AD729" s="38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9">
        <f t="shared" si="332"/>
        <v>0</v>
      </c>
      <c r="AQ729" s="1"/>
    </row>
    <row r="730" ht="15.75" customHeight="1">
      <c r="A730" s="1"/>
      <c r="B730" s="35"/>
      <c r="C730" s="84"/>
      <c r="D730" s="35"/>
      <c r="E730" s="33"/>
      <c r="F730" s="41" t="s">
        <v>29</v>
      </c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8"/>
      <c r="T730" s="37"/>
      <c r="U730" s="38"/>
      <c r="V730" s="37"/>
      <c r="W730" s="37"/>
      <c r="X730" s="37"/>
      <c r="Y730" s="37"/>
      <c r="Z730" s="37"/>
      <c r="AA730" s="37"/>
      <c r="AB730" s="37"/>
      <c r="AC730" s="37"/>
      <c r="AD730" s="38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9">
        <f t="shared" si="332"/>
        <v>0</v>
      </c>
      <c r="AQ730" s="1"/>
    </row>
    <row r="731" ht="15.75" customHeight="1">
      <c r="A731" s="1"/>
      <c r="B731" s="42"/>
      <c r="C731" s="18"/>
      <c r="D731" s="42"/>
      <c r="E731" s="52"/>
      <c r="F731" s="43" t="s">
        <v>30</v>
      </c>
      <c r="G731" s="44"/>
      <c r="H731" s="34">
        <f t="shared" ref="H731:AN731" si="333">H726+H727-H728+H729-H730</f>
        <v>0</v>
      </c>
      <c r="I731" s="34">
        <f t="shared" si="333"/>
        <v>0</v>
      </c>
      <c r="J731" s="34">
        <f t="shared" si="333"/>
        <v>0</v>
      </c>
      <c r="K731" s="34">
        <f t="shared" si="333"/>
        <v>0</v>
      </c>
      <c r="L731" s="34">
        <f t="shared" si="333"/>
        <v>0</v>
      </c>
      <c r="M731" s="34">
        <f t="shared" si="333"/>
        <v>0</v>
      </c>
      <c r="N731" s="34">
        <f t="shared" si="333"/>
        <v>0</v>
      </c>
      <c r="O731" s="34">
        <f t="shared" si="333"/>
        <v>0</v>
      </c>
      <c r="P731" s="34">
        <f t="shared" si="333"/>
        <v>0</v>
      </c>
      <c r="Q731" s="34">
        <f t="shared" si="333"/>
        <v>0</v>
      </c>
      <c r="R731" s="34">
        <f t="shared" si="333"/>
        <v>0</v>
      </c>
      <c r="S731" s="34">
        <f t="shared" si="333"/>
        <v>0</v>
      </c>
      <c r="T731" s="34">
        <f t="shared" si="333"/>
        <v>0</v>
      </c>
      <c r="U731" s="34">
        <f t="shared" si="333"/>
        <v>0</v>
      </c>
      <c r="V731" s="34">
        <f t="shared" si="333"/>
        <v>0</v>
      </c>
      <c r="W731" s="34">
        <f t="shared" si="333"/>
        <v>0</v>
      </c>
      <c r="X731" s="34">
        <f t="shared" si="333"/>
        <v>0</v>
      </c>
      <c r="Y731" s="34">
        <f t="shared" si="333"/>
        <v>0</v>
      </c>
      <c r="Z731" s="34">
        <f t="shared" si="333"/>
        <v>0</v>
      </c>
      <c r="AA731" s="34">
        <f t="shared" si="333"/>
        <v>0</v>
      </c>
      <c r="AB731" s="34">
        <f t="shared" si="333"/>
        <v>0</v>
      </c>
      <c r="AC731" s="34">
        <f t="shared" si="333"/>
        <v>0</v>
      </c>
      <c r="AD731" s="34">
        <f t="shared" si="333"/>
        <v>0</v>
      </c>
      <c r="AE731" s="34">
        <f t="shared" si="333"/>
        <v>0</v>
      </c>
      <c r="AF731" s="34">
        <f t="shared" si="333"/>
        <v>0</v>
      </c>
      <c r="AG731" s="34">
        <f t="shared" si="333"/>
        <v>0</v>
      </c>
      <c r="AH731" s="34">
        <f t="shared" si="333"/>
        <v>0</v>
      </c>
      <c r="AI731" s="34">
        <f t="shared" si="333"/>
        <v>0</v>
      </c>
      <c r="AJ731" s="34">
        <f t="shared" si="333"/>
        <v>0</v>
      </c>
      <c r="AK731" s="34">
        <f t="shared" si="333"/>
        <v>0</v>
      </c>
      <c r="AL731" s="34">
        <f t="shared" si="333"/>
        <v>0</v>
      </c>
      <c r="AM731" s="34">
        <f t="shared" si="333"/>
        <v>0</v>
      </c>
      <c r="AN731" s="34">
        <f t="shared" si="333"/>
        <v>0</v>
      </c>
      <c r="AO731" s="34"/>
      <c r="AP731" s="75">
        <f>AO726</f>
        <v>0</v>
      </c>
      <c r="AQ731" s="1"/>
    </row>
    <row r="732" ht="15.75" customHeight="1">
      <c r="A732" s="1"/>
      <c r="B732" s="32"/>
      <c r="C732" s="32" t="s">
        <v>257</v>
      </c>
      <c r="D732" s="32" t="s">
        <v>242</v>
      </c>
      <c r="E732" s="33"/>
      <c r="F732" s="14" t="s">
        <v>23</v>
      </c>
      <c r="G732" s="44"/>
      <c r="H732" s="34" t="str">
        <f t="shared" ref="H732:AO732" si="334">G737</f>
        <v/>
      </c>
      <c r="I732" s="34">
        <f t="shared" si="334"/>
        <v>0</v>
      </c>
      <c r="J732" s="34">
        <f t="shared" si="334"/>
        <v>0</v>
      </c>
      <c r="K732" s="34">
        <f t="shared" si="334"/>
        <v>0</v>
      </c>
      <c r="L732" s="34">
        <f t="shared" si="334"/>
        <v>0</v>
      </c>
      <c r="M732" s="34">
        <f t="shared" si="334"/>
        <v>0</v>
      </c>
      <c r="N732" s="34">
        <f t="shared" si="334"/>
        <v>0</v>
      </c>
      <c r="O732" s="34">
        <f t="shared" si="334"/>
        <v>0</v>
      </c>
      <c r="P732" s="34">
        <f t="shared" si="334"/>
        <v>0</v>
      </c>
      <c r="Q732" s="34">
        <f t="shared" si="334"/>
        <v>0</v>
      </c>
      <c r="R732" s="34">
        <f t="shared" si="334"/>
        <v>0</v>
      </c>
      <c r="S732" s="34">
        <f t="shared" si="334"/>
        <v>0</v>
      </c>
      <c r="T732" s="34">
        <f t="shared" si="334"/>
        <v>0</v>
      </c>
      <c r="U732" s="34">
        <f t="shared" si="334"/>
        <v>0</v>
      </c>
      <c r="V732" s="34">
        <f t="shared" si="334"/>
        <v>0</v>
      </c>
      <c r="W732" s="34">
        <f t="shared" si="334"/>
        <v>0</v>
      </c>
      <c r="X732" s="34">
        <f t="shared" si="334"/>
        <v>0</v>
      </c>
      <c r="Y732" s="34">
        <f t="shared" si="334"/>
        <v>0</v>
      </c>
      <c r="Z732" s="34">
        <f t="shared" si="334"/>
        <v>0</v>
      </c>
      <c r="AA732" s="34">
        <f t="shared" si="334"/>
        <v>0</v>
      </c>
      <c r="AB732" s="34">
        <f t="shared" si="334"/>
        <v>0</v>
      </c>
      <c r="AC732" s="34">
        <f t="shared" si="334"/>
        <v>0</v>
      </c>
      <c r="AD732" s="34">
        <f t="shared" si="334"/>
        <v>0</v>
      </c>
      <c r="AE732" s="34">
        <f t="shared" si="334"/>
        <v>0</v>
      </c>
      <c r="AF732" s="34">
        <f t="shared" si="334"/>
        <v>0</v>
      </c>
      <c r="AG732" s="34">
        <f t="shared" si="334"/>
        <v>0</v>
      </c>
      <c r="AH732" s="34">
        <f t="shared" si="334"/>
        <v>0</v>
      </c>
      <c r="AI732" s="34">
        <f t="shared" si="334"/>
        <v>0</v>
      </c>
      <c r="AJ732" s="34">
        <f t="shared" si="334"/>
        <v>0</v>
      </c>
      <c r="AK732" s="34">
        <f t="shared" si="334"/>
        <v>0</v>
      </c>
      <c r="AL732" s="34">
        <f t="shared" si="334"/>
        <v>0</v>
      </c>
      <c r="AM732" s="34">
        <f t="shared" si="334"/>
        <v>0</v>
      </c>
      <c r="AN732" s="34">
        <f t="shared" si="334"/>
        <v>0</v>
      </c>
      <c r="AO732" s="34">
        <f t="shared" si="334"/>
        <v>0</v>
      </c>
      <c r="AP732" s="54"/>
      <c r="AQ732" s="1"/>
    </row>
    <row r="733" ht="15.75" customHeight="1">
      <c r="A733" s="1"/>
      <c r="B733" s="35"/>
      <c r="C733" s="35"/>
      <c r="D733" s="35"/>
      <c r="E733" s="33" t="s">
        <v>24</v>
      </c>
      <c r="F733" s="36" t="s">
        <v>25</v>
      </c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8"/>
      <c r="T733" s="37"/>
      <c r="U733" s="38"/>
      <c r="V733" s="37"/>
      <c r="W733" s="37"/>
      <c r="X733" s="37"/>
      <c r="Y733" s="37"/>
      <c r="Z733" s="37"/>
      <c r="AA733" s="37"/>
      <c r="AB733" s="37"/>
      <c r="AC733" s="37"/>
      <c r="AD733" s="38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9">
        <f t="shared" ref="AP733:AP736" si="335">SUM(H733:AO733)</f>
        <v>0</v>
      </c>
      <c r="AQ733" s="1"/>
    </row>
    <row r="734" ht="15.75" customHeight="1">
      <c r="A734" s="1"/>
      <c r="B734" s="35"/>
      <c r="C734" s="35"/>
      <c r="D734" s="35"/>
      <c r="E734" s="33"/>
      <c r="F734" s="40" t="s">
        <v>26</v>
      </c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8"/>
      <c r="T734" s="37"/>
      <c r="U734" s="38"/>
      <c r="V734" s="37"/>
      <c r="W734" s="37"/>
      <c r="X734" s="37"/>
      <c r="Y734" s="37"/>
      <c r="Z734" s="37"/>
      <c r="AA734" s="37"/>
      <c r="AB734" s="37"/>
      <c r="AC734" s="37"/>
      <c r="AD734" s="38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9">
        <f t="shared" si="335"/>
        <v>0</v>
      </c>
      <c r="AQ734" s="1"/>
    </row>
    <row r="735" ht="15.75" customHeight="1">
      <c r="A735" s="1"/>
      <c r="B735" s="35"/>
      <c r="C735" s="35"/>
      <c r="D735" s="35"/>
      <c r="E735" s="33" t="s">
        <v>27</v>
      </c>
      <c r="F735" s="41" t="s">
        <v>28</v>
      </c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8"/>
      <c r="T735" s="37"/>
      <c r="U735" s="38"/>
      <c r="V735" s="37"/>
      <c r="W735" s="37"/>
      <c r="X735" s="37"/>
      <c r="Y735" s="37"/>
      <c r="Z735" s="37"/>
      <c r="AA735" s="37"/>
      <c r="AB735" s="37"/>
      <c r="AC735" s="37"/>
      <c r="AD735" s="38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9">
        <f t="shared" si="335"/>
        <v>0</v>
      </c>
      <c r="AQ735" s="1"/>
    </row>
    <row r="736" ht="15.75" customHeight="1">
      <c r="A736" s="1"/>
      <c r="B736" s="35"/>
      <c r="C736" s="35"/>
      <c r="D736" s="35"/>
      <c r="E736" s="33"/>
      <c r="F736" s="41" t="s">
        <v>29</v>
      </c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8"/>
      <c r="T736" s="37"/>
      <c r="U736" s="38"/>
      <c r="V736" s="37"/>
      <c r="W736" s="37"/>
      <c r="X736" s="37"/>
      <c r="Y736" s="37"/>
      <c r="Z736" s="37"/>
      <c r="AA736" s="37"/>
      <c r="AB736" s="37"/>
      <c r="AC736" s="37"/>
      <c r="AD736" s="38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9">
        <f t="shared" si="335"/>
        <v>0</v>
      </c>
      <c r="AQ736" s="1"/>
    </row>
    <row r="737" ht="15.75" customHeight="1">
      <c r="A737" s="1"/>
      <c r="B737" s="42"/>
      <c r="C737" s="42"/>
      <c r="D737" s="42"/>
      <c r="E737" s="19"/>
      <c r="F737" s="43" t="s">
        <v>30</v>
      </c>
      <c r="G737" s="44"/>
      <c r="H737" s="34">
        <f t="shared" ref="H737:AN737" si="336">H732+H733-H734+H735-H736</f>
        <v>0</v>
      </c>
      <c r="I737" s="34">
        <f t="shared" si="336"/>
        <v>0</v>
      </c>
      <c r="J737" s="34">
        <f t="shared" si="336"/>
        <v>0</v>
      </c>
      <c r="K737" s="34">
        <f t="shared" si="336"/>
        <v>0</v>
      </c>
      <c r="L737" s="34">
        <f t="shared" si="336"/>
        <v>0</v>
      </c>
      <c r="M737" s="34">
        <f t="shared" si="336"/>
        <v>0</v>
      </c>
      <c r="N737" s="34">
        <f t="shared" si="336"/>
        <v>0</v>
      </c>
      <c r="O737" s="34">
        <f t="shared" si="336"/>
        <v>0</v>
      </c>
      <c r="P737" s="34">
        <f t="shared" si="336"/>
        <v>0</v>
      </c>
      <c r="Q737" s="34">
        <f t="shared" si="336"/>
        <v>0</v>
      </c>
      <c r="R737" s="34">
        <f t="shared" si="336"/>
        <v>0</v>
      </c>
      <c r="S737" s="34">
        <f t="shared" si="336"/>
        <v>0</v>
      </c>
      <c r="T737" s="34">
        <f t="shared" si="336"/>
        <v>0</v>
      </c>
      <c r="U737" s="34">
        <f t="shared" si="336"/>
        <v>0</v>
      </c>
      <c r="V737" s="34">
        <f t="shared" si="336"/>
        <v>0</v>
      </c>
      <c r="W737" s="34">
        <f t="shared" si="336"/>
        <v>0</v>
      </c>
      <c r="X737" s="34">
        <f t="shared" si="336"/>
        <v>0</v>
      </c>
      <c r="Y737" s="34">
        <f t="shared" si="336"/>
        <v>0</v>
      </c>
      <c r="Z737" s="34">
        <f t="shared" si="336"/>
        <v>0</v>
      </c>
      <c r="AA737" s="34">
        <f t="shared" si="336"/>
        <v>0</v>
      </c>
      <c r="AB737" s="34">
        <f t="shared" si="336"/>
        <v>0</v>
      </c>
      <c r="AC737" s="34">
        <f t="shared" si="336"/>
        <v>0</v>
      </c>
      <c r="AD737" s="34">
        <f t="shared" si="336"/>
        <v>0</v>
      </c>
      <c r="AE737" s="34">
        <f t="shared" si="336"/>
        <v>0</v>
      </c>
      <c r="AF737" s="34">
        <f t="shared" si="336"/>
        <v>0</v>
      </c>
      <c r="AG737" s="34">
        <f t="shared" si="336"/>
        <v>0</v>
      </c>
      <c r="AH737" s="34">
        <f t="shared" si="336"/>
        <v>0</v>
      </c>
      <c r="AI737" s="34">
        <f t="shared" si="336"/>
        <v>0</v>
      </c>
      <c r="AJ737" s="34">
        <f t="shared" si="336"/>
        <v>0</v>
      </c>
      <c r="AK737" s="34">
        <f t="shared" si="336"/>
        <v>0</v>
      </c>
      <c r="AL737" s="34">
        <f t="shared" si="336"/>
        <v>0</v>
      </c>
      <c r="AM737" s="34">
        <f t="shared" si="336"/>
        <v>0</v>
      </c>
      <c r="AN737" s="34">
        <f t="shared" si="336"/>
        <v>0</v>
      </c>
      <c r="AO737" s="34"/>
      <c r="AP737" s="45">
        <f>AO732</f>
        <v>0</v>
      </c>
      <c r="AQ737" s="1"/>
    </row>
    <row r="738" ht="15.75" customHeight="1">
      <c r="A738" s="1"/>
      <c r="B738" s="32"/>
      <c r="C738" s="32" t="s">
        <v>258</v>
      </c>
      <c r="D738" s="32" t="s">
        <v>259</v>
      </c>
      <c r="E738" s="33"/>
      <c r="F738" s="14" t="s">
        <v>23</v>
      </c>
      <c r="G738" s="44"/>
      <c r="H738" s="34" t="str">
        <f t="shared" ref="H738:AO738" si="337">G743</f>
        <v/>
      </c>
      <c r="I738" s="34">
        <f t="shared" si="337"/>
        <v>0</v>
      </c>
      <c r="J738" s="34">
        <f t="shared" si="337"/>
        <v>0</v>
      </c>
      <c r="K738" s="34">
        <f t="shared" si="337"/>
        <v>0</v>
      </c>
      <c r="L738" s="34">
        <f t="shared" si="337"/>
        <v>0</v>
      </c>
      <c r="M738" s="34">
        <f t="shared" si="337"/>
        <v>0</v>
      </c>
      <c r="N738" s="34">
        <f t="shared" si="337"/>
        <v>0</v>
      </c>
      <c r="O738" s="34">
        <f t="shared" si="337"/>
        <v>0</v>
      </c>
      <c r="P738" s="34">
        <f t="shared" si="337"/>
        <v>0</v>
      </c>
      <c r="Q738" s="34">
        <f t="shared" si="337"/>
        <v>0</v>
      </c>
      <c r="R738" s="34">
        <f t="shared" si="337"/>
        <v>0</v>
      </c>
      <c r="S738" s="34">
        <f t="shared" si="337"/>
        <v>0</v>
      </c>
      <c r="T738" s="34">
        <f t="shared" si="337"/>
        <v>0</v>
      </c>
      <c r="U738" s="34">
        <f t="shared" si="337"/>
        <v>0</v>
      </c>
      <c r="V738" s="34">
        <f t="shared" si="337"/>
        <v>0</v>
      </c>
      <c r="W738" s="34">
        <f t="shared" si="337"/>
        <v>0</v>
      </c>
      <c r="X738" s="34">
        <f t="shared" si="337"/>
        <v>0</v>
      </c>
      <c r="Y738" s="34">
        <f t="shared" si="337"/>
        <v>0</v>
      </c>
      <c r="Z738" s="34">
        <f t="shared" si="337"/>
        <v>0</v>
      </c>
      <c r="AA738" s="34">
        <f t="shared" si="337"/>
        <v>0</v>
      </c>
      <c r="AB738" s="34">
        <f t="shared" si="337"/>
        <v>0</v>
      </c>
      <c r="AC738" s="34">
        <f t="shared" si="337"/>
        <v>0</v>
      </c>
      <c r="AD738" s="34">
        <f t="shared" si="337"/>
        <v>0</v>
      </c>
      <c r="AE738" s="34">
        <f t="shared" si="337"/>
        <v>0</v>
      </c>
      <c r="AF738" s="34">
        <f t="shared" si="337"/>
        <v>0</v>
      </c>
      <c r="AG738" s="34">
        <f t="shared" si="337"/>
        <v>0</v>
      </c>
      <c r="AH738" s="34">
        <f t="shared" si="337"/>
        <v>0</v>
      </c>
      <c r="AI738" s="34">
        <f t="shared" si="337"/>
        <v>0</v>
      </c>
      <c r="AJ738" s="34">
        <f t="shared" si="337"/>
        <v>0</v>
      </c>
      <c r="AK738" s="34">
        <f t="shared" si="337"/>
        <v>0</v>
      </c>
      <c r="AL738" s="34">
        <f t="shared" si="337"/>
        <v>0</v>
      </c>
      <c r="AM738" s="34">
        <f t="shared" si="337"/>
        <v>0</v>
      </c>
      <c r="AN738" s="34">
        <f t="shared" si="337"/>
        <v>0</v>
      </c>
      <c r="AO738" s="34">
        <f t="shared" si="337"/>
        <v>0</v>
      </c>
      <c r="AP738" s="54"/>
      <c r="AQ738" s="1"/>
    </row>
    <row r="739" ht="15.75" customHeight="1">
      <c r="A739" s="1"/>
      <c r="B739" s="35"/>
      <c r="C739" s="35"/>
      <c r="D739" s="35"/>
      <c r="E739" s="33" t="s">
        <v>24</v>
      </c>
      <c r="F739" s="36" t="s">
        <v>25</v>
      </c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8"/>
      <c r="T739" s="37"/>
      <c r="U739" s="38"/>
      <c r="V739" s="37"/>
      <c r="W739" s="37"/>
      <c r="X739" s="37"/>
      <c r="Y739" s="37"/>
      <c r="Z739" s="37"/>
      <c r="AA739" s="37"/>
      <c r="AB739" s="37"/>
      <c r="AC739" s="37"/>
      <c r="AD739" s="38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9">
        <f t="shared" ref="AP739:AP742" si="338">SUM(H739:AO739)</f>
        <v>0</v>
      </c>
      <c r="AQ739" s="1"/>
    </row>
    <row r="740" ht="15.75" customHeight="1">
      <c r="A740" s="1"/>
      <c r="B740" s="35"/>
      <c r="C740" s="35"/>
      <c r="D740" s="35"/>
      <c r="E740" s="33"/>
      <c r="F740" s="40" t="s">
        <v>26</v>
      </c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8"/>
      <c r="T740" s="37"/>
      <c r="U740" s="38"/>
      <c r="V740" s="37"/>
      <c r="W740" s="37"/>
      <c r="X740" s="37"/>
      <c r="Y740" s="37"/>
      <c r="Z740" s="37"/>
      <c r="AA740" s="37"/>
      <c r="AB740" s="37"/>
      <c r="AC740" s="37"/>
      <c r="AD740" s="38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9">
        <f t="shared" si="338"/>
        <v>0</v>
      </c>
      <c r="AQ740" s="1"/>
    </row>
    <row r="741" ht="15.75" customHeight="1">
      <c r="A741" s="1"/>
      <c r="B741" s="35"/>
      <c r="C741" s="35"/>
      <c r="D741" s="35"/>
      <c r="E741" s="33" t="s">
        <v>27</v>
      </c>
      <c r="F741" s="41" t="s">
        <v>28</v>
      </c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8"/>
      <c r="T741" s="37"/>
      <c r="U741" s="38"/>
      <c r="V741" s="37"/>
      <c r="W741" s="37"/>
      <c r="X741" s="37"/>
      <c r="Y741" s="37"/>
      <c r="Z741" s="37"/>
      <c r="AA741" s="37"/>
      <c r="AB741" s="37"/>
      <c r="AC741" s="37"/>
      <c r="AD741" s="38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9">
        <f t="shared" si="338"/>
        <v>0</v>
      </c>
      <c r="AQ741" s="1"/>
    </row>
    <row r="742" ht="15.75" customHeight="1">
      <c r="A742" s="1"/>
      <c r="B742" s="35"/>
      <c r="C742" s="35"/>
      <c r="D742" s="35"/>
      <c r="E742" s="33"/>
      <c r="F742" s="41" t="s">
        <v>29</v>
      </c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8"/>
      <c r="T742" s="37"/>
      <c r="U742" s="38"/>
      <c r="V742" s="37"/>
      <c r="W742" s="37"/>
      <c r="X742" s="37"/>
      <c r="Y742" s="37"/>
      <c r="Z742" s="37"/>
      <c r="AA742" s="37"/>
      <c r="AB742" s="37"/>
      <c r="AC742" s="37"/>
      <c r="AD742" s="38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9">
        <f t="shared" si="338"/>
        <v>0</v>
      </c>
      <c r="AQ742" s="1"/>
    </row>
    <row r="743" ht="15.75" customHeight="1">
      <c r="A743" s="1"/>
      <c r="B743" s="42"/>
      <c r="C743" s="42"/>
      <c r="D743" s="42"/>
      <c r="E743" s="19"/>
      <c r="F743" s="43" t="s">
        <v>30</v>
      </c>
      <c r="G743" s="44"/>
      <c r="H743" s="34">
        <f t="shared" ref="H743:AN743" si="339">H738+H739-H740+H741-H742</f>
        <v>0</v>
      </c>
      <c r="I743" s="34">
        <f t="shared" si="339"/>
        <v>0</v>
      </c>
      <c r="J743" s="34">
        <f t="shared" si="339"/>
        <v>0</v>
      </c>
      <c r="K743" s="34">
        <f t="shared" si="339"/>
        <v>0</v>
      </c>
      <c r="L743" s="34">
        <f t="shared" si="339"/>
        <v>0</v>
      </c>
      <c r="M743" s="34">
        <f t="shared" si="339"/>
        <v>0</v>
      </c>
      <c r="N743" s="34">
        <f t="shared" si="339"/>
        <v>0</v>
      </c>
      <c r="O743" s="34">
        <f t="shared" si="339"/>
        <v>0</v>
      </c>
      <c r="P743" s="34">
        <f t="shared" si="339"/>
        <v>0</v>
      </c>
      <c r="Q743" s="34">
        <f t="shared" si="339"/>
        <v>0</v>
      </c>
      <c r="R743" s="34">
        <f t="shared" si="339"/>
        <v>0</v>
      </c>
      <c r="S743" s="34">
        <f t="shared" si="339"/>
        <v>0</v>
      </c>
      <c r="T743" s="34">
        <f t="shared" si="339"/>
        <v>0</v>
      </c>
      <c r="U743" s="34">
        <f t="shared" si="339"/>
        <v>0</v>
      </c>
      <c r="V743" s="34">
        <f t="shared" si="339"/>
        <v>0</v>
      </c>
      <c r="W743" s="34">
        <f t="shared" si="339"/>
        <v>0</v>
      </c>
      <c r="X743" s="34">
        <f t="shared" si="339"/>
        <v>0</v>
      </c>
      <c r="Y743" s="34">
        <f t="shared" si="339"/>
        <v>0</v>
      </c>
      <c r="Z743" s="34">
        <f t="shared" si="339"/>
        <v>0</v>
      </c>
      <c r="AA743" s="34">
        <f t="shared" si="339"/>
        <v>0</v>
      </c>
      <c r="AB743" s="34">
        <f t="shared" si="339"/>
        <v>0</v>
      </c>
      <c r="AC743" s="34">
        <f t="shared" si="339"/>
        <v>0</v>
      </c>
      <c r="AD743" s="34">
        <f t="shared" si="339"/>
        <v>0</v>
      </c>
      <c r="AE743" s="34">
        <f t="shared" si="339"/>
        <v>0</v>
      </c>
      <c r="AF743" s="34">
        <f t="shared" si="339"/>
        <v>0</v>
      </c>
      <c r="AG743" s="34">
        <f t="shared" si="339"/>
        <v>0</v>
      </c>
      <c r="AH743" s="34">
        <f t="shared" si="339"/>
        <v>0</v>
      </c>
      <c r="AI743" s="34">
        <f t="shared" si="339"/>
        <v>0</v>
      </c>
      <c r="AJ743" s="34">
        <f t="shared" si="339"/>
        <v>0</v>
      </c>
      <c r="AK743" s="34">
        <f t="shared" si="339"/>
        <v>0</v>
      </c>
      <c r="AL743" s="34">
        <f t="shared" si="339"/>
        <v>0</v>
      </c>
      <c r="AM743" s="34">
        <f t="shared" si="339"/>
        <v>0</v>
      </c>
      <c r="AN743" s="34">
        <f t="shared" si="339"/>
        <v>0</v>
      </c>
      <c r="AO743" s="34"/>
      <c r="AP743" s="45">
        <f>AO738</f>
        <v>0</v>
      </c>
      <c r="AQ743" s="1"/>
    </row>
    <row r="744" ht="15.75" customHeight="1">
      <c r="A744" s="1"/>
      <c r="B744" s="32"/>
      <c r="C744" s="32" t="s">
        <v>260</v>
      </c>
      <c r="D744" s="32" t="s">
        <v>261</v>
      </c>
      <c r="E744" s="33"/>
      <c r="F744" s="14" t="s">
        <v>23</v>
      </c>
      <c r="G744" s="44"/>
      <c r="H744" s="34">
        <v>0.0</v>
      </c>
      <c r="I744" s="34">
        <f t="shared" ref="I744:AO744" si="340">H749</f>
        <v>0</v>
      </c>
      <c r="J744" s="34">
        <f t="shared" si="340"/>
        <v>0</v>
      </c>
      <c r="K744" s="34">
        <f t="shared" si="340"/>
        <v>0</v>
      </c>
      <c r="L744" s="34">
        <f t="shared" si="340"/>
        <v>0</v>
      </c>
      <c r="M744" s="34">
        <f t="shared" si="340"/>
        <v>0</v>
      </c>
      <c r="N744" s="34">
        <f t="shared" si="340"/>
        <v>0</v>
      </c>
      <c r="O744" s="34">
        <f t="shared" si="340"/>
        <v>0</v>
      </c>
      <c r="P744" s="34">
        <f t="shared" si="340"/>
        <v>0</v>
      </c>
      <c r="Q744" s="34">
        <f t="shared" si="340"/>
        <v>20</v>
      </c>
      <c r="R744" s="34">
        <f t="shared" si="340"/>
        <v>20</v>
      </c>
      <c r="S744" s="34">
        <f t="shared" si="340"/>
        <v>20</v>
      </c>
      <c r="T744" s="34">
        <f t="shared" si="340"/>
        <v>20</v>
      </c>
      <c r="U744" s="34">
        <f t="shared" si="340"/>
        <v>0</v>
      </c>
      <c r="V744" s="34">
        <f t="shared" si="340"/>
        <v>0</v>
      </c>
      <c r="W744" s="34">
        <f t="shared" si="340"/>
        <v>0</v>
      </c>
      <c r="X744" s="34">
        <f t="shared" si="340"/>
        <v>0</v>
      </c>
      <c r="Y744" s="34">
        <f t="shared" si="340"/>
        <v>0</v>
      </c>
      <c r="Z744" s="34">
        <f t="shared" si="340"/>
        <v>0</v>
      </c>
      <c r="AA744" s="34">
        <f t="shared" si="340"/>
        <v>0</v>
      </c>
      <c r="AB744" s="34">
        <f t="shared" si="340"/>
        <v>0</v>
      </c>
      <c r="AC744" s="34">
        <f t="shared" si="340"/>
        <v>0</v>
      </c>
      <c r="AD744" s="34">
        <f t="shared" si="340"/>
        <v>0</v>
      </c>
      <c r="AE744" s="34">
        <f t="shared" si="340"/>
        <v>0</v>
      </c>
      <c r="AF744" s="34">
        <f t="shared" si="340"/>
        <v>0</v>
      </c>
      <c r="AG744" s="34">
        <f t="shared" si="340"/>
        <v>0</v>
      </c>
      <c r="AH744" s="34">
        <f t="shared" si="340"/>
        <v>0</v>
      </c>
      <c r="AI744" s="34">
        <f t="shared" si="340"/>
        <v>0</v>
      </c>
      <c r="AJ744" s="34">
        <f t="shared" si="340"/>
        <v>0</v>
      </c>
      <c r="AK744" s="34">
        <f t="shared" si="340"/>
        <v>0</v>
      </c>
      <c r="AL744" s="34">
        <f t="shared" si="340"/>
        <v>0</v>
      </c>
      <c r="AM744" s="34">
        <f t="shared" si="340"/>
        <v>0</v>
      </c>
      <c r="AN744" s="34">
        <f t="shared" si="340"/>
        <v>0</v>
      </c>
      <c r="AO744" s="34">
        <f t="shared" si="340"/>
        <v>0</v>
      </c>
      <c r="AP744" s="54"/>
      <c r="AQ744" s="1"/>
    </row>
    <row r="745" ht="15.75" customHeight="1">
      <c r="A745" s="1"/>
      <c r="B745" s="35"/>
      <c r="C745" s="35"/>
      <c r="D745" s="35"/>
      <c r="E745" s="33" t="s">
        <v>24</v>
      </c>
      <c r="F745" s="36" t="s">
        <v>25</v>
      </c>
      <c r="G745" s="37"/>
      <c r="H745" s="37"/>
      <c r="I745" s="37"/>
      <c r="J745" s="37"/>
      <c r="K745" s="37"/>
      <c r="L745" s="37"/>
      <c r="M745" s="37"/>
      <c r="N745" s="37"/>
      <c r="O745" s="37"/>
      <c r="P745" s="37">
        <v>20.0</v>
      </c>
      <c r="Q745" s="37"/>
      <c r="R745" s="37"/>
      <c r="S745" s="38"/>
      <c r="T745" s="37"/>
      <c r="U745" s="38"/>
      <c r="V745" s="37"/>
      <c r="W745" s="37"/>
      <c r="X745" s="37"/>
      <c r="Y745" s="37"/>
      <c r="Z745" s="37"/>
      <c r="AA745" s="37"/>
      <c r="AB745" s="37"/>
      <c r="AC745" s="37"/>
      <c r="AD745" s="38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9">
        <f t="shared" ref="AP745:AP748" si="341">SUM(H745:AO745)</f>
        <v>20</v>
      </c>
      <c r="AQ745" s="1"/>
    </row>
    <row r="746" ht="15.75" customHeight="1">
      <c r="A746" s="51"/>
      <c r="B746" s="35"/>
      <c r="C746" s="35"/>
      <c r="D746" s="35"/>
      <c r="E746" s="47"/>
      <c r="F746" s="40" t="s">
        <v>26</v>
      </c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8"/>
      <c r="T746" s="49">
        <v>20.0</v>
      </c>
      <c r="U746" s="48"/>
      <c r="V746" s="49"/>
      <c r="W746" s="49"/>
      <c r="X746" s="49"/>
      <c r="Y746" s="49"/>
      <c r="Z746" s="49"/>
      <c r="AA746" s="49"/>
      <c r="AB746" s="49"/>
      <c r="AC746" s="49"/>
      <c r="AD746" s="48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50">
        <f t="shared" si="341"/>
        <v>20</v>
      </c>
      <c r="AQ746" s="51"/>
    </row>
    <row r="747" ht="15.75" customHeight="1">
      <c r="A747" s="1"/>
      <c r="B747" s="35"/>
      <c r="C747" s="35"/>
      <c r="D747" s="35"/>
      <c r="E747" s="33" t="s">
        <v>27</v>
      </c>
      <c r="F747" s="41" t="s">
        <v>28</v>
      </c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8"/>
      <c r="T747" s="37"/>
      <c r="U747" s="38"/>
      <c r="V747" s="37"/>
      <c r="W747" s="37"/>
      <c r="X747" s="37"/>
      <c r="Y747" s="37"/>
      <c r="Z747" s="37"/>
      <c r="AA747" s="37"/>
      <c r="AB747" s="37"/>
      <c r="AC747" s="37"/>
      <c r="AD747" s="38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9">
        <f t="shared" si="341"/>
        <v>0</v>
      </c>
      <c r="AQ747" s="1"/>
    </row>
    <row r="748" ht="15.75" customHeight="1">
      <c r="A748" s="1"/>
      <c r="B748" s="35"/>
      <c r="C748" s="35"/>
      <c r="D748" s="35"/>
      <c r="E748" s="33"/>
      <c r="F748" s="41" t="s">
        <v>29</v>
      </c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8"/>
      <c r="T748" s="37"/>
      <c r="U748" s="38"/>
      <c r="V748" s="37"/>
      <c r="W748" s="37"/>
      <c r="X748" s="37"/>
      <c r="Y748" s="37"/>
      <c r="Z748" s="37"/>
      <c r="AA748" s="37"/>
      <c r="AB748" s="37"/>
      <c r="AC748" s="37"/>
      <c r="AD748" s="38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9">
        <f t="shared" si="341"/>
        <v>0</v>
      </c>
      <c r="AQ748" s="1"/>
    </row>
    <row r="749" ht="15.75" customHeight="1">
      <c r="A749" s="1"/>
      <c r="B749" s="42"/>
      <c r="C749" s="42"/>
      <c r="D749" s="42"/>
      <c r="E749" s="19"/>
      <c r="F749" s="43" t="s">
        <v>30</v>
      </c>
      <c r="G749" s="44"/>
      <c r="H749" s="34">
        <f t="shared" ref="H749:AN749" si="342">H744+H745-H746+H747-H748</f>
        <v>0</v>
      </c>
      <c r="I749" s="34">
        <f t="shared" si="342"/>
        <v>0</v>
      </c>
      <c r="J749" s="34">
        <f t="shared" si="342"/>
        <v>0</v>
      </c>
      <c r="K749" s="34">
        <f t="shared" si="342"/>
        <v>0</v>
      </c>
      <c r="L749" s="34">
        <f t="shared" si="342"/>
        <v>0</v>
      </c>
      <c r="M749" s="34">
        <f t="shared" si="342"/>
        <v>0</v>
      </c>
      <c r="N749" s="34">
        <f t="shared" si="342"/>
        <v>0</v>
      </c>
      <c r="O749" s="34">
        <f t="shared" si="342"/>
        <v>0</v>
      </c>
      <c r="P749" s="34">
        <f t="shared" si="342"/>
        <v>20</v>
      </c>
      <c r="Q749" s="34">
        <f t="shared" si="342"/>
        <v>20</v>
      </c>
      <c r="R749" s="34">
        <f t="shared" si="342"/>
        <v>20</v>
      </c>
      <c r="S749" s="34">
        <f t="shared" si="342"/>
        <v>20</v>
      </c>
      <c r="T749" s="34">
        <f t="shared" si="342"/>
        <v>0</v>
      </c>
      <c r="U749" s="34">
        <f t="shared" si="342"/>
        <v>0</v>
      </c>
      <c r="V749" s="34">
        <f t="shared" si="342"/>
        <v>0</v>
      </c>
      <c r="W749" s="34">
        <f t="shared" si="342"/>
        <v>0</v>
      </c>
      <c r="X749" s="34">
        <f t="shared" si="342"/>
        <v>0</v>
      </c>
      <c r="Y749" s="34">
        <f t="shared" si="342"/>
        <v>0</v>
      </c>
      <c r="Z749" s="34">
        <f t="shared" si="342"/>
        <v>0</v>
      </c>
      <c r="AA749" s="34">
        <f t="shared" si="342"/>
        <v>0</v>
      </c>
      <c r="AB749" s="34">
        <f t="shared" si="342"/>
        <v>0</v>
      </c>
      <c r="AC749" s="34">
        <f t="shared" si="342"/>
        <v>0</v>
      </c>
      <c r="AD749" s="34">
        <f t="shared" si="342"/>
        <v>0</v>
      </c>
      <c r="AE749" s="34">
        <f t="shared" si="342"/>
        <v>0</v>
      </c>
      <c r="AF749" s="34">
        <f t="shared" si="342"/>
        <v>0</v>
      </c>
      <c r="AG749" s="34">
        <f t="shared" si="342"/>
        <v>0</v>
      </c>
      <c r="AH749" s="34">
        <f t="shared" si="342"/>
        <v>0</v>
      </c>
      <c r="AI749" s="34">
        <f t="shared" si="342"/>
        <v>0</v>
      </c>
      <c r="AJ749" s="34">
        <f t="shared" si="342"/>
        <v>0</v>
      </c>
      <c r="AK749" s="34">
        <f t="shared" si="342"/>
        <v>0</v>
      </c>
      <c r="AL749" s="34">
        <f t="shared" si="342"/>
        <v>0</v>
      </c>
      <c r="AM749" s="34">
        <f t="shared" si="342"/>
        <v>0</v>
      </c>
      <c r="AN749" s="34">
        <f t="shared" si="342"/>
        <v>0</v>
      </c>
      <c r="AO749" s="34"/>
      <c r="AP749" s="45">
        <f>AO744</f>
        <v>0</v>
      </c>
      <c r="AQ749" s="1"/>
    </row>
    <row r="750" ht="15.75" customHeight="1">
      <c r="A750" s="1"/>
      <c r="B750" s="32"/>
      <c r="C750" s="32" t="s">
        <v>262</v>
      </c>
      <c r="D750" s="32" t="s">
        <v>263</v>
      </c>
      <c r="E750" s="33"/>
      <c r="F750" s="14" t="s">
        <v>23</v>
      </c>
      <c r="G750" s="44"/>
      <c r="H750" s="34" t="str">
        <f t="shared" ref="H750:AO750" si="343">G755</f>
        <v/>
      </c>
      <c r="I750" s="34">
        <f t="shared" si="343"/>
        <v>0</v>
      </c>
      <c r="J750" s="34">
        <f t="shared" si="343"/>
        <v>0</v>
      </c>
      <c r="K750" s="34">
        <f t="shared" si="343"/>
        <v>0</v>
      </c>
      <c r="L750" s="34">
        <f t="shared" si="343"/>
        <v>0</v>
      </c>
      <c r="M750" s="34">
        <f t="shared" si="343"/>
        <v>0</v>
      </c>
      <c r="N750" s="34">
        <f t="shared" si="343"/>
        <v>0</v>
      </c>
      <c r="O750" s="34">
        <f t="shared" si="343"/>
        <v>0</v>
      </c>
      <c r="P750" s="34">
        <f t="shared" si="343"/>
        <v>0</v>
      </c>
      <c r="Q750" s="34">
        <f t="shared" si="343"/>
        <v>0</v>
      </c>
      <c r="R750" s="34">
        <f t="shared" si="343"/>
        <v>0</v>
      </c>
      <c r="S750" s="34">
        <f t="shared" si="343"/>
        <v>0</v>
      </c>
      <c r="T750" s="34">
        <f t="shared" si="343"/>
        <v>0</v>
      </c>
      <c r="U750" s="34">
        <f t="shared" si="343"/>
        <v>0</v>
      </c>
      <c r="V750" s="34">
        <f t="shared" si="343"/>
        <v>0</v>
      </c>
      <c r="W750" s="34">
        <f t="shared" si="343"/>
        <v>0</v>
      </c>
      <c r="X750" s="34">
        <f t="shared" si="343"/>
        <v>0</v>
      </c>
      <c r="Y750" s="34">
        <f t="shared" si="343"/>
        <v>0</v>
      </c>
      <c r="Z750" s="34">
        <f t="shared" si="343"/>
        <v>0</v>
      </c>
      <c r="AA750" s="34">
        <f t="shared" si="343"/>
        <v>0</v>
      </c>
      <c r="AB750" s="34">
        <f t="shared" si="343"/>
        <v>0</v>
      </c>
      <c r="AC750" s="34">
        <f t="shared" si="343"/>
        <v>0</v>
      </c>
      <c r="AD750" s="34">
        <f t="shared" si="343"/>
        <v>0</v>
      </c>
      <c r="AE750" s="34">
        <f t="shared" si="343"/>
        <v>0</v>
      </c>
      <c r="AF750" s="34">
        <f t="shared" si="343"/>
        <v>0</v>
      </c>
      <c r="AG750" s="34">
        <f t="shared" si="343"/>
        <v>0</v>
      </c>
      <c r="AH750" s="34">
        <f t="shared" si="343"/>
        <v>0</v>
      </c>
      <c r="AI750" s="34">
        <f t="shared" si="343"/>
        <v>0</v>
      </c>
      <c r="AJ750" s="34">
        <f t="shared" si="343"/>
        <v>0</v>
      </c>
      <c r="AK750" s="34">
        <f t="shared" si="343"/>
        <v>0</v>
      </c>
      <c r="AL750" s="34">
        <f t="shared" si="343"/>
        <v>0</v>
      </c>
      <c r="AM750" s="34">
        <f t="shared" si="343"/>
        <v>0</v>
      </c>
      <c r="AN750" s="34">
        <f t="shared" si="343"/>
        <v>0</v>
      </c>
      <c r="AO750" s="34">
        <f t="shared" si="343"/>
        <v>0</v>
      </c>
      <c r="AP750" s="54"/>
      <c r="AQ750" s="1"/>
    </row>
    <row r="751" ht="15.75" customHeight="1">
      <c r="A751" s="1"/>
      <c r="B751" s="35"/>
      <c r="C751" s="35"/>
      <c r="D751" s="35"/>
      <c r="E751" s="33" t="s">
        <v>24</v>
      </c>
      <c r="F751" s="36" t="s">
        <v>25</v>
      </c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8"/>
      <c r="T751" s="37"/>
      <c r="U751" s="38"/>
      <c r="V751" s="37"/>
      <c r="W751" s="37"/>
      <c r="X751" s="37"/>
      <c r="Y751" s="37"/>
      <c r="Z751" s="37"/>
      <c r="AA751" s="37"/>
      <c r="AB751" s="37"/>
      <c r="AC751" s="37"/>
      <c r="AD751" s="38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9">
        <f t="shared" ref="AP751:AP754" si="344">SUM(H751:AO751)</f>
        <v>0</v>
      </c>
      <c r="AQ751" s="1"/>
    </row>
    <row r="752" ht="15.75" customHeight="1">
      <c r="A752" s="1"/>
      <c r="B752" s="35"/>
      <c r="C752" s="35"/>
      <c r="D752" s="35"/>
      <c r="E752" s="33"/>
      <c r="F752" s="40" t="s">
        <v>26</v>
      </c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8"/>
      <c r="T752" s="37"/>
      <c r="U752" s="38"/>
      <c r="V752" s="37"/>
      <c r="W752" s="37"/>
      <c r="X752" s="37"/>
      <c r="Y752" s="37"/>
      <c r="Z752" s="37"/>
      <c r="AA752" s="37"/>
      <c r="AB752" s="37"/>
      <c r="AC752" s="37"/>
      <c r="AD752" s="38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9">
        <f t="shared" si="344"/>
        <v>0</v>
      </c>
      <c r="AQ752" s="1"/>
    </row>
    <row r="753" ht="15.75" customHeight="1">
      <c r="A753" s="1"/>
      <c r="B753" s="35"/>
      <c r="C753" s="35"/>
      <c r="D753" s="35"/>
      <c r="E753" s="33" t="s">
        <v>27</v>
      </c>
      <c r="F753" s="41" t="s">
        <v>28</v>
      </c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8"/>
      <c r="T753" s="37"/>
      <c r="U753" s="38"/>
      <c r="V753" s="37"/>
      <c r="W753" s="37"/>
      <c r="X753" s="37"/>
      <c r="Y753" s="37"/>
      <c r="Z753" s="37"/>
      <c r="AA753" s="37"/>
      <c r="AB753" s="37"/>
      <c r="AC753" s="37"/>
      <c r="AD753" s="38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9">
        <f t="shared" si="344"/>
        <v>0</v>
      </c>
      <c r="AQ753" s="1"/>
    </row>
    <row r="754" ht="15.75" customHeight="1">
      <c r="A754" s="1"/>
      <c r="B754" s="35"/>
      <c r="C754" s="35"/>
      <c r="D754" s="35"/>
      <c r="E754" s="33"/>
      <c r="F754" s="41" t="s">
        <v>29</v>
      </c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8"/>
      <c r="T754" s="37"/>
      <c r="U754" s="38"/>
      <c r="V754" s="37"/>
      <c r="W754" s="37"/>
      <c r="X754" s="37"/>
      <c r="Y754" s="37"/>
      <c r="Z754" s="37"/>
      <c r="AA754" s="37"/>
      <c r="AB754" s="37"/>
      <c r="AC754" s="37"/>
      <c r="AD754" s="38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9">
        <f t="shared" si="344"/>
        <v>0</v>
      </c>
      <c r="AQ754" s="1"/>
    </row>
    <row r="755" ht="15.75" customHeight="1">
      <c r="A755" s="1"/>
      <c r="B755" s="42"/>
      <c r="C755" s="42"/>
      <c r="D755" s="42"/>
      <c r="E755" s="33"/>
      <c r="F755" s="43" t="s">
        <v>30</v>
      </c>
      <c r="G755" s="44"/>
      <c r="H755" s="34">
        <f t="shared" ref="H755:AN755" si="345">H750+H751-H752+H753-H754</f>
        <v>0</v>
      </c>
      <c r="I755" s="34">
        <f t="shared" si="345"/>
        <v>0</v>
      </c>
      <c r="J755" s="34">
        <f t="shared" si="345"/>
        <v>0</v>
      </c>
      <c r="K755" s="34">
        <f t="shared" si="345"/>
        <v>0</v>
      </c>
      <c r="L755" s="34">
        <f t="shared" si="345"/>
        <v>0</v>
      </c>
      <c r="M755" s="34">
        <f t="shared" si="345"/>
        <v>0</v>
      </c>
      <c r="N755" s="34">
        <f t="shared" si="345"/>
        <v>0</v>
      </c>
      <c r="O755" s="34">
        <f t="shared" si="345"/>
        <v>0</v>
      </c>
      <c r="P755" s="34">
        <f t="shared" si="345"/>
        <v>0</v>
      </c>
      <c r="Q755" s="34">
        <f t="shared" si="345"/>
        <v>0</v>
      </c>
      <c r="R755" s="34">
        <f t="shared" si="345"/>
        <v>0</v>
      </c>
      <c r="S755" s="34">
        <f t="shared" si="345"/>
        <v>0</v>
      </c>
      <c r="T755" s="34">
        <f t="shared" si="345"/>
        <v>0</v>
      </c>
      <c r="U755" s="34">
        <f t="shared" si="345"/>
        <v>0</v>
      </c>
      <c r="V755" s="34">
        <f t="shared" si="345"/>
        <v>0</v>
      </c>
      <c r="W755" s="34">
        <f t="shared" si="345"/>
        <v>0</v>
      </c>
      <c r="X755" s="34">
        <f t="shared" si="345"/>
        <v>0</v>
      </c>
      <c r="Y755" s="34">
        <f t="shared" si="345"/>
        <v>0</v>
      </c>
      <c r="Z755" s="34">
        <f t="shared" si="345"/>
        <v>0</v>
      </c>
      <c r="AA755" s="34">
        <f t="shared" si="345"/>
        <v>0</v>
      </c>
      <c r="AB755" s="34">
        <f t="shared" si="345"/>
        <v>0</v>
      </c>
      <c r="AC755" s="34">
        <f t="shared" si="345"/>
        <v>0</v>
      </c>
      <c r="AD755" s="34">
        <f t="shared" si="345"/>
        <v>0</v>
      </c>
      <c r="AE755" s="34">
        <f t="shared" si="345"/>
        <v>0</v>
      </c>
      <c r="AF755" s="34">
        <f t="shared" si="345"/>
        <v>0</v>
      </c>
      <c r="AG755" s="34">
        <f t="shared" si="345"/>
        <v>0</v>
      </c>
      <c r="AH755" s="34">
        <f t="shared" si="345"/>
        <v>0</v>
      </c>
      <c r="AI755" s="34">
        <f t="shared" si="345"/>
        <v>0</v>
      </c>
      <c r="AJ755" s="34">
        <f t="shared" si="345"/>
        <v>0</v>
      </c>
      <c r="AK755" s="34">
        <f t="shared" si="345"/>
        <v>0</v>
      </c>
      <c r="AL755" s="34">
        <f t="shared" si="345"/>
        <v>0</v>
      </c>
      <c r="AM755" s="34">
        <f t="shared" si="345"/>
        <v>0</v>
      </c>
      <c r="AN755" s="34">
        <f t="shared" si="345"/>
        <v>0</v>
      </c>
      <c r="AO755" s="34"/>
      <c r="AP755" s="45">
        <f>AO750</f>
        <v>0</v>
      </c>
      <c r="AQ755" s="1"/>
    </row>
    <row r="756" ht="15.75" customHeight="1">
      <c r="A756" s="1"/>
      <c r="B756" s="32"/>
      <c r="C756" s="32" t="s">
        <v>264</v>
      </c>
      <c r="D756" s="32" t="s">
        <v>263</v>
      </c>
      <c r="E756" s="33"/>
      <c r="F756" s="14" t="s">
        <v>23</v>
      </c>
      <c r="G756" s="44"/>
      <c r="H756" s="34" t="str">
        <f t="shared" ref="H756:AO756" si="346">G761</f>
        <v/>
      </c>
      <c r="I756" s="34">
        <f t="shared" si="346"/>
        <v>0</v>
      </c>
      <c r="J756" s="34">
        <f t="shared" si="346"/>
        <v>0</v>
      </c>
      <c r="K756" s="34">
        <f t="shared" si="346"/>
        <v>0</v>
      </c>
      <c r="L756" s="34">
        <f t="shared" si="346"/>
        <v>0</v>
      </c>
      <c r="M756" s="34">
        <f t="shared" si="346"/>
        <v>0</v>
      </c>
      <c r="N756" s="34">
        <f t="shared" si="346"/>
        <v>0</v>
      </c>
      <c r="O756" s="34">
        <f t="shared" si="346"/>
        <v>0</v>
      </c>
      <c r="P756" s="34">
        <f t="shared" si="346"/>
        <v>0</v>
      </c>
      <c r="Q756" s="34">
        <f t="shared" si="346"/>
        <v>0</v>
      </c>
      <c r="R756" s="34">
        <f t="shared" si="346"/>
        <v>0</v>
      </c>
      <c r="S756" s="34">
        <f t="shared" si="346"/>
        <v>0</v>
      </c>
      <c r="T756" s="34">
        <f t="shared" si="346"/>
        <v>0</v>
      </c>
      <c r="U756" s="34">
        <f t="shared" si="346"/>
        <v>0</v>
      </c>
      <c r="V756" s="34">
        <f t="shared" si="346"/>
        <v>0</v>
      </c>
      <c r="W756" s="34">
        <f t="shared" si="346"/>
        <v>0</v>
      </c>
      <c r="X756" s="34">
        <f t="shared" si="346"/>
        <v>0</v>
      </c>
      <c r="Y756" s="34">
        <f t="shared" si="346"/>
        <v>0</v>
      </c>
      <c r="Z756" s="34">
        <f t="shared" si="346"/>
        <v>0</v>
      </c>
      <c r="AA756" s="34">
        <f t="shared" si="346"/>
        <v>0</v>
      </c>
      <c r="AB756" s="34">
        <f t="shared" si="346"/>
        <v>0</v>
      </c>
      <c r="AC756" s="34">
        <f t="shared" si="346"/>
        <v>0</v>
      </c>
      <c r="AD756" s="34">
        <f t="shared" si="346"/>
        <v>0</v>
      </c>
      <c r="AE756" s="34">
        <f t="shared" si="346"/>
        <v>0</v>
      </c>
      <c r="AF756" s="34">
        <f t="shared" si="346"/>
        <v>0</v>
      </c>
      <c r="AG756" s="34">
        <f t="shared" si="346"/>
        <v>0</v>
      </c>
      <c r="AH756" s="34">
        <f t="shared" si="346"/>
        <v>0</v>
      </c>
      <c r="AI756" s="34">
        <f t="shared" si="346"/>
        <v>0</v>
      </c>
      <c r="AJ756" s="34">
        <f t="shared" si="346"/>
        <v>0</v>
      </c>
      <c r="AK756" s="34">
        <f t="shared" si="346"/>
        <v>0</v>
      </c>
      <c r="AL756" s="34">
        <f t="shared" si="346"/>
        <v>0</v>
      </c>
      <c r="AM756" s="34">
        <f t="shared" si="346"/>
        <v>0</v>
      </c>
      <c r="AN756" s="34">
        <f t="shared" si="346"/>
        <v>0</v>
      </c>
      <c r="AO756" s="34">
        <f t="shared" si="346"/>
        <v>0</v>
      </c>
      <c r="AP756" s="54"/>
      <c r="AQ756" s="1"/>
    </row>
    <row r="757" ht="15.75" customHeight="1">
      <c r="A757" s="1"/>
      <c r="B757" s="35"/>
      <c r="C757" s="35"/>
      <c r="D757" s="35"/>
      <c r="E757" s="33" t="s">
        <v>24</v>
      </c>
      <c r="F757" s="36" t="s">
        <v>25</v>
      </c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8"/>
      <c r="T757" s="37"/>
      <c r="U757" s="38"/>
      <c r="V757" s="37"/>
      <c r="W757" s="37"/>
      <c r="X757" s="37"/>
      <c r="Y757" s="37"/>
      <c r="Z757" s="37"/>
      <c r="AA757" s="37"/>
      <c r="AB757" s="37"/>
      <c r="AC757" s="37"/>
      <c r="AD757" s="38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9">
        <f t="shared" ref="AP757:AP760" si="347">SUM(H757:AO757)</f>
        <v>0</v>
      </c>
      <c r="AQ757" s="1"/>
    </row>
    <row r="758" ht="15.75" customHeight="1">
      <c r="A758" s="1"/>
      <c r="B758" s="35"/>
      <c r="C758" s="35"/>
      <c r="D758" s="35"/>
      <c r="E758" s="33"/>
      <c r="F758" s="40" t="s">
        <v>26</v>
      </c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8"/>
      <c r="T758" s="37"/>
      <c r="U758" s="38"/>
      <c r="V758" s="37"/>
      <c r="W758" s="37"/>
      <c r="X758" s="37"/>
      <c r="Y758" s="37"/>
      <c r="Z758" s="37"/>
      <c r="AA758" s="37"/>
      <c r="AB758" s="37"/>
      <c r="AC758" s="37"/>
      <c r="AD758" s="38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9">
        <f t="shared" si="347"/>
        <v>0</v>
      </c>
      <c r="AQ758" s="1"/>
    </row>
    <row r="759" ht="15.75" customHeight="1">
      <c r="A759" s="1"/>
      <c r="B759" s="35"/>
      <c r="C759" s="35"/>
      <c r="D759" s="35"/>
      <c r="E759" s="33" t="s">
        <v>27</v>
      </c>
      <c r="F759" s="41" t="s">
        <v>28</v>
      </c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8"/>
      <c r="T759" s="37"/>
      <c r="U759" s="38"/>
      <c r="V759" s="37"/>
      <c r="W759" s="37"/>
      <c r="X759" s="37"/>
      <c r="Y759" s="37"/>
      <c r="Z759" s="37"/>
      <c r="AA759" s="37"/>
      <c r="AB759" s="37"/>
      <c r="AC759" s="37"/>
      <c r="AD759" s="38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9">
        <f t="shared" si="347"/>
        <v>0</v>
      </c>
      <c r="AQ759" s="1"/>
    </row>
    <row r="760" ht="15.75" customHeight="1">
      <c r="A760" s="1"/>
      <c r="B760" s="35"/>
      <c r="C760" s="35"/>
      <c r="D760" s="35"/>
      <c r="E760" s="33"/>
      <c r="F760" s="41" t="s">
        <v>29</v>
      </c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8"/>
      <c r="T760" s="37"/>
      <c r="U760" s="38"/>
      <c r="V760" s="37"/>
      <c r="W760" s="37"/>
      <c r="X760" s="37"/>
      <c r="Y760" s="37"/>
      <c r="Z760" s="37"/>
      <c r="AA760" s="37"/>
      <c r="AB760" s="37"/>
      <c r="AC760" s="37"/>
      <c r="AD760" s="38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9">
        <f t="shared" si="347"/>
        <v>0</v>
      </c>
      <c r="AQ760" s="1"/>
    </row>
    <row r="761" ht="15.75" customHeight="1">
      <c r="A761" s="1"/>
      <c r="B761" s="42"/>
      <c r="C761" s="42"/>
      <c r="D761" s="42"/>
      <c r="E761" s="33"/>
      <c r="F761" s="43" t="s">
        <v>30</v>
      </c>
      <c r="G761" s="44"/>
      <c r="H761" s="34">
        <f t="shared" ref="H761:AN761" si="348">H756+H757-H758+H759-H760</f>
        <v>0</v>
      </c>
      <c r="I761" s="34">
        <f t="shared" si="348"/>
        <v>0</v>
      </c>
      <c r="J761" s="34">
        <f t="shared" si="348"/>
        <v>0</v>
      </c>
      <c r="K761" s="34">
        <f t="shared" si="348"/>
        <v>0</v>
      </c>
      <c r="L761" s="34">
        <f t="shared" si="348"/>
        <v>0</v>
      </c>
      <c r="M761" s="34">
        <f t="shared" si="348"/>
        <v>0</v>
      </c>
      <c r="N761" s="34">
        <f t="shared" si="348"/>
        <v>0</v>
      </c>
      <c r="O761" s="34">
        <f t="shared" si="348"/>
        <v>0</v>
      </c>
      <c r="P761" s="34">
        <f t="shared" si="348"/>
        <v>0</v>
      </c>
      <c r="Q761" s="34">
        <f t="shared" si="348"/>
        <v>0</v>
      </c>
      <c r="R761" s="34">
        <f t="shared" si="348"/>
        <v>0</v>
      </c>
      <c r="S761" s="34">
        <f t="shared" si="348"/>
        <v>0</v>
      </c>
      <c r="T761" s="34">
        <f t="shared" si="348"/>
        <v>0</v>
      </c>
      <c r="U761" s="34">
        <f t="shared" si="348"/>
        <v>0</v>
      </c>
      <c r="V761" s="34">
        <f t="shared" si="348"/>
        <v>0</v>
      </c>
      <c r="W761" s="34">
        <f t="shared" si="348"/>
        <v>0</v>
      </c>
      <c r="X761" s="34">
        <f t="shared" si="348"/>
        <v>0</v>
      </c>
      <c r="Y761" s="34">
        <f t="shared" si="348"/>
        <v>0</v>
      </c>
      <c r="Z761" s="34">
        <f t="shared" si="348"/>
        <v>0</v>
      </c>
      <c r="AA761" s="34">
        <f t="shared" si="348"/>
        <v>0</v>
      </c>
      <c r="AB761" s="34">
        <f t="shared" si="348"/>
        <v>0</v>
      </c>
      <c r="AC761" s="34">
        <f t="shared" si="348"/>
        <v>0</v>
      </c>
      <c r="AD761" s="34">
        <f t="shared" si="348"/>
        <v>0</v>
      </c>
      <c r="AE761" s="34">
        <f t="shared" si="348"/>
        <v>0</v>
      </c>
      <c r="AF761" s="34">
        <f t="shared" si="348"/>
        <v>0</v>
      </c>
      <c r="AG761" s="34">
        <f t="shared" si="348"/>
        <v>0</v>
      </c>
      <c r="AH761" s="34">
        <f t="shared" si="348"/>
        <v>0</v>
      </c>
      <c r="AI761" s="34">
        <f t="shared" si="348"/>
        <v>0</v>
      </c>
      <c r="AJ761" s="34">
        <f t="shared" si="348"/>
        <v>0</v>
      </c>
      <c r="AK761" s="34">
        <f t="shared" si="348"/>
        <v>0</v>
      </c>
      <c r="AL761" s="34">
        <f t="shared" si="348"/>
        <v>0</v>
      </c>
      <c r="AM761" s="34">
        <f t="shared" si="348"/>
        <v>0</v>
      </c>
      <c r="AN761" s="34">
        <f t="shared" si="348"/>
        <v>0</v>
      </c>
      <c r="AO761" s="34"/>
      <c r="AP761" s="45">
        <f>AO756</f>
        <v>0</v>
      </c>
      <c r="AQ761" s="1"/>
    </row>
    <row r="762" ht="15.75" customHeight="1">
      <c r="A762" s="1"/>
      <c r="B762" s="32"/>
      <c r="C762" s="32" t="s">
        <v>265</v>
      </c>
      <c r="D762" s="32" t="s">
        <v>266</v>
      </c>
      <c r="E762" s="33"/>
      <c r="F762" s="14" t="s">
        <v>23</v>
      </c>
      <c r="G762" s="44"/>
      <c r="H762" s="34" t="str">
        <f t="shared" ref="H762:AO762" si="349">G767</f>
        <v/>
      </c>
      <c r="I762" s="34">
        <f t="shared" si="349"/>
        <v>0</v>
      </c>
      <c r="J762" s="34">
        <f t="shared" si="349"/>
        <v>0</v>
      </c>
      <c r="K762" s="34">
        <f t="shared" si="349"/>
        <v>0</v>
      </c>
      <c r="L762" s="34">
        <f t="shared" si="349"/>
        <v>0</v>
      </c>
      <c r="M762" s="34">
        <f t="shared" si="349"/>
        <v>0</v>
      </c>
      <c r="N762" s="34">
        <f t="shared" si="349"/>
        <v>0</v>
      </c>
      <c r="O762" s="34">
        <f t="shared" si="349"/>
        <v>0</v>
      </c>
      <c r="P762" s="34">
        <f t="shared" si="349"/>
        <v>0</v>
      </c>
      <c r="Q762" s="34">
        <f t="shared" si="349"/>
        <v>0</v>
      </c>
      <c r="R762" s="34">
        <f t="shared" si="349"/>
        <v>0</v>
      </c>
      <c r="S762" s="34">
        <f t="shared" si="349"/>
        <v>0</v>
      </c>
      <c r="T762" s="34">
        <f t="shared" si="349"/>
        <v>0</v>
      </c>
      <c r="U762" s="34">
        <f t="shared" si="349"/>
        <v>0</v>
      </c>
      <c r="V762" s="34">
        <f t="shared" si="349"/>
        <v>0</v>
      </c>
      <c r="W762" s="34">
        <f t="shared" si="349"/>
        <v>0</v>
      </c>
      <c r="X762" s="34">
        <f t="shared" si="349"/>
        <v>0</v>
      </c>
      <c r="Y762" s="34">
        <f t="shared" si="349"/>
        <v>0</v>
      </c>
      <c r="Z762" s="34">
        <f t="shared" si="349"/>
        <v>0</v>
      </c>
      <c r="AA762" s="34">
        <f t="shared" si="349"/>
        <v>0</v>
      </c>
      <c r="AB762" s="34">
        <f t="shared" si="349"/>
        <v>0</v>
      </c>
      <c r="AC762" s="34">
        <f t="shared" si="349"/>
        <v>0</v>
      </c>
      <c r="AD762" s="34">
        <f t="shared" si="349"/>
        <v>0</v>
      </c>
      <c r="AE762" s="34">
        <f t="shared" si="349"/>
        <v>0</v>
      </c>
      <c r="AF762" s="34">
        <f t="shared" si="349"/>
        <v>0</v>
      </c>
      <c r="AG762" s="34">
        <f t="shared" si="349"/>
        <v>0</v>
      </c>
      <c r="AH762" s="34">
        <f t="shared" si="349"/>
        <v>0</v>
      </c>
      <c r="AI762" s="34">
        <f t="shared" si="349"/>
        <v>0</v>
      </c>
      <c r="AJ762" s="34">
        <f t="shared" si="349"/>
        <v>0</v>
      </c>
      <c r="AK762" s="34">
        <f t="shared" si="349"/>
        <v>0</v>
      </c>
      <c r="AL762" s="34">
        <f t="shared" si="349"/>
        <v>0</v>
      </c>
      <c r="AM762" s="34">
        <f t="shared" si="349"/>
        <v>0</v>
      </c>
      <c r="AN762" s="34">
        <f t="shared" si="349"/>
        <v>0</v>
      </c>
      <c r="AO762" s="34">
        <f t="shared" si="349"/>
        <v>0</v>
      </c>
      <c r="AP762" s="54"/>
      <c r="AQ762" s="1"/>
    </row>
    <row r="763" ht="15.75" customHeight="1">
      <c r="A763" s="1"/>
      <c r="B763" s="35"/>
      <c r="C763" s="35"/>
      <c r="D763" s="35"/>
      <c r="E763" s="33" t="s">
        <v>24</v>
      </c>
      <c r="F763" s="36" t="s">
        <v>25</v>
      </c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8"/>
      <c r="T763" s="37"/>
      <c r="U763" s="38"/>
      <c r="V763" s="37"/>
      <c r="W763" s="37"/>
      <c r="X763" s="37"/>
      <c r="Y763" s="37"/>
      <c r="Z763" s="37"/>
      <c r="AA763" s="37"/>
      <c r="AB763" s="37"/>
      <c r="AC763" s="37"/>
      <c r="AD763" s="38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9">
        <f t="shared" ref="AP763:AP766" si="350">SUM(H763:AO763)</f>
        <v>0</v>
      </c>
      <c r="AQ763" s="1"/>
    </row>
    <row r="764" ht="15.75" customHeight="1">
      <c r="A764" s="1"/>
      <c r="B764" s="35"/>
      <c r="C764" s="35"/>
      <c r="D764" s="35"/>
      <c r="E764" s="33"/>
      <c r="F764" s="40" t="s">
        <v>26</v>
      </c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8"/>
      <c r="T764" s="37"/>
      <c r="U764" s="38"/>
      <c r="V764" s="37"/>
      <c r="W764" s="37"/>
      <c r="X764" s="37"/>
      <c r="Y764" s="37"/>
      <c r="Z764" s="37"/>
      <c r="AA764" s="37"/>
      <c r="AB764" s="37"/>
      <c r="AC764" s="37"/>
      <c r="AD764" s="38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9">
        <f t="shared" si="350"/>
        <v>0</v>
      </c>
      <c r="AQ764" s="1"/>
    </row>
    <row r="765" ht="15.75" customHeight="1">
      <c r="A765" s="1"/>
      <c r="B765" s="35"/>
      <c r="C765" s="35"/>
      <c r="D765" s="35"/>
      <c r="E765" s="33" t="s">
        <v>27</v>
      </c>
      <c r="F765" s="41" t="s">
        <v>28</v>
      </c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8"/>
      <c r="T765" s="37"/>
      <c r="U765" s="38"/>
      <c r="V765" s="37"/>
      <c r="W765" s="37"/>
      <c r="X765" s="37"/>
      <c r="Y765" s="37"/>
      <c r="Z765" s="37"/>
      <c r="AA765" s="37"/>
      <c r="AB765" s="37"/>
      <c r="AC765" s="37"/>
      <c r="AD765" s="38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9">
        <f t="shared" si="350"/>
        <v>0</v>
      </c>
      <c r="AQ765" s="1"/>
    </row>
    <row r="766" ht="15.75" customHeight="1">
      <c r="A766" s="1"/>
      <c r="B766" s="35"/>
      <c r="C766" s="35"/>
      <c r="D766" s="35"/>
      <c r="E766" s="33"/>
      <c r="F766" s="41" t="s">
        <v>29</v>
      </c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8"/>
      <c r="T766" s="37"/>
      <c r="U766" s="38"/>
      <c r="V766" s="37"/>
      <c r="W766" s="37"/>
      <c r="X766" s="37"/>
      <c r="Y766" s="37"/>
      <c r="Z766" s="37"/>
      <c r="AA766" s="37"/>
      <c r="AB766" s="37"/>
      <c r="AC766" s="37"/>
      <c r="AD766" s="38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9">
        <f t="shared" si="350"/>
        <v>0</v>
      </c>
      <c r="AQ766" s="1"/>
    </row>
    <row r="767" ht="15.75" customHeight="1">
      <c r="A767" s="1"/>
      <c r="B767" s="42"/>
      <c r="C767" s="42"/>
      <c r="D767" s="42"/>
      <c r="E767" s="33"/>
      <c r="F767" s="43" t="s">
        <v>30</v>
      </c>
      <c r="G767" s="44"/>
      <c r="H767" s="34">
        <f t="shared" ref="H767:AN767" si="351">H762+H763-H764+H765-H766</f>
        <v>0</v>
      </c>
      <c r="I767" s="34">
        <f t="shared" si="351"/>
        <v>0</v>
      </c>
      <c r="J767" s="34">
        <f t="shared" si="351"/>
        <v>0</v>
      </c>
      <c r="K767" s="34">
        <f t="shared" si="351"/>
        <v>0</v>
      </c>
      <c r="L767" s="34">
        <f t="shared" si="351"/>
        <v>0</v>
      </c>
      <c r="M767" s="34">
        <f t="shared" si="351"/>
        <v>0</v>
      </c>
      <c r="N767" s="34">
        <f t="shared" si="351"/>
        <v>0</v>
      </c>
      <c r="O767" s="34">
        <f t="shared" si="351"/>
        <v>0</v>
      </c>
      <c r="P767" s="34">
        <f t="shared" si="351"/>
        <v>0</v>
      </c>
      <c r="Q767" s="34">
        <f t="shared" si="351"/>
        <v>0</v>
      </c>
      <c r="R767" s="34">
        <f t="shared" si="351"/>
        <v>0</v>
      </c>
      <c r="S767" s="34">
        <f t="shared" si="351"/>
        <v>0</v>
      </c>
      <c r="T767" s="34">
        <f t="shared" si="351"/>
        <v>0</v>
      </c>
      <c r="U767" s="34">
        <f t="shared" si="351"/>
        <v>0</v>
      </c>
      <c r="V767" s="34">
        <f t="shared" si="351"/>
        <v>0</v>
      </c>
      <c r="W767" s="34">
        <f t="shared" si="351"/>
        <v>0</v>
      </c>
      <c r="X767" s="34">
        <f t="shared" si="351"/>
        <v>0</v>
      </c>
      <c r="Y767" s="34">
        <f t="shared" si="351"/>
        <v>0</v>
      </c>
      <c r="Z767" s="34">
        <f t="shared" si="351"/>
        <v>0</v>
      </c>
      <c r="AA767" s="34">
        <f t="shared" si="351"/>
        <v>0</v>
      </c>
      <c r="AB767" s="34">
        <f t="shared" si="351"/>
        <v>0</v>
      </c>
      <c r="AC767" s="34">
        <f t="shared" si="351"/>
        <v>0</v>
      </c>
      <c r="AD767" s="34">
        <f t="shared" si="351"/>
        <v>0</v>
      </c>
      <c r="AE767" s="34">
        <f t="shared" si="351"/>
        <v>0</v>
      </c>
      <c r="AF767" s="34">
        <f t="shared" si="351"/>
        <v>0</v>
      </c>
      <c r="AG767" s="34">
        <f t="shared" si="351"/>
        <v>0</v>
      </c>
      <c r="AH767" s="34">
        <f t="shared" si="351"/>
        <v>0</v>
      </c>
      <c r="AI767" s="34">
        <f t="shared" si="351"/>
        <v>0</v>
      </c>
      <c r="AJ767" s="34">
        <f t="shared" si="351"/>
        <v>0</v>
      </c>
      <c r="AK767" s="34">
        <f t="shared" si="351"/>
        <v>0</v>
      </c>
      <c r="AL767" s="34">
        <f t="shared" si="351"/>
        <v>0</v>
      </c>
      <c r="AM767" s="34">
        <f t="shared" si="351"/>
        <v>0</v>
      </c>
      <c r="AN767" s="34">
        <f t="shared" si="351"/>
        <v>0</v>
      </c>
      <c r="AO767" s="34"/>
      <c r="AP767" s="45">
        <f>AO762</f>
        <v>0</v>
      </c>
      <c r="AQ767" s="1"/>
    </row>
    <row r="768" ht="15.75" customHeight="1">
      <c r="A768" s="1"/>
      <c r="B768" s="32"/>
      <c r="C768" s="32" t="s">
        <v>267</v>
      </c>
      <c r="D768" s="32" t="s">
        <v>268</v>
      </c>
      <c r="E768" s="32"/>
      <c r="F768" s="14" t="s">
        <v>23</v>
      </c>
      <c r="G768" s="44"/>
      <c r="H768" s="34" t="str">
        <f t="shared" ref="H768:AO768" si="352">G773</f>
        <v/>
      </c>
      <c r="I768" s="34">
        <f t="shared" si="352"/>
        <v>0</v>
      </c>
      <c r="J768" s="34">
        <f t="shared" si="352"/>
        <v>0</v>
      </c>
      <c r="K768" s="34">
        <f t="shared" si="352"/>
        <v>0</v>
      </c>
      <c r="L768" s="34">
        <f t="shared" si="352"/>
        <v>0</v>
      </c>
      <c r="M768" s="34">
        <f t="shared" si="352"/>
        <v>0</v>
      </c>
      <c r="N768" s="34">
        <f t="shared" si="352"/>
        <v>0</v>
      </c>
      <c r="O768" s="34">
        <f t="shared" si="352"/>
        <v>0</v>
      </c>
      <c r="P768" s="34">
        <f t="shared" si="352"/>
        <v>0</v>
      </c>
      <c r="Q768" s="34">
        <f t="shared" si="352"/>
        <v>0</v>
      </c>
      <c r="R768" s="34">
        <f t="shared" si="352"/>
        <v>0</v>
      </c>
      <c r="S768" s="34">
        <f t="shared" si="352"/>
        <v>0</v>
      </c>
      <c r="T768" s="34">
        <f t="shared" si="352"/>
        <v>0</v>
      </c>
      <c r="U768" s="34">
        <f t="shared" si="352"/>
        <v>0</v>
      </c>
      <c r="V768" s="34">
        <f t="shared" si="352"/>
        <v>0</v>
      </c>
      <c r="W768" s="34">
        <f t="shared" si="352"/>
        <v>0</v>
      </c>
      <c r="X768" s="34">
        <f t="shared" si="352"/>
        <v>0</v>
      </c>
      <c r="Y768" s="34">
        <f t="shared" si="352"/>
        <v>0</v>
      </c>
      <c r="Z768" s="34">
        <f t="shared" si="352"/>
        <v>0</v>
      </c>
      <c r="AA768" s="34">
        <f t="shared" si="352"/>
        <v>0</v>
      </c>
      <c r="AB768" s="34">
        <f t="shared" si="352"/>
        <v>0</v>
      </c>
      <c r="AC768" s="34">
        <f t="shared" si="352"/>
        <v>0</v>
      </c>
      <c r="AD768" s="34">
        <f t="shared" si="352"/>
        <v>0</v>
      </c>
      <c r="AE768" s="34">
        <f t="shared" si="352"/>
        <v>0</v>
      </c>
      <c r="AF768" s="34">
        <f t="shared" si="352"/>
        <v>0</v>
      </c>
      <c r="AG768" s="34">
        <f t="shared" si="352"/>
        <v>0</v>
      </c>
      <c r="AH768" s="34">
        <f t="shared" si="352"/>
        <v>0</v>
      </c>
      <c r="AI768" s="34">
        <f t="shared" si="352"/>
        <v>0</v>
      </c>
      <c r="AJ768" s="34">
        <f t="shared" si="352"/>
        <v>0</v>
      </c>
      <c r="AK768" s="34">
        <f t="shared" si="352"/>
        <v>0</v>
      </c>
      <c r="AL768" s="34">
        <f t="shared" si="352"/>
        <v>0</v>
      </c>
      <c r="AM768" s="34">
        <f t="shared" si="352"/>
        <v>0</v>
      </c>
      <c r="AN768" s="34">
        <f t="shared" si="352"/>
        <v>0</v>
      </c>
      <c r="AO768" s="34">
        <f t="shared" si="352"/>
        <v>0</v>
      </c>
      <c r="AP768" s="54"/>
      <c r="AQ768" s="1"/>
    </row>
    <row r="769" ht="15.75" customHeight="1">
      <c r="A769" s="1"/>
      <c r="B769" s="35"/>
      <c r="C769" s="35"/>
      <c r="D769" s="35"/>
      <c r="E769" s="33" t="s">
        <v>24</v>
      </c>
      <c r="F769" s="36" t="s">
        <v>25</v>
      </c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8"/>
      <c r="T769" s="37"/>
      <c r="U769" s="38"/>
      <c r="V769" s="37"/>
      <c r="W769" s="37"/>
      <c r="X769" s="37"/>
      <c r="Y769" s="37"/>
      <c r="Z769" s="37"/>
      <c r="AA769" s="37"/>
      <c r="AB769" s="37"/>
      <c r="AC769" s="37"/>
      <c r="AD769" s="38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9">
        <f t="shared" ref="AP769:AP772" si="353">SUM(H769:AO769)</f>
        <v>0</v>
      </c>
      <c r="AQ769" s="1"/>
    </row>
    <row r="770" ht="15.75" customHeight="1">
      <c r="A770" s="1"/>
      <c r="B770" s="35"/>
      <c r="C770" s="35"/>
      <c r="D770" s="35"/>
      <c r="E770" s="33"/>
      <c r="F770" s="40" t="s">
        <v>26</v>
      </c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8"/>
      <c r="T770" s="37"/>
      <c r="U770" s="38"/>
      <c r="V770" s="37"/>
      <c r="W770" s="37"/>
      <c r="X770" s="37"/>
      <c r="Y770" s="37"/>
      <c r="Z770" s="37"/>
      <c r="AA770" s="37"/>
      <c r="AB770" s="37"/>
      <c r="AC770" s="37"/>
      <c r="AD770" s="38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9">
        <f t="shared" si="353"/>
        <v>0</v>
      </c>
      <c r="AQ770" s="1"/>
    </row>
    <row r="771" ht="15.75" customHeight="1">
      <c r="A771" s="1"/>
      <c r="B771" s="35"/>
      <c r="C771" s="35"/>
      <c r="D771" s="35"/>
      <c r="E771" s="33" t="s">
        <v>27</v>
      </c>
      <c r="F771" s="41" t="s">
        <v>28</v>
      </c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8"/>
      <c r="T771" s="37"/>
      <c r="U771" s="38"/>
      <c r="V771" s="37"/>
      <c r="W771" s="37"/>
      <c r="X771" s="37"/>
      <c r="Y771" s="37"/>
      <c r="Z771" s="37"/>
      <c r="AA771" s="37"/>
      <c r="AB771" s="37"/>
      <c r="AC771" s="37"/>
      <c r="AD771" s="38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9">
        <f t="shared" si="353"/>
        <v>0</v>
      </c>
      <c r="AQ771" s="1"/>
    </row>
    <row r="772" ht="15.75" customHeight="1">
      <c r="A772" s="1"/>
      <c r="B772" s="35"/>
      <c r="C772" s="35"/>
      <c r="D772" s="35"/>
      <c r="E772" s="33"/>
      <c r="F772" s="41" t="s">
        <v>29</v>
      </c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8"/>
      <c r="T772" s="37"/>
      <c r="U772" s="38"/>
      <c r="V772" s="37"/>
      <c r="W772" s="37"/>
      <c r="X772" s="37"/>
      <c r="Y772" s="37"/>
      <c r="Z772" s="37"/>
      <c r="AA772" s="37"/>
      <c r="AB772" s="37"/>
      <c r="AC772" s="37"/>
      <c r="AD772" s="38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9">
        <f t="shared" si="353"/>
        <v>0</v>
      </c>
      <c r="AQ772" s="1"/>
    </row>
    <row r="773" ht="15.75" customHeight="1">
      <c r="A773" s="1"/>
      <c r="B773" s="42"/>
      <c r="C773" s="42"/>
      <c r="D773" s="42"/>
      <c r="E773" s="33"/>
      <c r="F773" s="43" t="s">
        <v>30</v>
      </c>
      <c r="G773" s="44"/>
      <c r="H773" s="34">
        <f t="shared" ref="H773:AN773" si="354">H768+H769-H770+H771-H772</f>
        <v>0</v>
      </c>
      <c r="I773" s="34">
        <f t="shared" si="354"/>
        <v>0</v>
      </c>
      <c r="J773" s="34">
        <f t="shared" si="354"/>
        <v>0</v>
      </c>
      <c r="K773" s="34">
        <f t="shared" si="354"/>
        <v>0</v>
      </c>
      <c r="L773" s="34">
        <f t="shared" si="354"/>
        <v>0</v>
      </c>
      <c r="M773" s="34">
        <f t="shared" si="354"/>
        <v>0</v>
      </c>
      <c r="N773" s="34">
        <f t="shared" si="354"/>
        <v>0</v>
      </c>
      <c r="O773" s="34">
        <f t="shared" si="354"/>
        <v>0</v>
      </c>
      <c r="P773" s="34">
        <f t="shared" si="354"/>
        <v>0</v>
      </c>
      <c r="Q773" s="34">
        <f t="shared" si="354"/>
        <v>0</v>
      </c>
      <c r="R773" s="34">
        <f t="shared" si="354"/>
        <v>0</v>
      </c>
      <c r="S773" s="34">
        <f t="shared" si="354"/>
        <v>0</v>
      </c>
      <c r="T773" s="34">
        <f t="shared" si="354"/>
        <v>0</v>
      </c>
      <c r="U773" s="34">
        <f t="shared" si="354"/>
        <v>0</v>
      </c>
      <c r="V773" s="34">
        <f t="shared" si="354"/>
        <v>0</v>
      </c>
      <c r="W773" s="34">
        <f t="shared" si="354"/>
        <v>0</v>
      </c>
      <c r="X773" s="34">
        <f t="shared" si="354"/>
        <v>0</v>
      </c>
      <c r="Y773" s="34">
        <f t="shared" si="354"/>
        <v>0</v>
      </c>
      <c r="Z773" s="34">
        <f t="shared" si="354"/>
        <v>0</v>
      </c>
      <c r="AA773" s="34">
        <f t="shared" si="354"/>
        <v>0</v>
      </c>
      <c r="AB773" s="34">
        <f t="shared" si="354"/>
        <v>0</v>
      </c>
      <c r="AC773" s="34">
        <f t="shared" si="354"/>
        <v>0</v>
      </c>
      <c r="AD773" s="34">
        <f t="shared" si="354"/>
        <v>0</v>
      </c>
      <c r="AE773" s="34">
        <f t="shared" si="354"/>
        <v>0</v>
      </c>
      <c r="AF773" s="34">
        <f t="shared" si="354"/>
        <v>0</v>
      </c>
      <c r="AG773" s="34">
        <f t="shared" si="354"/>
        <v>0</v>
      </c>
      <c r="AH773" s="34">
        <f t="shared" si="354"/>
        <v>0</v>
      </c>
      <c r="AI773" s="34">
        <f t="shared" si="354"/>
        <v>0</v>
      </c>
      <c r="AJ773" s="34">
        <f t="shared" si="354"/>
        <v>0</v>
      </c>
      <c r="AK773" s="34">
        <f t="shared" si="354"/>
        <v>0</v>
      </c>
      <c r="AL773" s="34">
        <f t="shared" si="354"/>
        <v>0</v>
      </c>
      <c r="AM773" s="34">
        <f t="shared" si="354"/>
        <v>0</v>
      </c>
      <c r="AN773" s="34">
        <f t="shared" si="354"/>
        <v>0</v>
      </c>
      <c r="AO773" s="34"/>
      <c r="AP773" s="45">
        <f>AO768</f>
        <v>0</v>
      </c>
      <c r="AQ773" s="1"/>
    </row>
    <row r="774" ht="15.75" customHeight="1">
      <c r="A774" s="1"/>
      <c r="B774" s="32"/>
      <c r="C774" s="32" t="s">
        <v>269</v>
      </c>
      <c r="D774" s="32" t="s">
        <v>270</v>
      </c>
      <c r="E774" s="13"/>
      <c r="F774" s="14" t="s">
        <v>23</v>
      </c>
      <c r="G774" s="44"/>
      <c r="H774" s="34" t="str">
        <f t="shared" ref="H774:AO774" si="355">G779</f>
        <v/>
      </c>
      <c r="I774" s="34">
        <f t="shared" si="355"/>
        <v>0</v>
      </c>
      <c r="J774" s="34">
        <f t="shared" si="355"/>
        <v>0</v>
      </c>
      <c r="K774" s="34">
        <f t="shared" si="355"/>
        <v>0</v>
      </c>
      <c r="L774" s="34">
        <f t="shared" si="355"/>
        <v>0</v>
      </c>
      <c r="M774" s="34">
        <f t="shared" si="355"/>
        <v>0</v>
      </c>
      <c r="N774" s="34">
        <f t="shared" si="355"/>
        <v>0</v>
      </c>
      <c r="O774" s="34">
        <f t="shared" si="355"/>
        <v>0</v>
      </c>
      <c r="P774" s="34">
        <f t="shared" si="355"/>
        <v>0</v>
      </c>
      <c r="Q774" s="34">
        <f t="shared" si="355"/>
        <v>0</v>
      </c>
      <c r="R774" s="34">
        <f t="shared" si="355"/>
        <v>0</v>
      </c>
      <c r="S774" s="34">
        <f t="shared" si="355"/>
        <v>0</v>
      </c>
      <c r="T774" s="34">
        <f t="shared" si="355"/>
        <v>0</v>
      </c>
      <c r="U774" s="34">
        <f t="shared" si="355"/>
        <v>0</v>
      </c>
      <c r="V774" s="34">
        <f t="shared" si="355"/>
        <v>0</v>
      </c>
      <c r="W774" s="34">
        <f t="shared" si="355"/>
        <v>0</v>
      </c>
      <c r="X774" s="34">
        <f t="shared" si="355"/>
        <v>0</v>
      </c>
      <c r="Y774" s="34">
        <f t="shared" si="355"/>
        <v>0</v>
      </c>
      <c r="Z774" s="34">
        <f t="shared" si="355"/>
        <v>0</v>
      </c>
      <c r="AA774" s="34">
        <f t="shared" si="355"/>
        <v>0</v>
      </c>
      <c r="AB774" s="34">
        <f t="shared" si="355"/>
        <v>0</v>
      </c>
      <c r="AC774" s="34">
        <f t="shared" si="355"/>
        <v>0</v>
      </c>
      <c r="AD774" s="34">
        <f t="shared" si="355"/>
        <v>0</v>
      </c>
      <c r="AE774" s="34">
        <f t="shared" si="355"/>
        <v>0</v>
      </c>
      <c r="AF774" s="34">
        <f t="shared" si="355"/>
        <v>0</v>
      </c>
      <c r="AG774" s="34">
        <f t="shared" si="355"/>
        <v>0</v>
      </c>
      <c r="AH774" s="34">
        <f t="shared" si="355"/>
        <v>0</v>
      </c>
      <c r="AI774" s="34">
        <f t="shared" si="355"/>
        <v>0</v>
      </c>
      <c r="AJ774" s="34">
        <f t="shared" si="355"/>
        <v>0</v>
      </c>
      <c r="AK774" s="34">
        <f t="shared" si="355"/>
        <v>0</v>
      </c>
      <c r="AL774" s="34">
        <f t="shared" si="355"/>
        <v>0</v>
      </c>
      <c r="AM774" s="34">
        <f t="shared" si="355"/>
        <v>0</v>
      </c>
      <c r="AN774" s="34">
        <f t="shared" si="355"/>
        <v>0</v>
      </c>
      <c r="AO774" s="34">
        <f t="shared" si="355"/>
        <v>0</v>
      </c>
      <c r="AP774" s="54"/>
      <c r="AQ774" s="1"/>
    </row>
    <row r="775" ht="15.75" customHeight="1">
      <c r="A775" s="1"/>
      <c r="B775" s="35"/>
      <c r="C775" s="35"/>
      <c r="D775" s="35"/>
      <c r="E775" s="33" t="s">
        <v>24</v>
      </c>
      <c r="F775" s="36" t="s">
        <v>25</v>
      </c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8"/>
      <c r="T775" s="37"/>
      <c r="U775" s="38"/>
      <c r="V775" s="37"/>
      <c r="W775" s="37"/>
      <c r="X775" s="37"/>
      <c r="Y775" s="37"/>
      <c r="Z775" s="37"/>
      <c r="AA775" s="37"/>
      <c r="AB775" s="37"/>
      <c r="AC775" s="37"/>
      <c r="AD775" s="38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9">
        <f t="shared" ref="AP775:AP778" si="356">SUM(H775:AO775)</f>
        <v>0</v>
      </c>
      <c r="AQ775" s="1"/>
    </row>
    <row r="776" ht="15.75" customHeight="1">
      <c r="A776" s="1"/>
      <c r="B776" s="35"/>
      <c r="C776" s="35"/>
      <c r="D776" s="35"/>
      <c r="E776" s="33"/>
      <c r="F776" s="40" t="s">
        <v>26</v>
      </c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8"/>
      <c r="T776" s="37"/>
      <c r="U776" s="38"/>
      <c r="V776" s="37"/>
      <c r="W776" s="37"/>
      <c r="X776" s="37"/>
      <c r="Y776" s="37"/>
      <c r="Z776" s="37"/>
      <c r="AA776" s="37"/>
      <c r="AB776" s="37"/>
      <c r="AC776" s="37"/>
      <c r="AD776" s="38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8"/>
      <c r="AP776" s="39">
        <f t="shared" si="356"/>
        <v>0</v>
      </c>
      <c r="AQ776" s="1"/>
    </row>
    <row r="777" ht="15.75" customHeight="1">
      <c r="A777" s="1"/>
      <c r="B777" s="35"/>
      <c r="C777" s="35"/>
      <c r="D777" s="35"/>
      <c r="E777" s="33" t="s">
        <v>27</v>
      </c>
      <c r="F777" s="41" t="s">
        <v>28</v>
      </c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8"/>
      <c r="T777" s="37"/>
      <c r="U777" s="38"/>
      <c r="V777" s="37"/>
      <c r="W777" s="37"/>
      <c r="X777" s="37"/>
      <c r="Y777" s="37"/>
      <c r="Z777" s="37"/>
      <c r="AA777" s="37"/>
      <c r="AB777" s="37"/>
      <c r="AC777" s="37"/>
      <c r="AD777" s="38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9">
        <f t="shared" si="356"/>
        <v>0</v>
      </c>
      <c r="AQ777" s="1"/>
    </row>
    <row r="778" ht="15.75" customHeight="1">
      <c r="A778" s="1"/>
      <c r="B778" s="35"/>
      <c r="C778" s="35"/>
      <c r="D778" s="35"/>
      <c r="E778" s="33"/>
      <c r="F778" s="41" t="s">
        <v>29</v>
      </c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8"/>
      <c r="T778" s="37"/>
      <c r="U778" s="38"/>
      <c r="V778" s="37"/>
      <c r="W778" s="37"/>
      <c r="X778" s="37"/>
      <c r="Y778" s="37"/>
      <c r="Z778" s="37"/>
      <c r="AA778" s="37"/>
      <c r="AB778" s="37"/>
      <c r="AC778" s="37"/>
      <c r="AD778" s="38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9">
        <f t="shared" si="356"/>
        <v>0</v>
      </c>
      <c r="AQ778" s="1"/>
    </row>
    <row r="779" ht="15.75" customHeight="1">
      <c r="A779" s="1"/>
      <c r="B779" s="42"/>
      <c r="C779" s="42"/>
      <c r="D779" s="42"/>
      <c r="E779" s="52"/>
      <c r="F779" s="43" t="s">
        <v>30</v>
      </c>
      <c r="G779" s="44"/>
      <c r="H779" s="34">
        <f t="shared" ref="H779:AN779" si="357">H774+H775-H776+H777-H778</f>
        <v>0</v>
      </c>
      <c r="I779" s="34">
        <f t="shared" si="357"/>
        <v>0</v>
      </c>
      <c r="J779" s="34">
        <f t="shared" si="357"/>
        <v>0</v>
      </c>
      <c r="K779" s="34">
        <f t="shared" si="357"/>
        <v>0</v>
      </c>
      <c r="L779" s="34">
        <f t="shared" si="357"/>
        <v>0</v>
      </c>
      <c r="M779" s="34">
        <f t="shared" si="357"/>
        <v>0</v>
      </c>
      <c r="N779" s="34">
        <f t="shared" si="357"/>
        <v>0</v>
      </c>
      <c r="O779" s="34">
        <f t="shared" si="357"/>
        <v>0</v>
      </c>
      <c r="P779" s="34">
        <f t="shared" si="357"/>
        <v>0</v>
      </c>
      <c r="Q779" s="34">
        <f t="shared" si="357"/>
        <v>0</v>
      </c>
      <c r="R779" s="34">
        <f t="shared" si="357"/>
        <v>0</v>
      </c>
      <c r="S779" s="34">
        <f t="shared" si="357"/>
        <v>0</v>
      </c>
      <c r="T779" s="34">
        <f t="shared" si="357"/>
        <v>0</v>
      </c>
      <c r="U779" s="34">
        <f t="shared" si="357"/>
        <v>0</v>
      </c>
      <c r="V779" s="34">
        <f t="shared" si="357"/>
        <v>0</v>
      </c>
      <c r="W779" s="34">
        <f t="shared" si="357"/>
        <v>0</v>
      </c>
      <c r="X779" s="34">
        <f t="shared" si="357"/>
        <v>0</v>
      </c>
      <c r="Y779" s="34">
        <f t="shared" si="357"/>
        <v>0</v>
      </c>
      <c r="Z779" s="34">
        <f t="shared" si="357"/>
        <v>0</v>
      </c>
      <c r="AA779" s="34">
        <f t="shared" si="357"/>
        <v>0</v>
      </c>
      <c r="AB779" s="34">
        <f t="shared" si="357"/>
        <v>0</v>
      </c>
      <c r="AC779" s="34">
        <f t="shared" si="357"/>
        <v>0</v>
      </c>
      <c r="AD779" s="34">
        <f t="shared" si="357"/>
        <v>0</v>
      </c>
      <c r="AE779" s="34">
        <f t="shared" si="357"/>
        <v>0</v>
      </c>
      <c r="AF779" s="34">
        <f t="shared" si="357"/>
        <v>0</v>
      </c>
      <c r="AG779" s="34">
        <f t="shared" si="357"/>
        <v>0</v>
      </c>
      <c r="AH779" s="34">
        <f t="shared" si="357"/>
        <v>0</v>
      </c>
      <c r="AI779" s="34">
        <f t="shared" si="357"/>
        <v>0</v>
      </c>
      <c r="AJ779" s="34">
        <f t="shared" si="357"/>
        <v>0</v>
      </c>
      <c r="AK779" s="34">
        <f t="shared" si="357"/>
        <v>0</v>
      </c>
      <c r="AL779" s="34">
        <f t="shared" si="357"/>
        <v>0</v>
      </c>
      <c r="AM779" s="34">
        <f t="shared" si="357"/>
        <v>0</v>
      </c>
      <c r="AN779" s="34">
        <f t="shared" si="357"/>
        <v>0</v>
      </c>
      <c r="AO779" s="34"/>
      <c r="AP779" s="45">
        <f>AO774</f>
        <v>0</v>
      </c>
      <c r="AQ779" s="1"/>
    </row>
    <row r="780" ht="15.75" customHeight="1">
      <c r="A780" s="1"/>
      <c r="B780" s="32"/>
      <c r="C780" s="32" t="s">
        <v>271</v>
      </c>
      <c r="D780" s="32" t="s">
        <v>272</v>
      </c>
      <c r="E780" s="13"/>
      <c r="F780" s="14" t="s">
        <v>23</v>
      </c>
      <c r="G780" s="44"/>
      <c r="H780" s="34" t="str">
        <f t="shared" ref="H780:AO780" si="358">G785</f>
        <v/>
      </c>
      <c r="I780" s="34">
        <f t="shared" si="358"/>
        <v>0</v>
      </c>
      <c r="J780" s="34">
        <f t="shared" si="358"/>
        <v>0</v>
      </c>
      <c r="K780" s="34">
        <f t="shared" si="358"/>
        <v>0</v>
      </c>
      <c r="L780" s="34">
        <f t="shared" si="358"/>
        <v>0</v>
      </c>
      <c r="M780" s="34">
        <f t="shared" si="358"/>
        <v>0</v>
      </c>
      <c r="N780" s="34">
        <f t="shared" si="358"/>
        <v>0</v>
      </c>
      <c r="O780" s="34">
        <f t="shared" si="358"/>
        <v>0</v>
      </c>
      <c r="P780" s="34">
        <f t="shared" si="358"/>
        <v>0</v>
      </c>
      <c r="Q780" s="34">
        <f t="shared" si="358"/>
        <v>0</v>
      </c>
      <c r="R780" s="34">
        <f t="shared" si="358"/>
        <v>0</v>
      </c>
      <c r="S780" s="34">
        <f t="shared" si="358"/>
        <v>0</v>
      </c>
      <c r="T780" s="34">
        <f t="shared" si="358"/>
        <v>0</v>
      </c>
      <c r="U780" s="34">
        <f t="shared" si="358"/>
        <v>0</v>
      </c>
      <c r="V780" s="34">
        <f t="shared" si="358"/>
        <v>0</v>
      </c>
      <c r="W780" s="34">
        <f t="shared" si="358"/>
        <v>0</v>
      </c>
      <c r="X780" s="34">
        <f t="shared" si="358"/>
        <v>0</v>
      </c>
      <c r="Y780" s="34">
        <f t="shared" si="358"/>
        <v>0</v>
      </c>
      <c r="Z780" s="34">
        <f t="shared" si="358"/>
        <v>0</v>
      </c>
      <c r="AA780" s="34">
        <f t="shared" si="358"/>
        <v>0</v>
      </c>
      <c r="AB780" s="34">
        <f t="shared" si="358"/>
        <v>0</v>
      </c>
      <c r="AC780" s="34">
        <f t="shared" si="358"/>
        <v>0</v>
      </c>
      <c r="AD780" s="34">
        <f t="shared" si="358"/>
        <v>0</v>
      </c>
      <c r="AE780" s="34">
        <f t="shared" si="358"/>
        <v>0</v>
      </c>
      <c r="AF780" s="34">
        <f t="shared" si="358"/>
        <v>0</v>
      </c>
      <c r="AG780" s="34">
        <f t="shared" si="358"/>
        <v>0</v>
      </c>
      <c r="AH780" s="34">
        <f t="shared" si="358"/>
        <v>0</v>
      </c>
      <c r="AI780" s="34">
        <f t="shared" si="358"/>
        <v>0</v>
      </c>
      <c r="AJ780" s="34">
        <f t="shared" si="358"/>
        <v>0</v>
      </c>
      <c r="AK780" s="34">
        <f t="shared" si="358"/>
        <v>0</v>
      </c>
      <c r="AL780" s="34">
        <f t="shared" si="358"/>
        <v>0</v>
      </c>
      <c r="AM780" s="34">
        <f t="shared" si="358"/>
        <v>0</v>
      </c>
      <c r="AN780" s="34">
        <f t="shared" si="358"/>
        <v>0</v>
      </c>
      <c r="AO780" s="34">
        <f t="shared" si="358"/>
        <v>0</v>
      </c>
      <c r="AP780" s="54"/>
      <c r="AQ780" s="1"/>
    </row>
    <row r="781" ht="15.75" customHeight="1">
      <c r="A781" s="1"/>
      <c r="B781" s="35"/>
      <c r="C781" s="35"/>
      <c r="D781" s="35"/>
      <c r="E781" s="33" t="s">
        <v>24</v>
      </c>
      <c r="F781" s="36" t="s">
        <v>25</v>
      </c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8"/>
      <c r="T781" s="37"/>
      <c r="U781" s="38"/>
      <c r="V781" s="37"/>
      <c r="W781" s="37"/>
      <c r="X781" s="37"/>
      <c r="Y781" s="37"/>
      <c r="Z781" s="37"/>
      <c r="AA781" s="37"/>
      <c r="AB781" s="37"/>
      <c r="AC781" s="37"/>
      <c r="AD781" s="38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9">
        <f t="shared" ref="AP781:AP784" si="359">SUM(H781:AO781)</f>
        <v>0</v>
      </c>
      <c r="AQ781" s="1"/>
    </row>
    <row r="782" ht="15.75" customHeight="1">
      <c r="A782" s="1"/>
      <c r="B782" s="35"/>
      <c r="C782" s="35"/>
      <c r="D782" s="35"/>
      <c r="E782" s="33"/>
      <c r="F782" s="40" t="s">
        <v>26</v>
      </c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8"/>
      <c r="T782" s="37"/>
      <c r="U782" s="38"/>
      <c r="V782" s="37"/>
      <c r="W782" s="37"/>
      <c r="X782" s="37"/>
      <c r="Y782" s="37"/>
      <c r="Z782" s="37"/>
      <c r="AA782" s="37"/>
      <c r="AB782" s="37"/>
      <c r="AC782" s="37"/>
      <c r="AD782" s="38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8"/>
      <c r="AP782" s="39">
        <f t="shared" si="359"/>
        <v>0</v>
      </c>
      <c r="AQ782" s="1"/>
    </row>
    <row r="783" ht="15.75" customHeight="1">
      <c r="A783" s="1"/>
      <c r="B783" s="35"/>
      <c r="C783" s="35"/>
      <c r="D783" s="35"/>
      <c r="E783" s="33" t="s">
        <v>27</v>
      </c>
      <c r="F783" s="41" t="s">
        <v>28</v>
      </c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8"/>
      <c r="T783" s="37"/>
      <c r="U783" s="38"/>
      <c r="V783" s="37"/>
      <c r="W783" s="37"/>
      <c r="X783" s="37"/>
      <c r="Y783" s="37"/>
      <c r="Z783" s="37"/>
      <c r="AA783" s="37"/>
      <c r="AB783" s="37"/>
      <c r="AC783" s="37"/>
      <c r="AD783" s="38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9">
        <f t="shared" si="359"/>
        <v>0</v>
      </c>
      <c r="AQ783" s="1"/>
    </row>
    <row r="784" ht="15.75" customHeight="1">
      <c r="A784" s="1"/>
      <c r="B784" s="35"/>
      <c r="C784" s="35"/>
      <c r="D784" s="35"/>
      <c r="E784" s="33"/>
      <c r="F784" s="41" t="s">
        <v>29</v>
      </c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8"/>
      <c r="T784" s="37"/>
      <c r="U784" s="38"/>
      <c r="V784" s="37"/>
      <c r="W784" s="37"/>
      <c r="X784" s="37"/>
      <c r="Y784" s="37"/>
      <c r="Z784" s="37"/>
      <c r="AA784" s="37"/>
      <c r="AB784" s="37"/>
      <c r="AC784" s="37"/>
      <c r="AD784" s="38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9">
        <f t="shared" si="359"/>
        <v>0</v>
      </c>
      <c r="AQ784" s="1"/>
    </row>
    <row r="785" ht="15.75" customHeight="1">
      <c r="A785" s="1"/>
      <c r="B785" s="42"/>
      <c r="C785" s="42"/>
      <c r="D785" s="42"/>
      <c r="E785" s="52"/>
      <c r="F785" s="43" t="s">
        <v>30</v>
      </c>
      <c r="G785" s="44"/>
      <c r="H785" s="34">
        <f t="shared" ref="H785:AN785" si="360">H780+H781-H782+H783-H784</f>
        <v>0</v>
      </c>
      <c r="I785" s="34">
        <f t="shared" si="360"/>
        <v>0</v>
      </c>
      <c r="J785" s="34">
        <f t="shared" si="360"/>
        <v>0</v>
      </c>
      <c r="K785" s="34">
        <f t="shared" si="360"/>
        <v>0</v>
      </c>
      <c r="L785" s="34">
        <f t="shared" si="360"/>
        <v>0</v>
      </c>
      <c r="M785" s="34">
        <f t="shared" si="360"/>
        <v>0</v>
      </c>
      <c r="N785" s="34">
        <f t="shared" si="360"/>
        <v>0</v>
      </c>
      <c r="O785" s="34">
        <f t="shared" si="360"/>
        <v>0</v>
      </c>
      <c r="P785" s="34">
        <f t="shared" si="360"/>
        <v>0</v>
      </c>
      <c r="Q785" s="34">
        <f t="shared" si="360"/>
        <v>0</v>
      </c>
      <c r="R785" s="34">
        <f t="shared" si="360"/>
        <v>0</v>
      </c>
      <c r="S785" s="34">
        <f t="shared" si="360"/>
        <v>0</v>
      </c>
      <c r="T785" s="34">
        <f t="shared" si="360"/>
        <v>0</v>
      </c>
      <c r="U785" s="34">
        <f t="shared" si="360"/>
        <v>0</v>
      </c>
      <c r="V785" s="34">
        <f t="shared" si="360"/>
        <v>0</v>
      </c>
      <c r="W785" s="34">
        <f t="shared" si="360"/>
        <v>0</v>
      </c>
      <c r="X785" s="34">
        <f t="shared" si="360"/>
        <v>0</v>
      </c>
      <c r="Y785" s="34">
        <f t="shared" si="360"/>
        <v>0</v>
      </c>
      <c r="Z785" s="34">
        <f t="shared" si="360"/>
        <v>0</v>
      </c>
      <c r="AA785" s="34">
        <f t="shared" si="360"/>
        <v>0</v>
      </c>
      <c r="AB785" s="34">
        <f t="shared" si="360"/>
        <v>0</v>
      </c>
      <c r="AC785" s="34">
        <f t="shared" si="360"/>
        <v>0</v>
      </c>
      <c r="AD785" s="34">
        <f t="shared" si="360"/>
        <v>0</v>
      </c>
      <c r="AE785" s="34">
        <f t="shared" si="360"/>
        <v>0</v>
      </c>
      <c r="AF785" s="34">
        <f t="shared" si="360"/>
        <v>0</v>
      </c>
      <c r="AG785" s="34">
        <f t="shared" si="360"/>
        <v>0</v>
      </c>
      <c r="AH785" s="34">
        <f t="shared" si="360"/>
        <v>0</v>
      </c>
      <c r="AI785" s="34">
        <f t="shared" si="360"/>
        <v>0</v>
      </c>
      <c r="AJ785" s="34">
        <f t="shared" si="360"/>
        <v>0</v>
      </c>
      <c r="AK785" s="34">
        <f t="shared" si="360"/>
        <v>0</v>
      </c>
      <c r="AL785" s="34">
        <f t="shared" si="360"/>
        <v>0</v>
      </c>
      <c r="AM785" s="34">
        <f t="shared" si="360"/>
        <v>0</v>
      </c>
      <c r="AN785" s="34">
        <f t="shared" si="360"/>
        <v>0</v>
      </c>
      <c r="AO785" s="34"/>
      <c r="AP785" s="45">
        <f>AO780</f>
        <v>0</v>
      </c>
      <c r="AQ785" s="1"/>
    </row>
    <row r="786" ht="15.75" customHeight="1">
      <c r="A786" s="1"/>
      <c r="B786" s="32"/>
      <c r="C786" s="32" t="s">
        <v>273</v>
      </c>
      <c r="D786" s="32" t="s">
        <v>274</v>
      </c>
      <c r="E786" s="13"/>
      <c r="F786" s="14" t="s">
        <v>23</v>
      </c>
      <c r="G786" s="44"/>
      <c r="H786" s="34" t="str">
        <f t="shared" ref="H786:AO786" si="361">G791</f>
        <v/>
      </c>
      <c r="I786" s="34">
        <f t="shared" si="361"/>
        <v>0</v>
      </c>
      <c r="J786" s="34">
        <f t="shared" si="361"/>
        <v>0</v>
      </c>
      <c r="K786" s="34">
        <f t="shared" si="361"/>
        <v>0</v>
      </c>
      <c r="L786" s="34">
        <f t="shared" si="361"/>
        <v>0</v>
      </c>
      <c r="M786" s="34">
        <f t="shared" si="361"/>
        <v>0</v>
      </c>
      <c r="N786" s="34">
        <f t="shared" si="361"/>
        <v>0</v>
      </c>
      <c r="O786" s="34">
        <f t="shared" si="361"/>
        <v>0</v>
      </c>
      <c r="P786" s="34">
        <f t="shared" si="361"/>
        <v>0</v>
      </c>
      <c r="Q786" s="34">
        <f t="shared" si="361"/>
        <v>0</v>
      </c>
      <c r="R786" s="34">
        <f t="shared" si="361"/>
        <v>0</v>
      </c>
      <c r="S786" s="34">
        <f t="shared" si="361"/>
        <v>0</v>
      </c>
      <c r="T786" s="34">
        <f t="shared" si="361"/>
        <v>0</v>
      </c>
      <c r="U786" s="34">
        <f t="shared" si="361"/>
        <v>0</v>
      </c>
      <c r="V786" s="34">
        <f t="shared" si="361"/>
        <v>0</v>
      </c>
      <c r="W786" s="34">
        <f t="shared" si="361"/>
        <v>0</v>
      </c>
      <c r="X786" s="34">
        <f t="shared" si="361"/>
        <v>0</v>
      </c>
      <c r="Y786" s="34">
        <f t="shared" si="361"/>
        <v>0</v>
      </c>
      <c r="Z786" s="34">
        <f t="shared" si="361"/>
        <v>0</v>
      </c>
      <c r="AA786" s="34">
        <f t="shared" si="361"/>
        <v>0</v>
      </c>
      <c r="AB786" s="34">
        <f t="shared" si="361"/>
        <v>0</v>
      </c>
      <c r="AC786" s="34">
        <f t="shared" si="361"/>
        <v>0</v>
      </c>
      <c r="AD786" s="34">
        <f t="shared" si="361"/>
        <v>0</v>
      </c>
      <c r="AE786" s="34">
        <f t="shared" si="361"/>
        <v>0</v>
      </c>
      <c r="AF786" s="34">
        <f t="shared" si="361"/>
        <v>0</v>
      </c>
      <c r="AG786" s="34">
        <f t="shared" si="361"/>
        <v>0</v>
      </c>
      <c r="AH786" s="34">
        <f t="shared" si="361"/>
        <v>0</v>
      </c>
      <c r="AI786" s="34">
        <f t="shared" si="361"/>
        <v>0</v>
      </c>
      <c r="AJ786" s="34">
        <f t="shared" si="361"/>
        <v>0</v>
      </c>
      <c r="AK786" s="34">
        <f t="shared" si="361"/>
        <v>0</v>
      </c>
      <c r="AL786" s="34">
        <f t="shared" si="361"/>
        <v>0</v>
      </c>
      <c r="AM786" s="34">
        <f t="shared" si="361"/>
        <v>0</v>
      </c>
      <c r="AN786" s="34">
        <f t="shared" si="361"/>
        <v>0</v>
      </c>
      <c r="AO786" s="34">
        <f t="shared" si="361"/>
        <v>0</v>
      </c>
      <c r="AP786" s="54"/>
      <c r="AQ786" s="1"/>
    </row>
    <row r="787" ht="15.75" customHeight="1">
      <c r="A787" s="1"/>
      <c r="B787" s="35"/>
      <c r="C787" s="35"/>
      <c r="D787" s="35"/>
      <c r="E787" s="33" t="s">
        <v>24</v>
      </c>
      <c r="F787" s="36" t="s">
        <v>25</v>
      </c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8"/>
      <c r="T787" s="37"/>
      <c r="U787" s="38"/>
      <c r="V787" s="37"/>
      <c r="W787" s="37"/>
      <c r="X787" s="37"/>
      <c r="Y787" s="37"/>
      <c r="Z787" s="37"/>
      <c r="AA787" s="37"/>
      <c r="AB787" s="37"/>
      <c r="AC787" s="37"/>
      <c r="AD787" s="38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9">
        <f t="shared" ref="AP787:AP790" si="362">SUM(H787:AO787)</f>
        <v>0</v>
      </c>
      <c r="AQ787" s="1"/>
    </row>
    <row r="788" ht="15.75" customHeight="1">
      <c r="A788" s="1"/>
      <c r="B788" s="35"/>
      <c r="C788" s="35"/>
      <c r="D788" s="35"/>
      <c r="E788" s="33"/>
      <c r="F788" s="40" t="s">
        <v>26</v>
      </c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8"/>
      <c r="T788" s="37"/>
      <c r="U788" s="38"/>
      <c r="V788" s="37"/>
      <c r="W788" s="37"/>
      <c r="X788" s="37"/>
      <c r="Y788" s="37"/>
      <c r="Z788" s="37"/>
      <c r="AA788" s="37"/>
      <c r="AB788" s="37"/>
      <c r="AC788" s="37"/>
      <c r="AD788" s="38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8"/>
      <c r="AP788" s="39">
        <f t="shared" si="362"/>
        <v>0</v>
      </c>
      <c r="AQ788" s="1"/>
    </row>
    <row r="789" ht="15.75" customHeight="1">
      <c r="A789" s="1"/>
      <c r="B789" s="35"/>
      <c r="C789" s="35"/>
      <c r="D789" s="35"/>
      <c r="E789" s="33" t="s">
        <v>27</v>
      </c>
      <c r="F789" s="41" t="s">
        <v>28</v>
      </c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8"/>
      <c r="T789" s="37"/>
      <c r="U789" s="38"/>
      <c r="V789" s="37"/>
      <c r="W789" s="37"/>
      <c r="X789" s="37"/>
      <c r="Y789" s="37"/>
      <c r="Z789" s="37"/>
      <c r="AA789" s="37"/>
      <c r="AB789" s="37"/>
      <c r="AC789" s="37"/>
      <c r="AD789" s="38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9">
        <f t="shared" si="362"/>
        <v>0</v>
      </c>
      <c r="AQ789" s="1"/>
    </row>
    <row r="790" ht="15.75" customHeight="1">
      <c r="A790" s="1"/>
      <c r="B790" s="35"/>
      <c r="C790" s="35"/>
      <c r="D790" s="35"/>
      <c r="E790" s="33"/>
      <c r="F790" s="41" t="s">
        <v>29</v>
      </c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8"/>
      <c r="T790" s="37"/>
      <c r="U790" s="38"/>
      <c r="V790" s="37"/>
      <c r="W790" s="37"/>
      <c r="X790" s="37"/>
      <c r="Y790" s="37"/>
      <c r="Z790" s="37"/>
      <c r="AA790" s="37"/>
      <c r="AB790" s="37"/>
      <c r="AC790" s="37"/>
      <c r="AD790" s="38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9">
        <f t="shared" si="362"/>
        <v>0</v>
      </c>
      <c r="AQ790" s="1"/>
    </row>
    <row r="791" ht="15.75" customHeight="1">
      <c r="A791" s="1"/>
      <c r="B791" s="42"/>
      <c r="C791" s="42"/>
      <c r="D791" s="42"/>
      <c r="E791" s="52"/>
      <c r="F791" s="43" t="s">
        <v>30</v>
      </c>
      <c r="G791" s="44"/>
      <c r="H791" s="34">
        <f t="shared" ref="H791:AN791" si="363">H786+H787-H788+H789-H790</f>
        <v>0</v>
      </c>
      <c r="I791" s="34">
        <f t="shared" si="363"/>
        <v>0</v>
      </c>
      <c r="J791" s="34">
        <f t="shared" si="363"/>
        <v>0</v>
      </c>
      <c r="K791" s="34">
        <f t="shared" si="363"/>
        <v>0</v>
      </c>
      <c r="L791" s="34">
        <f t="shared" si="363"/>
        <v>0</v>
      </c>
      <c r="M791" s="34">
        <f t="shared" si="363"/>
        <v>0</v>
      </c>
      <c r="N791" s="34">
        <f t="shared" si="363"/>
        <v>0</v>
      </c>
      <c r="O791" s="34">
        <f t="shared" si="363"/>
        <v>0</v>
      </c>
      <c r="P791" s="34">
        <f t="shared" si="363"/>
        <v>0</v>
      </c>
      <c r="Q791" s="34">
        <f t="shared" si="363"/>
        <v>0</v>
      </c>
      <c r="R791" s="34">
        <f t="shared" si="363"/>
        <v>0</v>
      </c>
      <c r="S791" s="34">
        <f t="shared" si="363"/>
        <v>0</v>
      </c>
      <c r="T791" s="34">
        <f t="shared" si="363"/>
        <v>0</v>
      </c>
      <c r="U791" s="34">
        <f t="shared" si="363"/>
        <v>0</v>
      </c>
      <c r="V791" s="34">
        <f t="shared" si="363"/>
        <v>0</v>
      </c>
      <c r="W791" s="34">
        <f t="shared" si="363"/>
        <v>0</v>
      </c>
      <c r="X791" s="34">
        <f t="shared" si="363"/>
        <v>0</v>
      </c>
      <c r="Y791" s="34">
        <f t="shared" si="363"/>
        <v>0</v>
      </c>
      <c r="Z791" s="34">
        <f t="shared" si="363"/>
        <v>0</v>
      </c>
      <c r="AA791" s="34">
        <f t="shared" si="363"/>
        <v>0</v>
      </c>
      <c r="AB791" s="34">
        <f t="shared" si="363"/>
        <v>0</v>
      </c>
      <c r="AC791" s="34">
        <f t="shared" si="363"/>
        <v>0</v>
      </c>
      <c r="AD791" s="34">
        <f t="shared" si="363"/>
        <v>0</v>
      </c>
      <c r="AE791" s="34">
        <f t="shared" si="363"/>
        <v>0</v>
      </c>
      <c r="AF791" s="34">
        <f t="shared" si="363"/>
        <v>0</v>
      </c>
      <c r="AG791" s="34">
        <f t="shared" si="363"/>
        <v>0</v>
      </c>
      <c r="AH791" s="34">
        <f t="shared" si="363"/>
        <v>0</v>
      </c>
      <c r="AI791" s="34">
        <f t="shared" si="363"/>
        <v>0</v>
      </c>
      <c r="AJ791" s="34">
        <f t="shared" si="363"/>
        <v>0</v>
      </c>
      <c r="AK791" s="34">
        <f t="shared" si="363"/>
        <v>0</v>
      </c>
      <c r="AL791" s="34">
        <f t="shared" si="363"/>
        <v>0</v>
      </c>
      <c r="AM791" s="34">
        <f t="shared" si="363"/>
        <v>0</v>
      </c>
      <c r="AN791" s="34">
        <f t="shared" si="363"/>
        <v>0</v>
      </c>
      <c r="AO791" s="34"/>
      <c r="AP791" s="45">
        <f>AO786</f>
        <v>0</v>
      </c>
      <c r="AQ791" s="1"/>
    </row>
    <row r="792" ht="15.75" customHeight="1">
      <c r="A792" s="1"/>
      <c r="B792" s="32"/>
      <c r="C792" s="32" t="s">
        <v>275</v>
      </c>
      <c r="D792" s="32" t="s">
        <v>276</v>
      </c>
      <c r="E792" s="13"/>
      <c r="F792" s="14" t="s">
        <v>23</v>
      </c>
      <c r="G792" s="44"/>
      <c r="H792" s="34" t="str">
        <f t="shared" ref="H792:AO792" si="364">G797</f>
        <v/>
      </c>
      <c r="I792" s="34">
        <f t="shared" si="364"/>
        <v>0</v>
      </c>
      <c r="J792" s="34">
        <f t="shared" si="364"/>
        <v>0</v>
      </c>
      <c r="K792" s="34">
        <f t="shared" si="364"/>
        <v>0</v>
      </c>
      <c r="L792" s="34">
        <f t="shared" si="364"/>
        <v>0</v>
      </c>
      <c r="M792" s="34">
        <f t="shared" si="364"/>
        <v>0</v>
      </c>
      <c r="N792" s="34">
        <f t="shared" si="364"/>
        <v>0</v>
      </c>
      <c r="O792" s="34">
        <f t="shared" si="364"/>
        <v>0</v>
      </c>
      <c r="P792" s="34">
        <f t="shared" si="364"/>
        <v>0</v>
      </c>
      <c r="Q792" s="34">
        <f t="shared" si="364"/>
        <v>0</v>
      </c>
      <c r="R792" s="34">
        <f t="shared" si="364"/>
        <v>0</v>
      </c>
      <c r="S792" s="34">
        <f t="shared" si="364"/>
        <v>0</v>
      </c>
      <c r="T792" s="34">
        <f t="shared" si="364"/>
        <v>0</v>
      </c>
      <c r="U792" s="34">
        <f t="shared" si="364"/>
        <v>0</v>
      </c>
      <c r="V792" s="34">
        <f t="shared" si="364"/>
        <v>0</v>
      </c>
      <c r="W792" s="34">
        <f t="shared" si="364"/>
        <v>0</v>
      </c>
      <c r="X792" s="34">
        <f t="shared" si="364"/>
        <v>0</v>
      </c>
      <c r="Y792" s="34">
        <f t="shared" si="364"/>
        <v>0</v>
      </c>
      <c r="Z792" s="34">
        <f t="shared" si="364"/>
        <v>0</v>
      </c>
      <c r="AA792" s="34">
        <f t="shared" si="364"/>
        <v>0</v>
      </c>
      <c r="AB792" s="34">
        <f t="shared" si="364"/>
        <v>0</v>
      </c>
      <c r="AC792" s="34">
        <f t="shared" si="364"/>
        <v>0</v>
      </c>
      <c r="AD792" s="34">
        <f t="shared" si="364"/>
        <v>0</v>
      </c>
      <c r="AE792" s="34">
        <f t="shared" si="364"/>
        <v>0</v>
      </c>
      <c r="AF792" s="34">
        <f t="shared" si="364"/>
        <v>0</v>
      </c>
      <c r="AG792" s="34">
        <f t="shared" si="364"/>
        <v>0</v>
      </c>
      <c r="AH792" s="34">
        <f t="shared" si="364"/>
        <v>0</v>
      </c>
      <c r="AI792" s="34">
        <f t="shared" si="364"/>
        <v>0</v>
      </c>
      <c r="AJ792" s="34">
        <f t="shared" si="364"/>
        <v>0</v>
      </c>
      <c r="AK792" s="34">
        <f t="shared" si="364"/>
        <v>0</v>
      </c>
      <c r="AL792" s="34">
        <f t="shared" si="364"/>
        <v>0</v>
      </c>
      <c r="AM792" s="34">
        <f t="shared" si="364"/>
        <v>0</v>
      </c>
      <c r="AN792" s="34">
        <f t="shared" si="364"/>
        <v>0</v>
      </c>
      <c r="AO792" s="34">
        <f t="shared" si="364"/>
        <v>0</v>
      </c>
      <c r="AP792" s="54"/>
      <c r="AQ792" s="1"/>
    </row>
    <row r="793" ht="15.75" customHeight="1">
      <c r="A793" s="1"/>
      <c r="B793" s="35"/>
      <c r="C793" s="35"/>
      <c r="D793" s="35"/>
      <c r="E793" s="33" t="s">
        <v>24</v>
      </c>
      <c r="F793" s="36" t="s">
        <v>25</v>
      </c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8"/>
      <c r="T793" s="37"/>
      <c r="U793" s="38"/>
      <c r="V793" s="37"/>
      <c r="W793" s="37"/>
      <c r="X793" s="37"/>
      <c r="Y793" s="37"/>
      <c r="Z793" s="37"/>
      <c r="AA793" s="37"/>
      <c r="AB793" s="37"/>
      <c r="AC793" s="37"/>
      <c r="AD793" s="38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9">
        <f t="shared" ref="AP793:AP796" si="365">SUM(H793:AO793)</f>
        <v>0</v>
      </c>
      <c r="AQ793" s="1"/>
    </row>
    <row r="794" ht="15.75" customHeight="1">
      <c r="A794" s="1"/>
      <c r="B794" s="35"/>
      <c r="C794" s="35"/>
      <c r="D794" s="35"/>
      <c r="E794" s="33"/>
      <c r="F794" s="40" t="s">
        <v>26</v>
      </c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8"/>
      <c r="T794" s="37"/>
      <c r="U794" s="38"/>
      <c r="V794" s="37"/>
      <c r="W794" s="37"/>
      <c r="X794" s="37"/>
      <c r="Y794" s="37"/>
      <c r="Z794" s="37"/>
      <c r="AA794" s="37"/>
      <c r="AB794" s="37"/>
      <c r="AC794" s="37"/>
      <c r="AD794" s="38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8"/>
      <c r="AP794" s="39">
        <f t="shared" si="365"/>
        <v>0</v>
      </c>
      <c r="AQ794" s="1"/>
    </row>
    <row r="795" ht="15.75" customHeight="1">
      <c r="A795" s="1"/>
      <c r="B795" s="35"/>
      <c r="C795" s="35"/>
      <c r="D795" s="35"/>
      <c r="E795" s="33" t="s">
        <v>27</v>
      </c>
      <c r="F795" s="41" t="s">
        <v>28</v>
      </c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8"/>
      <c r="T795" s="37"/>
      <c r="U795" s="38"/>
      <c r="V795" s="37"/>
      <c r="W795" s="37"/>
      <c r="X795" s="37"/>
      <c r="Y795" s="37"/>
      <c r="Z795" s="37"/>
      <c r="AA795" s="37"/>
      <c r="AB795" s="37"/>
      <c r="AC795" s="37"/>
      <c r="AD795" s="38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9">
        <f t="shared" si="365"/>
        <v>0</v>
      </c>
      <c r="AQ795" s="1"/>
    </row>
    <row r="796" ht="15.75" customHeight="1">
      <c r="A796" s="1"/>
      <c r="B796" s="35"/>
      <c r="C796" s="35"/>
      <c r="D796" s="35"/>
      <c r="E796" s="33"/>
      <c r="F796" s="41" t="s">
        <v>29</v>
      </c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8"/>
      <c r="T796" s="37"/>
      <c r="U796" s="38"/>
      <c r="V796" s="37"/>
      <c r="W796" s="37"/>
      <c r="X796" s="37"/>
      <c r="Y796" s="37"/>
      <c r="Z796" s="37"/>
      <c r="AA796" s="37"/>
      <c r="AB796" s="37"/>
      <c r="AC796" s="37"/>
      <c r="AD796" s="38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9">
        <f t="shared" si="365"/>
        <v>0</v>
      </c>
      <c r="AQ796" s="1"/>
    </row>
    <row r="797" ht="15.75" customHeight="1">
      <c r="A797" s="1"/>
      <c r="B797" s="42"/>
      <c r="C797" s="42"/>
      <c r="D797" s="42"/>
      <c r="E797" s="52"/>
      <c r="F797" s="43" t="s">
        <v>30</v>
      </c>
      <c r="G797" s="44"/>
      <c r="H797" s="34">
        <f t="shared" ref="H797:AN797" si="366">H792+H793-H794+H795-H796</f>
        <v>0</v>
      </c>
      <c r="I797" s="34">
        <f t="shared" si="366"/>
        <v>0</v>
      </c>
      <c r="J797" s="34">
        <f t="shared" si="366"/>
        <v>0</v>
      </c>
      <c r="K797" s="34">
        <f t="shared" si="366"/>
        <v>0</v>
      </c>
      <c r="L797" s="34">
        <f t="shared" si="366"/>
        <v>0</v>
      </c>
      <c r="M797" s="34">
        <f t="shared" si="366"/>
        <v>0</v>
      </c>
      <c r="N797" s="34">
        <f t="shared" si="366"/>
        <v>0</v>
      </c>
      <c r="O797" s="34">
        <f t="shared" si="366"/>
        <v>0</v>
      </c>
      <c r="P797" s="34">
        <f t="shared" si="366"/>
        <v>0</v>
      </c>
      <c r="Q797" s="34">
        <f t="shared" si="366"/>
        <v>0</v>
      </c>
      <c r="R797" s="34">
        <f t="shared" si="366"/>
        <v>0</v>
      </c>
      <c r="S797" s="34">
        <f t="shared" si="366"/>
        <v>0</v>
      </c>
      <c r="T797" s="34">
        <f t="shared" si="366"/>
        <v>0</v>
      </c>
      <c r="U797" s="34">
        <f t="shared" si="366"/>
        <v>0</v>
      </c>
      <c r="V797" s="34">
        <f t="shared" si="366"/>
        <v>0</v>
      </c>
      <c r="W797" s="34">
        <f t="shared" si="366"/>
        <v>0</v>
      </c>
      <c r="X797" s="34">
        <f t="shared" si="366"/>
        <v>0</v>
      </c>
      <c r="Y797" s="34">
        <f t="shared" si="366"/>
        <v>0</v>
      </c>
      <c r="Z797" s="34">
        <f t="shared" si="366"/>
        <v>0</v>
      </c>
      <c r="AA797" s="34">
        <f t="shared" si="366"/>
        <v>0</v>
      </c>
      <c r="AB797" s="34">
        <f t="shared" si="366"/>
        <v>0</v>
      </c>
      <c r="AC797" s="34">
        <f t="shared" si="366"/>
        <v>0</v>
      </c>
      <c r="AD797" s="34">
        <f t="shared" si="366"/>
        <v>0</v>
      </c>
      <c r="AE797" s="34">
        <f t="shared" si="366"/>
        <v>0</v>
      </c>
      <c r="AF797" s="34">
        <f t="shared" si="366"/>
        <v>0</v>
      </c>
      <c r="AG797" s="34">
        <f t="shared" si="366"/>
        <v>0</v>
      </c>
      <c r="AH797" s="34">
        <f t="shared" si="366"/>
        <v>0</v>
      </c>
      <c r="AI797" s="34">
        <f t="shared" si="366"/>
        <v>0</v>
      </c>
      <c r="AJ797" s="34">
        <f t="shared" si="366"/>
        <v>0</v>
      </c>
      <c r="AK797" s="34">
        <f t="shared" si="366"/>
        <v>0</v>
      </c>
      <c r="AL797" s="34">
        <f t="shared" si="366"/>
        <v>0</v>
      </c>
      <c r="AM797" s="34">
        <f t="shared" si="366"/>
        <v>0</v>
      </c>
      <c r="AN797" s="34">
        <f t="shared" si="366"/>
        <v>0</v>
      </c>
      <c r="AO797" s="34"/>
      <c r="AP797" s="45">
        <f>AO792</f>
        <v>0</v>
      </c>
      <c r="AQ797" s="1"/>
    </row>
    <row r="798" ht="15.75" customHeight="1">
      <c r="A798" s="1"/>
      <c r="B798" s="70"/>
      <c r="C798" s="32" t="s">
        <v>277</v>
      </c>
      <c r="D798" s="32"/>
      <c r="E798" s="33"/>
      <c r="F798" s="43" t="s">
        <v>23</v>
      </c>
      <c r="G798" s="44"/>
      <c r="H798" s="34">
        <v>86.0</v>
      </c>
      <c r="I798" s="34">
        <f t="shared" ref="I798:AO798" si="367">H803</f>
        <v>86</v>
      </c>
      <c r="J798" s="34">
        <f t="shared" si="367"/>
        <v>86</v>
      </c>
      <c r="K798" s="34">
        <f t="shared" si="367"/>
        <v>38</v>
      </c>
      <c r="L798" s="34">
        <f t="shared" si="367"/>
        <v>38</v>
      </c>
      <c r="M798" s="34">
        <f t="shared" si="367"/>
        <v>61</v>
      </c>
      <c r="N798" s="34">
        <f t="shared" si="367"/>
        <v>61</v>
      </c>
      <c r="O798" s="34">
        <f t="shared" si="367"/>
        <v>61</v>
      </c>
      <c r="P798" s="34">
        <f t="shared" si="367"/>
        <v>61</v>
      </c>
      <c r="Q798" s="34">
        <f t="shared" si="367"/>
        <v>61</v>
      </c>
      <c r="R798" s="34">
        <f t="shared" si="367"/>
        <v>61</v>
      </c>
      <c r="S798" s="34">
        <f t="shared" si="367"/>
        <v>62</v>
      </c>
      <c r="T798" s="34">
        <f t="shared" si="367"/>
        <v>62</v>
      </c>
      <c r="U798" s="34">
        <f t="shared" si="367"/>
        <v>62</v>
      </c>
      <c r="V798" s="34">
        <f t="shared" si="367"/>
        <v>62</v>
      </c>
      <c r="W798" s="34">
        <f t="shared" si="367"/>
        <v>62</v>
      </c>
      <c r="X798" s="34">
        <f t="shared" si="367"/>
        <v>62</v>
      </c>
      <c r="Y798" s="34">
        <f t="shared" si="367"/>
        <v>62</v>
      </c>
      <c r="Z798" s="34">
        <f t="shared" si="367"/>
        <v>62</v>
      </c>
      <c r="AA798" s="34">
        <f t="shared" si="367"/>
        <v>62</v>
      </c>
      <c r="AB798" s="34">
        <f t="shared" si="367"/>
        <v>62</v>
      </c>
      <c r="AC798" s="34">
        <f t="shared" si="367"/>
        <v>62</v>
      </c>
      <c r="AD798" s="34">
        <f t="shared" si="367"/>
        <v>62</v>
      </c>
      <c r="AE798" s="34">
        <f t="shared" si="367"/>
        <v>62</v>
      </c>
      <c r="AF798" s="34">
        <f t="shared" si="367"/>
        <v>62</v>
      </c>
      <c r="AG798" s="34">
        <f t="shared" si="367"/>
        <v>62</v>
      </c>
      <c r="AH798" s="34">
        <f t="shared" si="367"/>
        <v>62</v>
      </c>
      <c r="AI798" s="34">
        <f t="shared" si="367"/>
        <v>62</v>
      </c>
      <c r="AJ798" s="34">
        <f t="shared" si="367"/>
        <v>62</v>
      </c>
      <c r="AK798" s="34">
        <f t="shared" si="367"/>
        <v>62</v>
      </c>
      <c r="AL798" s="34">
        <f t="shared" si="367"/>
        <v>62</v>
      </c>
      <c r="AM798" s="34">
        <f t="shared" si="367"/>
        <v>62</v>
      </c>
      <c r="AN798" s="34">
        <f t="shared" si="367"/>
        <v>62</v>
      </c>
      <c r="AO798" s="34">
        <f t="shared" si="367"/>
        <v>62</v>
      </c>
      <c r="AP798" s="45"/>
      <c r="AQ798" s="1"/>
    </row>
    <row r="799" ht="15.75" customHeight="1">
      <c r="A799" s="1"/>
      <c r="B799" s="70"/>
      <c r="C799" s="35"/>
      <c r="D799" s="35"/>
      <c r="E799" s="92" t="s">
        <v>24</v>
      </c>
      <c r="F799" s="93" t="s">
        <v>25</v>
      </c>
      <c r="G799" s="44"/>
      <c r="H799" s="34"/>
      <c r="I799" s="34"/>
      <c r="J799" s="34"/>
      <c r="K799" s="34"/>
      <c r="L799" s="34">
        <v>23.0</v>
      </c>
      <c r="M799" s="34"/>
      <c r="N799" s="34"/>
      <c r="O799" s="34"/>
      <c r="P799" s="34"/>
      <c r="Q799" s="34"/>
      <c r="R799" s="34">
        <v>1.0</v>
      </c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45">
        <f t="shared" ref="AP799:AP802" si="368">SUM(H799:AL799)</f>
        <v>24</v>
      </c>
      <c r="AQ799" s="1"/>
    </row>
    <row r="800" ht="15.75" customHeight="1">
      <c r="A800" s="51"/>
      <c r="B800" s="78"/>
      <c r="C800" s="35"/>
      <c r="D800" s="35"/>
      <c r="E800" s="32"/>
      <c r="F800" s="94" t="s">
        <v>26</v>
      </c>
      <c r="G800" s="66"/>
      <c r="H800" s="79"/>
      <c r="I800" s="79"/>
      <c r="J800" s="79">
        <v>48.0</v>
      </c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45">
        <f t="shared" si="368"/>
        <v>48</v>
      </c>
      <c r="AQ800" s="51"/>
    </row>
    <row r="801" ht="15.75" customHeight="1">
      <c r="A801" s="1"/>
      <c r="B801" s="70"/>
      <c r="C801" s="35"/>
      <c r="D801" s="35"/>
      <c r="E801" s="42"/>
      <c r="F801" s="43" t="s">
        <v>28</v>
      </c>
      <c r="G801" s="4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45">
        <f t="shared" si="368"/>
        <v>0</v>
      </c>
      <c r="AQ801" s="1"/>
    </row>
    <row r="802" ht="15.75" customHeight="1">
      <c r="A802" s="1"/>
      <c r="B802" s="70"/>
      <c r="C802" s="35"/>
      <c r="D802" s="35"/>
      <c r="E802" s="92" t="s">
        <v>27</v>
      </c>
      <c r="F802" s="43" t="s">
        <v>29</v>
      </c>
      <c r="G802" s="4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45">
        <f t="shared" si="368"/>
        <v>0</v>
      </c>
      <c r="AQ802" s="1"/>
    </row>
    <row r="803" ht="15.75" customHeight="1">
      <c r="A803" s="1"/>
      <c r="B803" s="70"/>
      <c r="C803" s="35"/>
      <c r="D803" s="35"/>
      <c r="E803" s="32"/>
      <c r="F803" s="43" t="s">
        <v>30</v>
      </c>
      <c r="G803" s="44"/>
      <c r="H803" s="34">
        <f t="shared" ref="H803:AN803" si="369">H798+H799+H801+H802-H800</f>
        <v>86</v>
      </c>
      <c r="I803" s="34">
        <f t="shared" si="369"/>
        <v>86</v>
      </c>
      <c r="J803" s="34">
        <f t="shared" si="369"/>
        <v>38</v>
      </c>
      <c r="K803" s="34">
        <f t="shared" si="369"/>
        <v>38</v>
      </c>
      <c r="L803" s="34">
        <f t="shared" si="369"/>
        <v>61</v>
      </c>
      <c r="M803" s="34">
        <f t="shared" si="369"/>
        <v>61</v>
      </c>
      <c r="N803" s="34">
        <f t="shared" si="369"/>
        <v>61</v>
      </c>
      <c r="O803" s="34">
        <f t="shared" si="369"/>
        <v>61</v>
      </c>
      <c r="P803" s="34">
        <f t="shared" si="369"/>
        <v>61</v>
      </c>
      <c r="Q803" s="34">
        <f t="shared" si="369"/>
        <v>61</v>
      </c>
      <c r="R803" s="34">
        <f t="shared" si="369"/>
        <v>62</v>
      </c>
      <c r="S803" s="34">
        <f t="shared" si="369"/>
        <v>62</v>
      </c>
      <c r="T803" s="34">
        <f t="shared" si="369"/>
        <v>62</v>
      </c>
      <c r="U803" s="34">
        <f t="shared" si="369"/>
        <v>62</v>
      </c>
      <c r="V803" s="34">
        <f t="shared" si="369"/>
        <v>62</v>
      </c>
      <c r="W803" s="34">
        <f t="shared" si="369"/>
        <v>62</v>
      </c>
      <c r="X803" s="34">
        <f t="shared" si="369"/>
        <v>62</v>
      </c>
      <c r="Y803" s="34">
        <f t="shared" si="369"/>
        <v>62</v>
      </c>
      <c r="Z803" s="34">
        <f t="shared" si="369"/>
        <v>62</v>
      </c>
      <c r="AA803" s="34">
        <f t="shared" si="369"/>
        <v>62</v>
      </c>
      <c r="AB803" s="34">
        <f t="shared" si="369"/>
        <v>62</v>
      </c>
      <c r="AC803" s="34">
        <f t="shared" si="369"/>
        <v>62</v>
      </c>
      <c r="AD803" s="34">
        <f t="shared" si="369"/>
        <v>62</v>
      </c>
      <c r="AE803" s="34">
        <f t="shared" si="369"/>
        <v>62</v>
      </c>
      <c r="AF803" s="34">
        <f t="shared" si="369"/>
        <v>62</v>
      </c>
      <c r="AG803" s="34">
        <f t="shared" si="369"/>
        <v>62</v>
      </c>
      <c r="AH803" s="34">
        <f t="shared" si="369"/>
        <v>62</v>
      </c>
      <c r="AI803" s="34">
        <f t="shared" si="369"/>
        <v>62</v>
      </c>
      <c r="AJ803" s="34">
        <f t="shared" si="369"/>
        <v>62</v>
      </c>
      <c r="AK803" s="34">
        <f t="shared" si="369"/>
        <v>62</v>
      </c>
      <c r="AL803" s="34">
        <f t="shared" si="369"/>
        <v>62</v>
      </c>
      <c r="AM803" s="34">
        <f t="shared" si="369"/>
        <v>62</v>
      </c>
      <c r="AN803" s="34">
        <f t="shared" si="369"/>
        <v>62</v>
      </c>
      <c r="AO803" s="34"/>
      <c r="AP803" s="45">
        <f>AO798</f>
        <v>62</v>
      </c>
      <c r="AQ803" s="1"/>
    </row>
    <row r="804" ht="15.75" customHeight="1">
      <c r="A804" s="1"/>
      <c r="B804" s="70"/>
      <c r="C804" s="42"/>
      <c r="D804" s="42"/>
      <c r="E804" s="42"/>
      <c r="F804" s="43"/>
      <c r="G804" s="4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45"/>
      <c r="AQ804" s="1"/>
    </row>
    <row r="805" ht="15.0" customHeight="1">
      <c r="A805" s="1"/>
      <c r="B805" s="32"/>
      <c r="C805" s="12" t="s">
        <v>278</v>
      </c>
      <c r="D805" s="95" t="s">
        <v>279</v>
      </c>
      <c r="E805" s="64"/>
      <c r="F805" s="14" t="s">
        <v>23</v>
      </c>
      <c r="G805" s="44"/>
      <c r="H805" s="21">
        <v>15.0</v>
      </c>
      <c r="I805" s="21">
        <f t="shared" ref="I805:AO805" si="370">H811</f>
        <v>15</v>
      </c>
      <c r="J805" s="21">
        <f t="shared" si="370"/>
        <v>143</v>
      </c>
      <c r="K805" s="21">
        <f t="shared" si="370"/>
        <v>91</v>
      </c>
      <c r="L805" s="21">
        <f t="shared" si="370"/>
        <v>121</v>
      </c>
      <c r="M805" s="21">
        <f t="shared" si="370"/>
        <v>83</v>
      </c>
      <c r="N805" s="21">
        <f t="shared" si="370"/>
        <v>93</v>
      </c>
      <c r="O805" s="21">
        <f t="shared" si="370"/>
        <v>93</v>
      </c>
      <c r="P805" s="21">
        <f t="shared" si="370"/>
        <v>143</v>
      </c>
      <c r="Q805" s="21">
        <f t="shared" si="370"/>
        <v>113</v>
      </c>
      <c r="R805" s="21">
        <f t="shared" si="370"/>
        <v>83</v>
      </c>
      <c r="S805" s="21">
        <f t="shared" si="370"/>
        <v>98</v>
      </c>
      <c r="T805" s="21">
        <f t="shared" si="370"/>
        <v>18</v>
      </c>
      <c r="U805" s="21">
        <f t="shared" si="370"/>
        <v>18</v>
      </c>
      <c r="V805" s="21">
        <f t="shared" si="370"/>
        <v>18</v>
      </c>
      <c r="W805" s="21">
        <f t="shared" si="370"/>
        <v>129</v>
      </c>
      <c r="X805" s="21">
        <f t="shared" si="370"/>
        <v>129</v>
      </c>
      <c r="Y805" s="21">
        <f t="shared" si="370"/>
        <v>73</v>
      </c>
      <c r="Z805" s="21">
        <f t="shared" si="370"/>
        <v>115</v>
      </c>
      <c r="AA805" s="21">
        <f t="shared" si="370"/>
        <v>69</v>
      </c>
      <c r="AB805" s="21">
        <f t="shared" si="370"/>
        <v>69</v>
      </c>
      <c r="AC805" s="21">
        <f t="shared" si="370"/>
        <v>69</v>
      </c>
      <c r="AD805" s="21">
        <f t="shared" si="370"/>
        <v>69</v>
      </c>
      <c r="AE805" s="21">
        <f t="shared" si="370"/>
        <v>69</v>
      </c>
      <c r="AF805" s="21">
        <f t="shared" si="370"/>
        <v>69</v>
      </c>
      <c r="AG805" s="21">
        <f t="shared" si="370"/>
        <v>69</v>
      </c>
      <c r="AH805" s="21">
        <f t="shared" si="370"/>
        <v>69</v>
      </c>
      <c r="AI805" s="21">
        <f t="shared" si="370"/>
        <v>69</v>
      </c>
      <c r="AJ805" s="21">
        <f t="shared" si="370"/>
        <v>69</v>
      </c>
      <c r="AK805" s="21">
        <f t="shared" si="370"/>
        <v>69</v>
      </c>
      <c r="AL805" s="21">
        <f t="shared" si="370"/>
        <v>69</v>
      </c>
      <c r="AM805" s="21">
        <f t="shared" si="370"/>
        <v>69</v>
      </c>
      <c r="AN805" s="21">
        <f t="shared" si="370"/>
        <v>69</v>
      </c>
      <c r="AO805" s="21">
        <f t="shared" si="370"/>
        <v>69</v>
      </c>
      <c r="AP805" s="54"/>
      <c r="AQ805" s="1"/>
    </row>
    <row r="806" ht="15.0" customHeight="1">
      <c r="A806" s="1"/>
      <c r="B806" s="35"/>
      <c r="C806" s="84"/>
      <c r="D806" s="35"/>
      <c r="E806" s="65" t="s">
        <v>24</v>
      </c>
      <c r="F806" s="36" t="s">
        <v>25</v>
      </c>
      <c r="G806" s="37"/>
      <c r="H806" s="37"/>
      <c r="I806" s="37">
        <v>128.0</v>
      </c>
      <c r="J806" s="37">
        <v>40.0</v>
      </c>
      <c r="K806" s="37">
        <v>30.0</v>
      </c>
      <c r="L806" s="37">
        <v>32.0</v>
      </c>
      <c r="M806" s="37">
        <v>10.0</v>
      </c>
      <c r="N806" s="37"/>
      <c r="O806" s="37">
        <v>50.0</v>
      </c>
      <c r="P806" s="37">
        <v>30.0</v>
      </c>
      <c r="Q806" s="37"/>
      <c r="R806" s="37">
        <v>15.0</v>
      </c>
      <c r="S806" s="38"/>
      <c r="T806" s="37"/>
      <c r="U806" s="38"/>
      <c r="V806" s="37">
        <v>111.0</v>
      </c>
      <c r="W806" s="37"/>
      <c r="X806" s="37">
        <v>29.0</v>
      </c>
      <c r="Y806" s="37">
        <v>42.0</v>
      </c>
      <c r="Z806" s="37"/>
      <c r="AA806" s="37"/>
      <c r="AB806" s="37"/>
      <c r="AC806" s="37"/>
      <c r="AD806" s="38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9">
        <f t="shared" ref="AP806:AP810" si="371">SUM(H806:AO806)</f>
        <v>517</v>
      </c>
      <c r="AQ806" s="1"/>
    </row>
    <row r="807" ht="15.0" customHeight="1">
      <c r="A807" s="1"/>
      <c r="B807" s="35"/>
      <c r="C807" s="84"/>
      <c r="D807" s="35"/>
      <c r="E807" s="65"/>
      <c r="F807" s="36" t="s">
        <v>94</v>
      </c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8"/>
      <c r="T807" s="37"/>
      <c r="U807" s="38"/>
      <c r="V807" s="37"/>
      <c r="W807" s="37"/>
      <c r="X807" s="37"/>
      <c r="Y807" s="37"/>
      <c r="Z807" s="37"/>
      <c r="AA807" s="37"/>
      <c r="AB807" s="37"/>
      <c r="AC807" s="37"/>
      <c r="AD807" s="38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9">
        <f t="shared" si="371"/>
        <v>0</v>
      </c>
      <c r="AQ807" s="1"/>
    </row>
    <row r="808" ht="15.0" customHeight="1">
      <c r="A808" s="51"/>
      <c r="B808" s="35"/>
      <c r="C808" s="84"/>
      <c r="D808" s="35"/>
      <c r="E808" s="47"/>
      <c r="F808" s="40" t="s">
        <v>26</v>
      </c>
      <c r="G808" s="49"/>
      <c r="H808" s="49"/>
      <c r="I808" s="49"/>
      <c r="J808" s="49">
        <v>92.0</v>
      </c>
      <c r="K808" s="49"/>
      <c r="L808" s="49">
        <v>70.0</v>
      </c>
      <c r="M808" s="49"/>
      <c r="N808" s="49"/>
      <c r="O808" s="49"/>
      <c r="P808" s="49">
        <v>60.0</v>
      </c>
      <c r="Q808" s="49">
        <v>30.0</v>
      </c>
      <c r="R808" s="49"/>
      <c r="S808" s="48">
        <v>80.0</v>
      </c>
      <c r="T808" s="49"/>
      <c r="U808" s="48"/>
      <c r="V808" s="49"/>
      <c r="W808" s="49"/>
      <c r="X808" s="49">
        <v>85.0</v>
      </c>
      <c r="Y808" s="49"/>
      <c r="Z808" s="49">
        <v>46.0</v>
      </c>
      <c r="AA808" s="49"/>
      <c r="AB808" s="49"/>
      <c r="AC808" s="49"/>
      <c r="AD808" s="48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8"/>
      <c r="AP808" s="50">
        <f t="shared" si="371"/>
        <v>463</v>
      </c>
      <c r="AQ808" s="51"/>
    </row>
    <row r="809" ht="15.0" customHeight="1">
      <c r="A809" s="1"/>
      <c r="B809" s="35"/>
      <c r="C809" s="84"/>
      <c r="D809" s="35"/>
      <c r="E809" s="65" t="s">
        <v>27</v>
      </c>
      <c r="F809" s="41" t="s">
        <v>28</v>
      </c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8"/>
      <c r="T809" s="37"/>
      <c r="U809" s="38"/>
      <c r="V809" s="37"/>
      <c r="W809" s="37"/>
      <c r="X809" s="37"/>
      <c r="Y809" s="37"/>
      <c r="Z809" s="37"/>
      <c r="AA809" s="37"/>
      <c r="AB809" s="37"/>
      <c r="AC809" s="37"/>
      <c r="AD809" s="38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9">
        <f t="shared" si="371"/>
        <v>0</v>
      </c>
      <c r="AQ809" s="1"/>
    </row>
    <row r="810" ht="15.0" customHeight="1">
      <c r="A810" s="1"/>
      <c r="B810" s="35"/>
      <c r="C810" s="84"/>
      <c r="D810" s="35"/>
      <c r="E810" s="65"/>
      <c r="F810" s="41" t="s">
        <v>29</v>
      </c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8"/>
      <c r="T810" s="37"/>
      <c r="U810" s="38"/>
      <c r="V810" s="37"/>
      <c r="W810" s="37"/>
      <c r="X810" s="37"/>
      <c r="Y810" s="37"/>
      <c r="Z810" s="37"/>
      <c r="AA810" s="37"/>
      <c r="AB810" s="37"/>
      <c r="AC810" s="37"/>
      <c r="AD810" s="38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9">
        <f t="shared" si="371"/>
        <v>0</v>
      </c>
      <c r="AQ810" s="1"/>
    </row>
    <row r="811" ht="15.75" customHeight="1">
      <c r="A811" s="1"/>
      <c r="B811" s="42"/>
      <c r="C811" s="18"/>
      <c r="D811" s="42"/>
      <c r="E811" s="67"/>
      <c r="F811" s="43" t="s">
        <v>30</v>
      </c>
      <c r="G811" s="44"/>
      <c r="H811" s="34">
        <f t="shared" ref="H811:AN811" si="372">H805+H806+H807-H808+H809-H810</f>
        <v>15</v>
      </c>
      <c r="I811" s="34">
        <f t="shared" si="372"/>
        <v>143</v>
      </c>
      <c r="J811" s="34">
        <f t="shared" si="372"/>
        <v>91</v>
      </c>
      <c r="K811" s="34">
        <f t="shared" si="372"/>
        <v>121</v>
      </c>
      <c r="L811" s="34">
        <f t="shared" si="372"/>
        <v>83</v>
      </c>
      <c r="M811" s="34">
        <f t="shared" si="372"/>
        <v>93</v>
      </c>
      <c r="N811" s="34">
        <f t="shared" si="372"/>
        <v>93</v>
      </c>
      <c r="O811" s="34">
        <f t="shared" si="372"/>
        <v>143</v>
      </c>
      <c r="P811" s="34">
        <f t="shared" si="372"/>
        <v>113</v>
      </c>
      <c r="Q811" s="34">
        <f t="shared" si="372"/>
        <v>83</v>
      </c>
      <c r="R811" s="34">
        <f t="shared" si="372"/>
        <v>98</v>
      </c>
      <c r="S811" s="34">
        <f t="shared" si="372"/>
        <v>18</v>
      </c>
      <c r="T811" s="34">
        <f t="shared" si="372"/>
        <v>18</v>
      </c>
      <c r="U811" s="34">
        <f t="shared" si="372"/>
        <v>18</v>
      </c>
      <c r="V811" s="34">
        <f t="shared" si="372"/>
        <v>129</v>
      </c>
      <c r="W811" s="34">
        <f t="shared" si="372"/>
        <v>129</v>
      </c>
      <c r="X811" s="34">
        <f t="shared" si="372"/>
        <v>73</v>
      </c>
      <c r="Y811" s="34">
        <f t="shared" si="372"/>
        <v>115</v>
      </c>
      <c r="Z811" s="34">
        <f t="shared" si="372"/>
        <v>69</v>
      </c>
      <c r="AA811" s="34">
        <f t="shared" si="372"/>
        <v>69</v>
      </c>
      <c r="AB811" s="34">
        <f t="shared" si="372"/>
        <v>69</v>
      </c>
      <c r="AC811" s="34">
        <f t="shared" si="372"/>
        <v>69</v>
      </c>
      <c r="AD811" s="34">
        <f t="shared" si="372"/>
        <v>69</v>
      </c>
      <c r="AE811" s="34">
        <f t="shared" si="372"/>
        <v>69</v>
      </c>
      <c r="AF811" s="34">
        <f t="shared" si="372"/>
        <v>69</v>
      </c>
      <c r="AG811" s="34">
        <f t="shared" si="372"/>
        <v>69</v>
      </c>
      <c r="AH811" s="34">
        <f t="shared" si="372"/>
        <v>69</v>
      </c>
      <c r="AI811" s="34">
        <f t="shared" si="372"/>
        <v>69</v>
      </c>
      <c r="AJ811" s="34">
        <f t="shared" si="372"/>
        <v>69</v>
      </c>
      <c r="AK811" s="34">
        <f t="shared" si="372"/>
        <v>69</v>
      </c>
      <c r="AL811" s="34">
        <f t="shared" si="372"/>
        <v>69</v>
      </c>
      <c r="AM811" s="34">
        <f t="shared" si="372"/>
        <v>69</v>
      </c>
      <c r="AN811" s="34">
        <f t="shared" si="372"/>
        <v>69</v>
      </c>
      <c r="AO811" s="34"/>
      <c r="AP811" s="45">
        <f>AO805</f>
        <v>69</v>
      </c>
      <c r="AQ811" s="1"/>
    </row>
    <row r="812" ht="15.75" customHeight="1">
      <c r="A812" s="1"/>
      <c r="B812" s="32"/>
      <c r="C812" s="12" t="s">
        <v>280</v>
      </c>
      <c r="D812" s="95" t="s">
        <v>281</v>
      </c>
      <c r="E812" s="64"/>
      <c r="F812" s="14" t="s">
        <v>23</v>
      </c>
      <c r="G812" s="44"/>
      <c r="H812" s="21">
        <v>0.0</v>
      </c>
      <c r="I812" s="21">
        <f t="shared" ref="I812:AO812" si="373">H818</f>
        <v>0</v>
      </c>
      <c r="J812" s="21">
        <f t="shared" si="373"/>
        <v>0</v>
      </c>
      <c r="K812" s="21">
        <f t="shared" si="373"/>
        <v>0</v>
      </c>
      <c r="L812" s="21">
        <f t="shared" si="373"/>
        <v>0</v>
      </c>
      <c r="M812" s="21">
        <f t="shared" si="373"/>
        <v>0</v>
      </c>
      <c r="N812" s="21">
        <f t="shared" si="373"/>
        <v>0</v>
      </c>
      <c r="O812" s="21">
        <f t="shared" si="373"/>
        <v>0</v>
      </c>
      <c r="P812" s="21">
        <f t="shared" si="373"/>
        <v>0</v>
      </c>
      <c r="Q812" s="21">
        <f t="shared" si="373"/>
        <v>0</v>
      </c>
      <c r="R812" s="21">
        <f t="shared" si="373"/>
        <v>0</v>
      </c>
      <c r="S812" s="21">
        <f t="shared" si="373"/>
        <v>0</v>
      </c>
      <c r="T812" s="21">
        <f t="shared" si="373"/>
        <v>0</v>
      </c>
      <c r="U812" s="21">
        <f t="shared" si="373"/>
        <v>0</v>
      </c>
      <c r="V812" s="21">
        <f t="shared" si="373"/>
        <v>0</v>
      </c>
      <c r="W812" s="21">
        <f t="shared" si="373"/>
        <v>0</v>
      </c>
      <c r="X812" s="21">
        <f t="shared" si="373"/>
        <v>0</v>
      </c>
      <c r="Y812" s="21">
        <f t="shared" si="373"/>
        <v>0</v>
      </c>
      <c r="Z812" s="21">
        <f t="shared" si="373"/>
        <v>0</v>
      </c>
      <c r="AA812" s="21">
        <f t="shared" si="373"/>
        <v>0</v>
      </c>
      <c r="AB812" s="21">
        <f t="shared" si="373"/>
        <v>0</v>
      </c>
      <c r="AC812" s="21">
        <f t="shared" si="373"/>
        <v>0</v>
      </c>
      <c r="AD812" s="21">
        <f t="shared" si="373"/>
        <v>0</v>
      </c>
      <c r="AE812" s="21">
        <f t="shared" si="373"/>
        <v>0</v>
      </c>
      <c r="AF812" s="21">
        <f t="shared" si="373"/>
        <v>0</v>
      </c>
      <c r="AG812" s="21">
        <f t="shared" si="373"/>
        <v>0</v>
      </c>
      <c r="AH812" s="21">
        <f t="shared" si="373"/>
        <v>0</v>
      </c>
      <c r="AI812" s="21">
        <f t="shared" si="373"/>
        <v>0</v>
      </c>
      <c r="AJ812" s="21">
        <f t="shared" si="373"/>
        <v>0</v>
      </c>
      <c r="AK812" s="21">
        <f t="shared" si="373"/>
        <v>0</v>
      </c>
      <c r="AL812" s="21">
        <f t="shared" si="373"/>
        <v>0</v>
      </c>
      <c r="AM812" s="21">
        <f t="shared" si="373"/>
        <v>0</v>
      </c>
      <c r="AN812" s="21">
        <f t="shared" si="373"/>
        <v>0</v>
      </c>
      <c r="AO812" s="21">
        <f t="shared" si="373"/>
        <v>0</v>
      </c>
      <c r="AP812" s="54"/>
      <c r="AQ812" s="1"/>
    </row>
    <row r="813" ht="15.75" customHeight="1">
      <c r="A813" s="1"/>
      <c r="B813" s="35"/>
      <c r="C813" s="84"/>
      <c r="D813" s="35"/>
      <c r="E813" s="65" t="s">
        <v>24</v>
      </c>
      <c r="F813" s="36" t="s">
        <v>25</v>
      </c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8"/>
      <c r="T813" s="37"/>
      <c r="U813" s="38"/>
      <c r="V813" s="37"/>
      <c r="W813" s="37"/>
      <c r="X813" s="37"/>
      <c r="Y813" s="37"/>
      <c r="Z813" s="37"/>
      <c r="AA813" s="37"/>
      <c r="AB813" s="37"/>
      <c r="AC813" s="37"/>
      <c r="AD813" s="38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9">
        <f t="shared" ref="AP813:AP817" si="374">SUM(H813:AO813)</f>
        <v>0</v>
      </c>
      <c r="AQ813" s="1"/>
    </row>
    <row r="814" ht="15.75" customHeight="1">
      <c r="A814" s="1"/>
      <c r="B814" s="35"/>
      <c r="C814" s="84"/>
      <c r="D814" s="35"/>
      <c r="E814" s="65"/>
      <c r="F814" s="36" t="s">
        <v>94</v>
      </c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8"/>
      <c r="T814" s="37"/>
      <c r="U814" s="38"/>
      <c r="V814" s="37"/>
      <c r="W814" s="37"/>
      <c r="X814" s="37"/>
      <c r="Y814" s="37"/>
      <c r="Z814" s="37"/>
      <c r="AA814" s="37"/>
      <c r="AB814" s="37"/>
      <c r="AC814" s="37"/>
      <c r="AD814" s="38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9">
        <f t="shared" si="374"/>
        <v>0</v>
      </c>
      <c r="AQ814" s="1"/>
    </row>
    <row r="815" ht="15.75" customHeight="1">
      <c r="A815" s="1"/>
      <c r="B815" s="35"/>
      <c r="C815" s="84"/>
      <c r="D815" s="35"/>
      <c r="E815" s="65"/>
      <c r="F815" s="40" t="s">
        <v>26</v>
      </c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8"/>
      <c r="T815" s="37"/>
      <c r="U815" s="38"/>
      <c r="V815" s="37"/>
      <c r="W815" s="37"/>
      <c r="X815" s="37"/>
      <c r="Y815" s="37"/>
      <c r="Z815" s="37"/>
      <c r="AA815" s="37"/>
      <c r="AB815" s="37"/>
      <c r="AC815" s="37"/>
      <c r="AD815" s="38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8"/>
      <c r="AP815" s="39">
        <f t="shared" si="374"/>
        <v>0</v>
      </c>
      <c r="AQ815" s="1"/>
    </row>
    <row r="816" ht="15.75" customHeight="1">
      <c r="A816" s="1"/>
      <c r="B816" s="35"/>
      <c r="C816" s="84"/>
      <c r="D816" s="35"/>
      <c r="E816" s="65" t="s">
        <v>27</v>
      </c>
      <c r="F816" s="41" t="s">
        <v>28</v>
      </c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8"/>
      <c r="T816" s="37"/>
      <c r="U816" s="38"/>
      <c r="V816" s="37"/>
      <c r="W816" s="37"/>
      <c r="X816" s="37"/>
      <c r="Y816" s="37"/>
      <c r="Z816" s="37"/>
      <c r="AA816" s="37"/>
      <c r="AB816" s="37"/>
      <c r="AC816" s="37"/>
      <c r="AD816" s="38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9">
        <f t="shared" si="374"/>
        <v>0</v>
      </c>
      <c r="AQ816" s="1"/>
    </row>
    <row r="817" ht="15.75" customHeight="1">
      <c r="A817" s="1"/>
      <c r="B817" s="35"/>
      <c r="C817" s="84"/>
      <c r="D817" s="35"/>
      <c r="E817" s="65"/>
      <c r="F817" s="41" t="s">
        <v>29</v>
      </c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8"/>
      <c r="T817" s="37"/>
      <c r="U817" s="38"/>
      <c r="V817" s="37"/>
      <c r="W817" s="37"/>
      <c r="X817" s="37"/>
      <c r="Y817" s="37"/>
      <c r="Z817" s="37"/>
      <c r="AA817" s="37"/>
      <c r="AB817" s="37"/>
      <c r="AC817" s="37"/>
      <c r="AD817" s="38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9">
        <f t="shared" si="374"/>
        <v>0</v>
      </c>
      <c r="AQ817" s="1"/>
    </row>
    <row r="818" ht="15.75" customHeight="1">
      <c r="A818" s="1"/>
      <c r="B818" s="42"/>
      <c r="C818" s="18"/>
      <c r="D818" s="42"/>
      <c r="E818" s="67"/>
      <c r="F818" s="43" t="s">
        <v>30</v>
      </c>
      <c r="G818" s="44"/>
      <c r="H818" s="34">
        <f t="shared" ref="H818:AN818" si="375">H812+H813+H814-H815+H816-H817</f>
        <v>0</v>
      </c>
      <c r="I818" s="34">
        <f t="shared" si="375"/>
        <v>0</v>
      </c>
      <c r="J818" s="34">
        <f t="shared" si="375"/>
        <v>0</v>
      </c>
      <c r="K818" s="34">
        <f t="shared" si="375"/>
        <v>0</v>
      </c>
      <c r="L818" s="34">
        <f t="shared" si="375"/>
        <v>0</v>
      </c>
      <c r="M818" s="34">
        <f t="shared" si="375"/>
        <v>0</v>
      </c>
      <c r="N818" s="34">
        <f t="shared" si="375"/>
        <v>0</v>
      </c>
      <c r="O818" s="34">
        <f t="shared" si="375"/>
        <v>0</v>
      </c>
      <c r="P818" s="34">
        <f t="shared" si="375"/>
        <v>0</v>
      </c>
      <c r="Q818" s="34">
        <f t="shared" si="375"/>
        <v>0</v>
      </c>
      <c r="R818" s="34">
        <f t="shared" si="375"/>
        <v>0</v>
      </c>
      <c r="S818" s="34">
        <f t="shared" si="375"/>
        <v>0</v>
      </c>
      <c r="T818" s="34">
        <f t="shared" si="375"/>
        <v>0</v>
      </c>
      <c r="U818" s="34">
        <f t="shared" si="375"/>
        <v>0</v>
      </c>
      <c r="V818" s="34">
        <f t="shared" si="375"/>
        <v>0</v>
      </c>
      <c r="W818" s="34">
        <f t="shared" si="375"/>
        <v>0</v>
      </c>
      <c r="X818" s="34">
        <f t="shared" si="375"/>
        <v>0</v>
      </c>
      <c r="Y818" s="34">
        <f t="shared" si="375"/>
        <v>0</v>
      </c>
      <c r="Z818" s="34">
        <f t="shared" si="375"/>
        <v>0</v>
      </c>
      <c r="AA818" s="34">
        <f t="shared" si="375"/>
        <v>0</v>
      </c>
      <c r="AB818" s="34">
        <f t="shared" si="375"/>
        <v>0</v>
      </c>
      <c r="AC818" s="34">
        <f t="shared" si="375"/>
        <v>0</v>
      </c>
      <c r="AD818" s="34">
        <f t="shared" si="375"/>
        <v>0</v>
      </c>
      <c r="AE818" s="34">
        <f t="shared" si="375"/>
        <v>0</v>
      </c>
      <c r="AF818" s="34">
        <f t="shared" si="375"/>
        <v>0</v>
      </c>
      <c r="AG818" s="34">
        <f t="shared" si="375"/>
        <v>0</v>
      </c>
      <c r="AH818" s="34">
        <f t="shared" si="375"/>
        <v>0</v>
      </c>
      <c r="AI818" s="34">
        <f t="shared" si="375"/>
        <v>0</v>
      </c>
      <c r="AJ818" s="34">
        <f t="shared" si="375"/>
        <v>0</v>
      </c>
      <c r="AK818" s="34">
        <f t="shared" si="375"/>
        <v>0</v>
      </c>
      <c r="AL818" s="34">
        <f t="shared" si="375"/>
        <v>0</v>
      </c>
      <c r="AM818" s="34">
        <f t="shared" si="375"/>
        <v>0</v>
      </c>
      <c r="AN818" s="34">
        <f t="shared" si="375"/>
        <v>0</v>
      </c>
      <c r="AO818" s="34"/>
      <c r="AP818" s="75">
        <f>AO812</f>
        <v>0</v>
      </c>
      <c r="AQ818" s="1"/>
    </row>
    <row r="819" ht="15.75" customHeight="1">
      <c r="A819" s="1"/>
      <c r="B819" s="32"/>
      <c r="C819" s="32" t="s">
        <v>282</v>
      </c>
      <c r="D819" s="32" t="s">
        <v>47</v>
      </c>
      <c r="E819" s="13"/>
      <c r="F819" s="14" t="s">
        <v>23</v>
      </c>
      <c r="G819" s="44"/>
      <c r="H819" s="34">
        <v>0.0</v>
      </c>
      <c r="I819" s="34">
        <f t="shared" ref="I819:AO819" si="376">H824</f>
        <v>0</v>
      </c>
      <c r="J819" s="34">
        <f t="shared" si="376"/>
        <v>0</v>
      </c>
      <c r="K819" s="34">
        <f t="shared" si="376"/>
        <v>0</v>
      </c>
      <c r="L819" s="34">
        <f t="shared" si="376"/>
        <v>0</v>
      </c>
      <c r="M819" s="34">
        <f t="shared" si="376"/>
        <v>0</v>
      </c>
      <c r="N819" s="34">
        <f t="shared" si="376"/>
        <v>0</v>
      </c>
      <c r="O819" s="34">
        <f t="shared" si="376"/>
        <v>0</v>
      </c>
      <c r="P819" s="34">
        <f t="shared" si="376"/>
        <v>0</v>
      </c>
      <c r="Q819" s="34">
        <f t="shared" si="376"/>
        <v>0</v>
      </c>
      <c r="R819" s="34">
        <f t="shared" si="376"/>
        <v>0</v>
      </c>
      <c r="S819" s="34">
        <f t="shared" si="376"/>
        <v>0</v>
      </c>
      <c r="T819" s="34">
        <f t="shared" si="376"/>
        <v>0</v>
      </c>
      <c r="U819" s="34">
        <f t="shared" si="376"/>
        <v>0</v>
      </c>
      <c r="V819" s="34">
        <f t="shared" si="376"/>
        <v>0</v>
      </c>
      <c r="W819" s="34">
        <f t="shared" si="376"/>
        <v>0</v>
      </c>
      <c r="X819" s="34">
        <f t="shared" si="376"/>
        <v>0</v>
      </c>
      <c r="Y819" s="34">
        <f t="shared" si="376"/>
        <v>0</v>
      </c>
      <c r="Z819" s="34">
        <f t="shared" si="376"/>
        <v>0</v>
      </c>
      <c r="AA819" s="34">
        <f t="shared" si="376"/>
        <v>0</v>
      </c>
      <c r="AB819" s="34">
        <f t="shared" si="376"/>
        <v>0</v>
      </c>
      <c r="AC819" s="34">
        <f t="shared" si="376"/>
        <v>0</v>
      </c>
      <c r="AD819" s="34">
        <f t="shared" si="376"/>
        <v>0</v>
      </c>
      <c r="AE819" s="34">
        <f t="shared" si="376"/>
        <v>0</v>
      </c>
      <c r="AF819" s="34">
        <f t="shared" si="376"/>
        <v>0</v>
      </c>
      <c r="AG819" s="34">
        <f t="shared" si="376"/>
        <v>0</v>
      </c>
      <c r="AH819" s="34">
        <f t="shared" si="376"/>
        <v>0</v>
      </c>
      <c r="AI819" s="34">
        <f t="shared" si="376"/>
        <v>0</v>
      </c>
      <c r="AJ819" s="34">
        <f t="shared" si="376"/>
        <v>0</v>
      </c>
      <c r="AK819" s="34">
        <f t="shared" si="376"/>
        <v>0</v>
      </c>
      <c r="AL819" s="34">
        <f t="shared" si="376"/>
        <v>0</v>
      </c>
      <c r="AM819" s="34">
        <f t="shared" si="376"/>
        <v>0</v>
      </c>
      <c r="AN819" s="34">
        <f t="shared" si="376"/>
        <v>0</v>
      </c>
      <c r="AO819" s="34">
        <f t="shared" si="376"/>
        <v>0</v>
      </c>
      <c r="AP819" s="54"/>
      <c r="AQ819" s="1"/>
    </row>
    <row r="820" ht="15.75" customHeight="1">
      <c r="A820" s="1"/>
      <c r="B820" s="35"/>
      <c r="C820" s="35"/>
      <c r="D820" s="35"/>
      <c r="E820" s="33" t="s">
        <v>24</v>
      </c>
      <c r="F820" s="36" t="s">
        <v>25</v>
      </c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8"/>
      <c r="T820" s="37"/>
      <c r="U820" s="38"/>
      <c r="V820" s="37"/>
      <c r="W820" s="37"/>
      <c r="X820" s="37"/>
      <c r="Y820" s="37"/>
      <c r="Z820" s="37"/>
      <c r="AA820" s="37"/>
      <c r="AB820" s="37"/>
      <c r="AC820" s="37"/>
      <c r="AD820" s="38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9">
        <f t="shared" ref="AP820:AP823" si="377">SUM(H820:AO820)</f>
        <v>0</v>
      </c>
      <c r="AQ820" s="1"/>
    </row>
    <row r="821" ht="15.75" customHeight="1">
      <c r="A821" s="51"/>
      <c r="B821" s="35"/>
      <c r="C821" s="35"/>
      <c r="D821" s="35"/>
      <c r="E821" s="47"/>
      <c r="F821" s="40" t="s">
        <v>26</v>
      </c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8"/>
      <c r="T821" s="49"/>
      <c r="U821" s="48"/>
      <c r="V821" s="49"/>
      <c r="W821" s="49"/>
      <c r="X821" s="49"/>
      <c r="Y821" s="49"/>
      <c r="Z821" s="49"/>
      <c r="AA821" s="49"/>
      <c r="AB821" s="49"/>
      <c r="AC821" s="49"/>
      <c r="AD821" s="48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8"/>
      <c r="AP821" s="50">
        <f t="shared" si="377"/>
        <v>0</v>
      </c>
      <c r="AQ821" s="51"/>
    </row>
    <row r="822" ht="15.75" customHeight="1">
      <c r="A822" s="1"/>
      <c r="B822" s="35"/>
      <c r="C822" s="35"/>
      <c r="D822" s="35"/>
      <c r="E822" s="33" t="s">
        <v>27</v>
      </c>
      <c r="F822" s="41" t="s">
        <v>28</v>
      </c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8"/>
      <c r="T822" s="37"/>
      <c r="U822" s="38"/>
      <c r="V822" s="37"/>
      <c r="W822" s="37"/>
      <c r="X822" s="37"/>
      <c r="Y822" s="37"/>
      <c r="Z822" s="37"/>
      <c r="AA822" s="37"/>
      <c r="AB822" s="37"/>
      <c r="AC822" s="37"/>
      <c r="AD822" s="38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9">
        <f t="shared" si="377"/>
        <v>0</v>
      </c>
      <c r="AQ822" s="1"/>
    </row>
    <row r="823" ht="15.75" customHeight="1">
      <c r="A823" s="1"/>
      <c r="B823" s="35"/>
      <c r="C823" s="35"/>
      <c r="D823" s="35"/>
      <c r="E823" s="33"/>
      <c r="F823" s="41" t="s">
        <v>29</v>
      </c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8"/>
      <c r="T823" s="37"/>
      <c r="U823" s="38"/>
      <c r="V823" s="37"/>
      <c r="W823" s="37"/>
      <c r="X823" s="37"/>
      <c r="Y823" s="37"/>
      <c r="Z823" s="37"/>
      <c r="AA823" s="37"/>
      <c r="AB823" s="37"/>
      <c r="AC823" s="37"/>
      <c r="AD823" s="38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9">
        <f t="shared" si="377"/>
        <v>0</v>
      </c>
      <c r="AQ823" s="1"/>
    </row>
    <row r="824" ht="15.75" customHeight="1">
      <c r="A824" s="1"/>
      <c r="B824" s="42"/>
      <c r="C824" s="42"/>
      <c r="D824" s="42"/>
      <c r="E824" s="52"/>
      <c r="F824" s="43" t="s">
        <v>30</v>
      </c>
      <c r="G824" s="44"/>
      <c r="H824" s="34">
        <f t="shared" ref="H824:AN824" si="378">H819+H820-H821+H822-H823</f>
        <v>0</v>
      </c>
      <c r="I824" s="34">
        <f t="shared" si="378"/>
        <v>0</v>
      </c>
      <c r="J824" s="34">
        <f t="shared" si="378"/>
        <v>0</v>
      </c>
      <c r="K824" s="34">
        <f t="shared" si="378"/>
        <v>0</v>
      </c>
      <c r="L824" s="34">
        <f t="shared" si="378"/>
        <v>0</v>
      </c>
      <c r="M824" s="34">
        <f t="shared" si="378"/>
        <v>0</v>
      </c>
      <c r="N824" s="34">
        <f t="shared" si="378"/>
        <v>0</v>
      </c>
      <c r="O824" s="34">
        <f t="shared" si="378"/>
        <v>0</v>
      </c>
      <c r="P824" s="34">
        <f t="shared" si="378"/>
        <v>0</v>
      </c>
      <c r="Q824" s="34">
        <f t="shared" si="378"/>
        <v>0</v>
      </c>
      <c r="R824" s="34">
        <f t="shared" si="378"/>
        <v>0</v>
      </c>
      <c r="S824" s="34">
        <f t="shared" si="378"/>
        <v>0</v>
      </c>
      <c r="T824" s="34">
        <f t="shared" si="378"/>
        <v>0</v>
      </c>
      <c r="U824" s="34">
        <f t="shared" si="378"/>
        <v>0</v>
      </c>
      <c r="V824" s="34">
        <f t="shared" si="378"/>
        <v>0</v>
      </c>
      <c r="W824" s="34">
        <f t="shared" si="378"/>
        <v>0</v>
      </c>
      <c r="X824" s="34">
        <f t="shared" si="378"/>
        <v>0</v>
      </c>
      <c r="Y824" s="34">
        <f t="shared" si="378"/>
        <v>0</v>
      </c>
      <c r="Z824" s="34">
        <f t="shared" si="378"/>
        <v>0</v>
      </c>
      <c r="AA824" s="34">
        <f t="shared" si="378"/>
        <v>0</v>
      </c>
      <c r="AB824" s="34">
        <f t="shared" si="378"/>
        <v>0</v>
      </c>
      <c r="AC824" s="34">
        <f t="shared" si="378"/>
        <v>0</v>
      </c>
      <c r="AD824" s="34">
        <f t="shared" si="378"/>
        <v>0</v>
      </c>
      <c r="AE824" s="34">
        <f t="shared" si="378"/>
        <v>0</v>
      </c>
      <c r="AF824" s="34">
        <f t="shared" si="378"/>
        <v>0</v>
      </c>
      <c r="AG824" s="34">
        <f t="shared" si="378"/>
        <v>0</v>
      </c>
      <c r="AH824" s="34">
        <f t="shared" si="378"/>
        <v>0</v>
      </c>
      <c r="AI824" s="34">
        <f t="shared" si="378"/>
        <v>0</v>
      </c>
      <c r="AJ824" s="34">
        <f t="shared" si="378"/>
        <v>0</v>
      </c>
      <c r="AK824" s="34">
        <f t="shared" si="378"/>
        <v>0</v>
      </c>
      <c r="AL824" s="34">
        <f t="shared" si="378"/>
        <v>0</v>
      </c>
      <c r="AM824" s="34">
        <f t="shared" si="378"/>
        <v>0</v>
      </c>
      <c r="AN824" s="34">
        <f t="shared" si="378"/>
        <v>0</v>
      </c>
      <c r="AO824" s="34"/>
      <c r="AP824" s="45">
        <f>AO819</f>
        <v>0</v>
      </c>
      <c r="AQ824" s="1"/>
    </row>
    <row r="825" ht="15.75" customHeight="1">
      <c r="A825" s="1"/>
      <c r="B825" s="32"/>
      <c r="C825" s="32" t="s">
        <v>283</v>
      </c>
      <c r="D825" s="32" t="s">
        <v>284</v>
      </c>
      <c r="E825" s="13"/>
      <c r="F825" s="14" t="s">
        <v>23</v>
      </c>
      <c r="G825" s="44"/>
      <c r="H825" s="34">
        <v>0.0</v>
      </c>
      <c r="I825" s="34">
        <f t="shared" ref="I825:AO825" si="379">H830</f>
        <v>0</v>
      </c>
      <c r="J825" s="34">
        <f t="shared" si="379"/>
        <v>0</v>
      </c>
      <c r="K825" s="34">
        <f t="shared" si="379"/>
        <v>0</v>
      </c>
      <c r="L825" s="34">
        <f t="shared" si="379"/>
        <v>0</v>
      </c>
      <c r="M825" s="34">
        <f t="shared" si="379"/>
        <v>0</v>
      </c>
      <c r="N825" s="34">
        <f t="shared" si="379"/>
        <v>0</v>
      </c>
      <c r="O825" s="34">
        <f t="shared" si="379"/>
        <v>0</v>
      </c>
      <c r="P825" s="34">
        <f t="shared" si="379"/>
        <v>0</v>
      </c>
      <c r="Q825" s="34">
        <f t="shared" si="379"/>
        <v>0</v>
      </c>
      <c r="R825" s="34">
        <f t="shared" si="379"/>
        <v>0</v>
      </c>
      <c r="S825" s="34">
        <f t="shared" si="379"/>
        <v>0</v>
      </c>
      <c r="T825" s="34">
        <f t="shared" si="379"/>
        <v>0</v>
      </c>
      <c r="U825" s="34">
        <f t="shared" si="379"/>
        <v>0</v>
      </c>
      <c r="V825" s="34">
        <f t="shared" si="379"/>
        <v>0</v>
      </c>
      <c r="W825" s="34">
        <f t="shared" si="379"/>
        <v>0</v>
      </c>
      <c r="X825" s="34">
        <f t="shared" si="379"/>
        <v>0</v>
      </c>
      <c r="Y825" s="34">
        <f t="shared" si="379"/>
        <v>0</v>
      </c>
      <c r="Z825" s="34">
        <f t="shared" si="379"/>
        <v>0</v>
      </c>
      <c r="AA825" s="34">
        <f t="shared" si="379"/>
        <v>0</v>
      </c>
      <c r="AB825" s="34">
        <f t="shared" si="379"/>
        <v>0</v>
      </c>
      <c r="AC825" s="34">
        <f t="shared" si="379"/>
        <v>0</v>
      </c>
      <c r="AD825" s="34">
        <f t="shared" si="379"/>
        <v>0</v>
      </c>
      <c r="AE825" s="34">
        <f t="shared" si="379"/>
        <v>0</v>
      </c>
      <c r="AF825" s="34">
        <f t="shared" si="379"/>
        <v>0</v>
      </c>
      <c r="AG825" s="34">
        <f t="shared" si="379"/>
        <v>0</v>
      </c>
      <c r="AH825" s="34">
        <f t="shared" si="379"/>
        <v>0</v>
      </c>
      <c r="AI825" s="34">
        <f t="shared" si="379"/>
        <v>0</v>
      </c>
      <c r="AJ825" s="34">
        <f t="shared" si="379"/>
        <v>0</v>
      </c>
      <c r="AK825" s="34">
        <f t="shared" si="379"/>
        <v>0</v>
      </c>
      <c r="AL825" s="34">
        <f t="shared" si="379"/>
        <v>0</v>
      </c>
      <c r="AM825" s="34">
        <f t="shared" si="379"/>
        <v>0</v>
      </c>
      <c r="AN825" s="34">
        <f t="shared" si="379"/>
        <v>0</v>
      </c>
      <c r="AO825" s="34">
        <f t="shared" si="379"/>
        <v>0</v>
      </c>
      <c r="AP825" s="54"/>
      <c r="AQ825" s="1"/>
    </row>
    <row r="826" ht="15.75" customHeight="1">
      <c r="A826" s="1"/>
      <c r="B826" s="35"/>
      <c r="C826" s="35"/>
      <c r="D826" s="35"/>
      <c r="E826" s="33" t="s">
        <v>24</v>
      </c>
      <c r="F826" s="36" t="s">
        <v>25</v>
      </c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8"/>
      <c r="T826" s="37"/>
      <c r="U826" s="38"/>
      <c r="V826" s="37"/>
      <c r="W826" s="37"/>
      <c r="X826" s="37"/>
      <c r="Y826" s="37"/>
      <c r="Z826" s="37"/>
      <c r="AA826" s="37"/>
      <c r="AB826" s="37"/>
      <c r="AC826" s="37"/>
      <c r="AD826" s="38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9">
        <f t="shared" ref="AP826:AP829" si="380">SUM(H826:AO826)</f>
        <v>0</v>
      </c>
      <c r="AQ826" s="1"/>
    </row>
    <row r="827" ht="15.75" customHeight="1">
      <c r="A827" s="51"/>
      <c r="B827" s="35"/>
      <c r="C827" s="35"/>
      <c r="D827" s="35"/>
      <c r="E827" s="47"/>
      <c r="F827" s="40" t="s">
        <v>285</v>
      </c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8"/>
      <c r="T827" s="49"/>
      <c r="U827" s="48"/>
      <c r="V827" s="49"/>
      <c r="W827" s="49"/>
      <c r="X827" s="49"/>
      <c r="Y827" s="49"/>
      <c r="Z827" s="49"/>
      <c r="AA827" s="49"/>
      <c r="AB827" s="49"/>
      <c r="AC827" s="49"/>
      <c r="AD827" s="48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8"/>
      <c r="AP827" s="50">
        <f t="shared" si="380"/>
        <v>0</v>
      </c>
      <c r="AQ827" s="51"/>
    </row>
    <row r="828" ht="15.75" customHeight="1">
      <c r="A828" s="1"/>
      <c r="B828" s="35"/>
      <c r="C828" s="35"/>
      <c r="D828" s="35"/>
      <c r="E828" s="33" t="s">
        <v>27</v>
      </c>
      <c r="F828" s="41" t="s">
        <v>28</v>
      </c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8"/>
      <c r="T828" s="37"/>
      <c r="U828" s="38"/>
      <c r="V828" s="37"/>
      <c r="W828" s="37"/>
      <c r="X828" s="37"/>
      <c r="Y828" s="37"/>
      <c r="Z828" s="37"/>
      <c r="AA828" s="37"/>
      <c r="AB828" s="37"/>
      <c r="AC828" s="37"/>
      <c r="AD828" s="38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9">
        <f t="shared" si="380"/>
        <v>0</v>
      </c>
      <c r="AQ828" s="1"/>
    </row>
    <row r="829" ht="15.75" customHeight="1">
      <c r="A829" s="1"/>
      <c r="B829" s="35"/>
      <c r="C829" s="35"/>
      <c r="D829" s="35"/>
      <c r="E829" s="33"/>
      <c r="F829" s="41" t="s">
        <v>43</v>
      </c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8"/>
      <c r="T829" s="37"/>
      <c r="U829" s="38"/>
      <c r="V829" s="37"/>
      <c r="W829" s="37"/>
      <c r="X829" s="37"/>
      <c r="Y829" s="37"/>
      <c r="Z829" s="37"/>
      <c r="AA829" s="37"/>
      <c r="AB829" s="37"/>
      <c r="AC829" s="37"/>
      <c r="AD829" s="38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9">
        <f t="shared" si="380"/>
        <v>0</v>
      </c>
      <c r="AQ829" s="1"/>
    </row>
    <row r="830" ht="15.75" customHeight="1">
      <c r="A830" s="1"/>
      <c r="B830" s="42"/>
      <c r="C830" s="42"/>
      <c r="D830" s="42"/>
      <c r="E830" s="52"/>
      <c r="F830" s="43" t="s">
        <v>30</v>
      </c>
      <c r="G830" s="44"/>
      <c r="H830" s="34">
        <f t="shared" ref="H830:AN830" si="381">H825+H826-H827+H828-H829</f>
        <v>0</v>
      </c>
      <c r="I830" s="34">
        <f t="shared" si="381"/>
        <v>0</v>
      </c>
      <c r="J830" s="34">
        <f t="shared" si="381"/>
        <v>0</v>
      </c>
      <c r="K830" s="34">
        <f t="shared" si="381"/>
        <v>0</v>
      </c>
      <c r="L830" s="34">
        <f t="shared" si="381"/>
        <v>0</v>
      </c>
      <c r="M830" s="34">
        <f t="shared" si="381"/>
        <v>0</v>
      </c>
      <c r="N830" s="34">
        <f t="shared" si="381"/>
        <v>0</v>
      </c>
      <c r="O830" s="34">
        <f t="shared" si="381"/>
        <v>0</v>
      </c>
      <c r="P830" s="34">
        <f t="shared" si="381"/>
        <v>0</v>
      </c>
      <c r="Q830" s="34">
        <f t="shared" si="381"/>
        <v>0</v>
      </c>
      <c r="R830" s="34">
        <f t="shared" si="381"/>
        <v>0</v>
      </c>
      <c r="S830" s="34">
        <f t="shared" si="381"/>
        <v>0</v>
      </c>
      <c r="T830" s="34">
        <f t="shared" si="381"/>
        <v>0</v>
      </c>
      <c r="U830" s="34">
        <f t="shared" si="381"/>
        <v>0</v>
      </c>
      <c r="V830" s="34">
        <f t="shared" si="381"/>
        <v>0</v>
      </c>
      <c r="W830" s="34">
        <f t="shared" si="381"/>
        <v>0</v>
      </c>
      <c r="X830" s="34">
        <f t="shared" si="381"/>
        <v>0</v>
      </c>
      <c r="Y830" s="34">
        <f t="shared" si="381"/>
        <v>0</v>
      </c>
      <c r="Z830" s="34">
        <f t="shared" si="381"/>
        <v>0</v>
      </c>
      <c r="AA830" s="34">
        <f t="shared" si="381"/>
        <v>0</v>
      </c>
      <c r="AB830" s="34">
        <f t="shared" si="381"/>
        <v>0</v>
      </c>
      <c r="AC830" s="34">
        <f t="shared" si="381"/>
        <v>0</v>
      </c>
      <c r="AD830" s="34">
        <f t="shared" si="381"/>
        <v>0</v>
      </c>
      <c r="AE830" s="34">
        <f t="shared" si="381"/>
        <v>0</v>
      </c>
      <c r="AF830" s="34">
        <f t="shared" si="381"/>
        <v>0</v>
      </c>
      <c r="AG830" s="34">
        <f t="shared" si="381"/>
        <v>0</v>
      </c>
      <c r="AH830" s="34">
        <f t="shared" si="381"/>
        <v>0</v>
      </c>
      <c r="AI830" s="34">
        <f t="shared" si="381"/>
        <v>0</v>
      </c>
      <c r="AJ830" s="34">
        <f t="shared" si="381"/>
        <v>0</v>
      </c>
      <c r="AK830" s="34">
        <f t="shared" si="381"/>
        <v>0</v>
      </c>
      <c r="AL830" s="34">
        <f t="shared" si="381"/>
        <v>0</v>
      </c>
      <c r="AM830" s="34">
        <f t="shared" si="381"/>
        <v>0</v>
      </c>
      <c r="AN830" s="34">
        <f t="shared" si="381"/>
        <v>0</v>
      </c>
      <c r="AO830" s="34"/>
      <c r="AP830" s="45">
        <f>AO825</f>
        <v>0</v>
      </c>
      <c r="AQ830" s="1"/>
    </row>
    <row r="831" ht="15.75" customHeight="1">
      <c r="A831" s="1"/>
      <c r="B831" s="32"/>
      <c r="C831" s="32" t="s">
        <v>283</v>
      </c>
      <c r="D831" s="32" t="s">
        <v>286</v>
      </c>
      <c r="E831" s="13"/>
      <c r="F831" s="14" t="s">
        <v>23</v>
      </c>
      <c r="G831" s="44"/>
      <c r="H831" s="34">
        <v>0.0</v>
      </c>
      <c r="I831" s="34">
        <f t="shared" ref="I831:AO831" si="382">H836</f>
        <v>0</v>
      </c>
      <c r="J831" s="34">
        <f t="shared" si="382"/>
        <v>0</v>
      </c>
      <c r="K831" s="34">
        <f t="shared" si="382"/>
        <v>0</v>
      </c>
      <c r="L831" s="34">
        <f t="shared" si="382"/>
        <v>0</v>
      </c>
      <c r="M831" s="34">
        <f t="shared" si="382"/>
        <v>0</v>
      </c>
      <c r="N831" s="34">
        <f t="shared" si="382"/>
        <v>0</v>
      </c>
      <c r="O831" s="34">
        <f t="shared" si="382"/>
        <v>0</v>
      </c>
      <c r="P831" s="34">
        <f t="shared" si="382"/>
        <v>0</v>
      </c>
      <c r="Q831" s="34">
        <f t="shared" si="382"/>
        <v>0</v>
      </c>
      <c r="R831" s="34">
        <f t="shared" si="382"/>
        <v>0</v>
      </c>
      <c r="S831" s="34">
        <f t="shared" si="382"/>
        <v>0</v>
      </c>
      <c r="T831" s="34">
        <f t="shared" si="382"/>
        <v>0</v>
      </c>
      <c r="U831" s="34">
        <f t="shared" si="382"/>
        <v>0</v>
      </c>
      <c r="V831" s="34">
        <f t="shared" si="382"/>
        <v>0</v>
      </c>
      <c r="W831" s="34">
        <f t="shared" si="382"/>
        <v>0</v>
      </c>
      <c r="X831" s="34">
        <f t="shared" si="382"/>
        <v>0</v>
      </c>
      <c r="Y831" s="34">
        <f t="shared" si="382"/>
        <v>0</v>
      </c>
      <c r="Z831" s="34">
        <f t="shared" si="382"/>
        <v>0</v>
      </c>
      <c r="AA831" s="34">
        <f t="shared" si="382"/>
        <v>0</v>
      </c>
      <c r="AB831" s="34">
        <f t="shared" si="382"/>
        <v>0</v>
      </c>
      <c r="AC831" s="34">
        <f t="shared" si="382"/>
        <v>0</v>
      </c>
      <c r="AD831" s="34">
        <f t="shared" si="382"/>
        <v>0</v>
      </c>
      <c r="AE831" s="34">
        <f t="shared" si="382"/>
        <v>0</v>
      </c>
      <c r="AF831" s="34">
        <f t="shared" si="382"/>
        <v>0</v>
      </c>
      <c r="AG831" s="34">
        <f t="shared" si="382"/>
        <v>0</v>
      </c>
      <c r="AH831" s="34">
        <f t="shared" si="382"/>
        <v>0</v>
      </c>
      <c r="AI831" s="34">
        <f t="shared" si="382"/>
        <v>0</v>
      </c>
      <c r="AJ831" s="34">
        <f t="shared" si="382"/>
        <v>0</v>
      </c>
      <c r="AK831" s="34">
        <f t="shared" si="382"/>
        <v>0</v>
      </c>
      <c r="AL831" s="34">
        <f t="shared" si="382"/>
        <v>0</v>
      </c>
      <c r="AM831" s="34">
        <f t="shared" si="382"/>
        <v>0</v>
      </c>
      <c r="AN831" s="34">
        <f t="shared" si="382"/>
        <v>0</v>
      </c>
      <c r="AO831" s="34">
        <f t="shared" si="382"/>
        <v>0</v>
      </c>
      <c r="AP831" s="54"/>
      <c r="AQ831" s="1"/>
    </row>
    <row r="832" ht="15.75" customHeight="1">
      <c r="A832" s="1"/>
      <c r="B832" s="35"/>
      <c r="C832" s="35"/>
      <c r="D832" s="35"/>
      <c r="E832" s="33" t="s">
        <v>24</v>
      </c>
      <c r="F832" s="36" t="s">
        <v>25</v>
      </c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8"/>
      <c r="T832" s="37"/>
      <c r="U832" s="38"/>
      <c r="V832" s="37"/>
      <c r="W832" s="37"/>
      <c r="X832" s="37"/>
      <c r="Y832" s="37"/>
      <c r="Z832" s="37"/>
      <c r="AA832" s="37"/>
      <c r="AB832" s="37"/>
      <c r="AC832" s="37"/>
      <c r="AD832" s="38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9">
        <f t="shared" ref="AP832:AP835" si="383">SUM(H832:AO832)</f>
        <v>0</v>
      </c>
      <c r="AQ832" s="1"/>
    </row>
    <row r="833" ht="15.75" customHeight="1">
      <c r="A833" s="51"/>
      <c r="B833" s="35"/>
      <c r="C833" s="35"/>
      <c r="D833" s="35"/>
      <c r="E833" s="47"/>
      <c r="F833" s="40" t="s">
        <v>26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8"/>
      <c r="T833" s="49"/>
      <c r="U833" s="48"/>
      <c r="V833" s="49"/>
      <c r="W833" s="49"/>
      <c r="X833" s="49"/>
      <c r="Y833" s="49"/>
      <c r="Z833" s="49"/>
      <c r="AA833" s="49"/>
      <c r="AB833" s="49"/>
      <c r="AC833" s="49"/>
      <c r="AD833" s="48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8"/>
      <c r="AP833" s="50">
        <f t="shared" si="383"/>
        <v>0</v>
      </c>
      <c r="AQ833" s="51"/>
    </row>
    <row r="834" ht="15.75" customHeight="1">
      <c r="A834" s="1"/>
      <c r="B834" s="35"/>
      <c r="C834" s="35"/>
      <c r="D834" s="35"/>
      <c r="E834" s="33" t="s">
        <v>27</v>
      </c>
      <c r="F834" s="41" t="s">
        <v>28</v>
      </c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8"/>
      <c r="T834" s="37"/>
      <c r="U834" s="38"/>
      <c r="V834" s="37"/>
      <c r="W834" s="37"/>
      <c r="X834" s="37"/>
      <c r="Y834" s="37"/>
      <c r="Z834" s="37"/>
      <c r="AA834" s="37"/>
      <c r="AB834" s="37"/>
      <c r="AC834" s="37"/>
      <c r="AD834" s="38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9">
        <f t="shared" si="383"/>
        <v>0</v>
      </c>
      <c r="AQ834" s="1"/>
    </row>
    <row r="835" ht="15.75" customHeight="1">
      <c r="A835" s="1"/>
      <c r="B835" s="35"/>
      <c r="C835" s="35"/>
      <c r="D835" s="35"/>
      <c r="E835" s="33"/>
      <c r="F835" s="41" t="s">
        <v>29</v>
      </c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8"/>
      <c r="T835" s="37"/>
      <c r="U835" s="38"/>
      <c r="V835" s="37"/>
      <c r="W835" s="37"/>
      <c r="X835" s="37"/>
      <c r="Y835" s="37"/>
      <c r="Z835" s="37"/>
      <c r="AA835" s="37"/>
      <c r="AB835" s="37"/>
      <c r="AC835" s="37"/>
      <c r="AD835" s="38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9">
        <f t="shared" si="383"/>
        <v>0</v>
      </c>
      <c r="AQ835" s="1"/>
    </row>
    <row r="836" ht="15.75" customHeight="1">
      <c r="A836" s="1"/>
      <c r="B836" s="42"/>
      <c r="C836" s="42"/>
      <c r="D836" s="42"/>
      <c r="E836" s="52"/>
      <c r="F836" s="43" t="s">
        <v>30</v>
      </c>
      <c r="G836" s="44"/>
      <c r="H836" s="34">
        <f t="shared" ref="H836:AN836" si="384">H831+H832-H833+H834-H835</f>
        <v>0</v>
      </c>
      <c r="I836" s="34">
        <f t="shared" si="384"/>
        <v>0</v>
      </c>
      <c r="J836" s="34">
        <f t="shared" si="384"/>
        <v>0</v>
      </c>
      <c r="K836" s="34">
        <f t="shared" si="384"/>
        <v>0</v>
      </c>
      <c r="L836" s="34">
        <f t="shared" si="384"/>
        <v>0</v>
      </c>
      <c r="M836" s="34">
        <f t="shared" si="384"/>
        <v>0</v>
      </c>
      <c r="N836" s="34">
        <f t="shared" si="384"/>
        <v>0</v>
      </c>
      <c r="O836" s="34">
        <f t="shared" si="384"/>
        <v>0</v>
      </c>
      <c r="P836" s="34">
        <f t="shared" si="384"/>
        <v>0</v>
      </c>
      <c r="Q836" s="34">
        <f t="shared" si="384"/>
        <v>0</v>
      </c>
      <c r="R836" s="34">
        <f t="shared" si="384"/>
        <v>0</v>
      </c>
      <c r="S836" s="34">
        <f t="shared" si="384"/>
        <v>0</v>
      </c>
      <c r="T836" s="34">
        <f t="shared" si="384"/>
        <v>0</v>
      </c>
      <c r="U836" s="34">
        <f t="shared" si="384"/>
        <v>0</v>
      </c>
      <c r="V836" s="34">
        <f t="shared" si="384"/>
        <v>0</v>
      </c>
      <c r="W836" s="34">
        <f t="shared" si="384"/>
        <v>0</v>
      </c>
      <c r="X836" s="34">
        <f t="shared" si="384"/>
        <v>0</v>
      </c>
      <c r="Y836" s="34">
        <f t="shared" si="384"/>
        <v>0</v>
      </c>
      <c r="Z836" s="34">
        <f t="shared" si="384"/>
        <v>0</v>
      </c>
      <c r="AA836" s="34">
        <f t="shared" si="384"/>
        <v>0</v>
      </c>
      <c r="AB836" s="34">
        <f t="shared" si="384"/>
        <v>0</v>
      </c>
      <c r="AC836" s="34">
        <f t="shared" si="384"/>
        <v>0</v>
      </c>
      <c r="AD836" s="34">
        <f t="shared" si="384"/>
        <v>0</v>
      </c>
      <c r="AE836" s="34">
        <f t="shared" si="384"/>
        <v>0</v>
      </c>
      <c r="AF836" s="34">
        <f t="shared" si="384"/>
        <v>0</v>
      </c>
      <c r="AG836" s="34">
        <f t="shared" si="384"/>
        <v>0</v>
      </c>
      <c r="AH836" s="34">
        <f t="shared" si="384"/>
        <v>0</v>
      </c>
      <c r="AI836" s="34">
        <f t="shared" si="384"/>
        <v>0</v>
      </c>
      <c r="AJ836" s="34">
        <f t="shared" si="384"/>
        <v>0</v>
      </c>
      <c r="AK836" s="34">
        <f t="shared" si="384"/>
        <v>0</v>
      </c>
      <c r="AL836" s="34">
        <f t="shared" si="384"/>
        <v>0</v>
      </c>
      <c r="AM836" s="34">
        <f t="shared" si="384"/>
        <v>0</v>
      </c>
      <c r="AN836" s="34">
        <f t="shared" si="384"/>
        <v>0</v>
      </c>
      <c r="AO836" s="34"/>
      <c r="AP836" s="45">
        <f>AO831</f>
        <v>0</v>
      </c>
      <c r="AQ836" s="1"/>
    </row>
    <row r="837" ht="15.75" customHeight="1">
      <c r="A837" s="1"/>
      <c r="B837" s="32"/>
      <c r="C837" s="32" t="s">
        <v>287</v>
      </c>
      <c r="D837" s="32" t="s">
        <v>288</v>
      </c>
      <c r="E837" s="13"/>
      <c r="F837" s="14" t="s">
        <v>23</v>
      </c>
      <c r="G837" s="44"/>
      <c r="H837" s="34">
        <v>0.0</v>
      </c>
      <c r="I837" s="34">
        <f t="shared" ref="I837:AO837" si="385">H842</f>
        <v>0</v>
      </c>
      <c r="J837" s="34">
        <f t="shared" si="385"/>
        <v>0</v>
      </c>
      <c r="K837" s="34">
        <f t="shared" si="385"/>
        <v>0</v>
      </c>
      <c r="L837" s="34">
        <f t="shared" si="385"/>
        <v>0</v>
      </c>
      <c r="M837" s="34">
        <f t="shared" si="385"/>
        <v>0</v>
      </c>
      <c r="N837" s="34">
        <f t="shared" si="385"/>
        <v>0</v>
      </c>
      <c r="O837" s="34">
        <f t="shared" si="385"/>
        <v>0</v>
      </c>
      <c r="P837" s="34">
        <f t="shared" si="385"/>
        <v>0</v>
      </c>
      <c r="Q837" s="34">
        <f t="shared" si="385"/>
        <v>0</v>
      </c>
      <c r="R837" s="34">
        <f t="shared" si="385"/>
        <v>0</v>
      </c>
      <c r="S837" s="34">
        <f t="shared" si="385"/>
        <v>0</v>
      </c>
      <c r="T837" s="34">
        <f t="shared" si="385"/>
        <v>0</v>
      </c>
      <c r="U837" s="34">
        <f t="shared" si="385"/>
        <v>0</v>
      </c>
      <c r="V837" s="34">
        <f t="shared" si="385"/>
        <v>0</v>
      </c>
      <c r="W837" s="34">
        <f t="shared" si="385"/>
        <v>0</v>
      </c>
      <c r="X837" s="34">
        <f t="shared" si="385"/>
        <v>0</v>
      </c>
      <c r="Y837" s="34">
        <f t="shared" si="385"/>
        <v>0</v>
      </c>
      <c r="Z837" s="34">
        <f t="shared" si="385"/>
        <v>0</v>
      </c>
      <c r="AA837" s="34">
        <f t="shared" si="385"/>
        <v>0</v>
      </c>
      <c r="AB837" s="34">
        <f t="shared" si="385"/>
        <v>0</v>
      </c>
      <c r="AC837" s="34">
        <f t="shared" si="385"/>
        <v>0</v>
      </c>
      <c r="AD837" s="34">
        <f t="shared" si="385"/>
        <v>0</v>
      </c>
      <c r="AE837" s="34">
        <f t="shared" si="385"/>
        <v>0</v>
      </c>
      <c r="AF837" s="34">
        <f t="shared" si="385"/>
        <v>0</v>
      </c>
      <c r="AG837" s="34">
        <f t="shared" si="385"/>
        <v>0</v>
      </c>
      <c r="AH837" s="34">
        <f t="shared" si="385"/>
        <v>0</v>
      </c>
      <c r="AI837" s="34">
        <f t="shared" si="385"/>
        <v>0</v>
      </c>
      <c r="AJ837" s="34">
        <f t="shared" si="385"/>
        <v>0</v>
      </c>
      <c r="AK837" s="34">
        <f t="shared" si="385"/>
        <v>0</v>
      </c>
      <c r="AL837" s="34">
        <f t="shared" si="385"/>
        <v>0</v>
      </c>
      <c r="AM837" s="34">
        <f t="shared" si="385"/>
        <v>0</v>
      </c>
      <c r="AN837" s="34">
        <f t="shared" si="385"/>
        <v>0</v>
      </c>
      <c r="AO837" s="34">
        <f t="shared" si="385"/>
        <v>0</v>
      </c>
      <c r="AP837" s="54"/>
      <c r="AQ837" s="1"/>
    </row>
    <row r="838" ht="15.75" customHeight="1">
      <c r="A838" s="1"/>
      <c r="B838" s="35"/>
      <c r="C838" s="35"/>
      <c r="D838" s="35"/>
      <c r="E838" s="33" t="s">
        <v>24</v>
      </c>
      <c r="F838" s="36" t="s">
        <v>25</v>
      </c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8"/>
      <c r="T838" s="37"/>
      <c r="U838" s="38"/>
      <c r="V838" s="37"/>
      <c r="W838" s="37"/>
      <c r="X838" s="37"/>
      <c r="Y838" s="37"/>
      <c r="Z838" s="37"/>
      <c r="AA838" s="37"/>
      <c r="AB838" s="37"/>
      <c r="AC838" s="37"/>
      <c r="AD838" s="38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9">
        <f t="shared" ref="AP838:AP841" si="386">SUM(H838:AO838)</f>
        <v>0</v>
      </c>
      <c r="AQ838" s="1"/>
    </row>
    <row r="839" ht="15.75" customHeight="1">
      <c r="A839" s="51"/>
      <c r="B839" s="35"/>
      <c r="C839" s="35"/>
      <c r="D839" s="35"/>
      <c r="E839" s="47"/>
      <c r="F839" s="40" t="s">
        <v>26</v>
      </c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8"/>
      <c r="T839" s="49"/>
      <c r="U839" s="48"/>
      <c r="V839" s="49"/>
      <c r="W839" s="49"/>
      <c r="X839" s="49"/>
      <c r="Y839" s="49"/>
      <c r="Z839" s="49"/>
      <c r="AA839" s="49"/>
      <c r="AB839" s="49"/>
      <c r="AC839" s="49"/>
      <c r="AD839" s="48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8"/>
      <c r="AP839" s="50">
        <f t="shared" si="386"/>
        <v>0</v>
      </c>
      <c r="AQ839" s="51"/>
    </row>
    <row r="840" ht="15.75" customHeight="1">
      <c r="A840" s="1"/>
      <c r="B840" s="35"/>
      <c r="C840" s="35"/>
      <c r="D840" s="35"/>
      <c r="E840" s="33" t="s">
        <v>27</v>
      </c>
      <c r="F840" s="41" t="s">
        <v>28</v>
      </c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8"/>
      <c r="T840" s="37"/>
      <c r="U840" s="38"/>
      <c r="V840" s="37"/>
      <c r="W840" s="37"/>
      <c r="X840" s="37"/>
      <c r="Y840" s="37"/>
      <c r="Z840" s="37"/>
      <c r="AA840" s="37"/>
      <c r="AB840" s="37"/>
      <c r="AC840" s="37"/>
      <c r="AD840" s="38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9">
        <f t="shared" si="386"/>
        <v>0</v>
      </c>
      <c r="AQ840" s="1"/>
    </row>
    <row r="841" ht="15.75" customHeight="1">
      <c r="A841" s="1"/>
      <c r="B841" s="35"/>
      <c r="C841" s="35"/>
      <c r="D841" s="35"/>
      <c r="E841" s="33"/>
      <c r="F841" s="41" t="s">
        <v>29</v>
      </c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8"/>
      <c r="T841" s="37"/>
      <c r="U841" s="38"/>
      <c r="V841" s="37"/>
      <c r="W841" s="37"/>
      <c r="X841" s="37"/>
      <c r="Y841" s="37"/>
      <c r="Z841" s="37"/>
      <c r="AA841" s="37"/>
      <c r="AB841" s="37"/>
      <c r="AC841" s="37"/>
      <c r="AD841" s="38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9">
        <f t="shared" si="386"/>
        <v>0</v>
      </c>
      <c r="AQ841" s="1"/>
    </row>
    <row r="842" ht="15.75" customHeight="1">
      <c r="A842" s="1"/>
      <c r="B842" s="42"/>
      <c r="C842" s="42"/>
      <c r="D842" s="42"/>
      <c r="E842" s="52"/>
      <c r="F842" s="43" t="s">
        <v>30</v>
      </c>
      <c r="G842" s="44"/>
      <c r="H842" s="34">
        <f t="shared" ref="H842:AN842" si="387">H837+H838-H839+H840-H841</f>
        <v>0</v>
      </c>
      <c r="I842" s="34">
        <f t="shared" si="387"/>
        <v>0</v>
      </c>
      <c r="J842" s="34">
        <f t="shared" si="387"/>
        <v>0</v>
      </c>
      <c r="K842" s="34">
        <f t="shared" si="387"/>
        <v>0</v>
      </c>
      <c r="L842" s="34">
        <f t="shared" si="387"/>
        <v>0</v>
      </c>
      <c r="M842" s="34">
        <f t="shared" si="387"/>
        <v>0</v>
      </c>
      <c r="N842" s="34">
        <f t="shared" si="387"/>
        <v>0</v>
      </c>
      <c r="O842" s="34">
        <f t="shared" si="387"/>
        <v>0</v>
      </c>
      <c r="P842" s="34">
        <f t="shared" si="387"/>
        <v>0</v>
      </c>
      <c r="Q842" s="34">
        <f t="shared" si="387"/>
        <v>0</v>
      </c>
      <c r="R842" s="34">
        <f t="shared" si="387"/>
        <v>0</v>
      </c>
      <c r="S842" s="34">
        <f t="shared" si="387"/>
        <v>0</v>
      </c>
      <c r="T842" s="34">
        <f t="shared" si="387"/>
        <v>0</v>
      </c>
      <c r="U842" s="34">
        <f t="shared" si="387"/>
        <v>0</v>
      </c>
      <c r="V842" s="34">
        <f t="shared" si="387"/>
        <v>0</v>
      </c>
      <c r="W842" s="34">
        <f t="shared" si="387"/>
        <v>0</v>
      </c>
      <c r="X842" s="34">
        <f t="shared" si="387"/>
        <v>0</v>
      </c>
      <c r="Y842" s="34">
        <f t="shared" si="387"/>
        <v>0</v>
      </c>
      <c r="Z842" s="34">
        <f t="shared" si="387"/>
        <v>0</v>
      </c>
      <c r="AA842" s="34">
        <f t="shared" si="387"/>
        <v>0</v>
      </c>
      <c r="AB842" s="34">
        <f t="shared" si="387"/>
        <v>0</v>
      </c>
      <c r="AC842" s="34">
        <f t="shared" si="387"/>
        <v>0</v>
      </c>
      <c r="AD842" s="34">
        <f t="shared" si="387"/>
        <v>0</v>
      </c>
      <c r="AE842" s="34">
        <f t="shared" si="387"/>
        <v>0</v>
      </c>
      <c r="AF842" s="34">
        <f t="shared" si="387"/>
        <v>0</v>
      </c>
      <c r="AG842" s="34">
        <f t="shared" si="387"/>
        <v>0</v>
      </c>
      <c r="AH842" s="34">
        <f t="shared" si="387"/>
        <v>0</v>
      </c>
      <c r="AI842" s="34">
        <f t="shared" si="387"/>
        <v>0</v>
      </c>
      <c r="AJ842" s="34">
        <f t="shared" si="387"/>
        <v>0</v>
      </c>
      <c r="AK842" s="34">
        <f t="shared" si="387"/>
        <v>0</v>
      </c>
      <c r="AL842" s="34">
        <f t="shared" si="387"/>
        <v>0</v>
      </c>
      <c r="AM842" s="34">
        <f t="shared" si="387"/>
        <v>0</v>
      </c>
      <c r="AN842" s="34">
        <f t="shared" si="387"/>
        <v>0</v>
      </c>
      <c r="AO842" s="34"/>
      <c r="AP842" s="45">
        <f>AO837</f>
        <v>0</v>
      </c>
      <c r="AQ842" s="1"/>
    </row>
    <row r="843" ht="15.75" customHeight="1">
      <c r="A843" s="1"/>
      <c r="B843" s="32"/>
      <c r="C843" s="32" t="s">
        <v>289</v>
      </c>
      <c r="D843" s="32" t="s">
        <v>224</v>
      </c>
      <c r="E843" s="13"/>
      <c r="F843" s="14" t="s">
        <v>23</v>
      </c>
      <c r="G843" s="44"/>
      <c r="H843" s="34">
        <v>50.0</v>
      </c>
      <c r="I843" s="34">
        <f t="shared" ref="I843:AO843" si="388">H848</f>
        <v>50</v>
      </c>
      <c r="J843" s="34">
        <f t="shared" si="388"/>
        <v>50</v>
      </c>
      <c r="K843" s="34">
        <f t="shared" si="388"/>
        <v>50</v>
      </c>
      <c r="L843" s="34">
        <f t="shared" si="388"/>
        <v>0</v>
      </c>
      <c r="M843" s="34">
        <f t="shared" si="388"/>
        <v>0</v>
      </c>
      <c r="N843" s="34">
        <f t="shared" si="388"/>
        <v>0</v>
      </c>
      <c r="O843" s="34">
        <f t="shared" si="388"/>
        <v>0</v>
      </c>
      <c r="P843" s="34">
        <f t="shared" si="388"/>
        <v>0</v>
      </c>
      <c r="Q843" s="34">
        <f t="shared" si="388"/>
        <v>0</v>
      </c>
      <c r="R843" s="34">
        <f t="shared" si="388"/>
        <v>0</v>
      </c>
      <c r="S843" s="34">
        <f t="shared" si="388"/>
        <v>0</v>
      </c>
      <c r="T843" s="34">
        <f t="shared" si="388"/>
        <v>0</v>
      </c>
      <c r="U843" s="34">
        <f t="shared" si="388"/>
        <v>0</v>
      </c>
      <c r="V843" s="34">
        <f t="shared" si="388"/>
        <v>0</v>
      </c>
      <c r="W843" s="34">
        <f t="shared" si="388"/>
        <v>0</v>
      </c>
      <c r="X843" s="34">
        <f t="shared" si="388"/>
        <v>0</v>
      </c>
      <c r="Y843" s="34">
        <f t="shared" si="388"/>
        <v>0</v>
      </c>
      <c r="Z843" s="34">
        <f t="shared" si="388"/>
        <v>0</v>
      </c>
      <c r="AA843" s="34">
        <f t="shared" si="388"/>
        <v>0</v>
      </c>
      <c r="AB843" s="34">
        <f t="shared" si="388"/>
        <v>0</v>
      </c>
      <c r="AC843" s="34">
        <f t="shared" si="388"/>
        <v>0</v>
      </c>
      <c r="AD843" s="34">
        <f t="shared" si="388"/>
        <v>0</v>
      </c>
      <c r="AE843" s="34">
        <f t="shared" si="388"/>
        <v>0</v>
      </c>
      <c r="AF843" s="34">
        <f t="shared" si="388"/>
        <v>0</v>
      </c>
      <c r="AG843" s="34">
        <f t="shared" si="388"/>
        <v>0</v>
      </c>
      <c r="AH843" s="34">
        <f t="shared" si="388"/>
        <v>0</v>
      </c>
      <c r="AI843" s="34">
        <f t="shared" si="388"/>
        <v>0</v>
      </c>
      <c r="AJ843" s="34">
        <f t="shared" si="388"/>
        <v>0</v>
      </c>
      <c r="AK843" s="34">
        <f t="shared" si="388"/>
        <v>0</v>
      </c>
      <c r="AL843" s="34">
        <f t="shared" si="388"/>
        <v>0</v>
      </c>
      <c r="AM843" s="34">
        <f t="shared" si="388"/>
        <v>0</v>
      </c>
      <c r="AN843" s="34">
        <f t="shared" si="388"/>
        <v>0</v>
      </c>
      <c r="AO843" s="34">
        <f t="shared" si="388"/>
        <v>0</v>
      </c>
      <c r="AP843" s="54"/>
      <c r="AQ843" s="1"/>
    </row>
    <row r="844" ht="15.75" customHeight="1">
      <c r="A844" s="1"/>
      <c r="B844" s="35"/>
      <c r="C844" s="35"/>
      <c r="D844" s="35"/>
      <c r="E844" s="33" t="s">
        <v>94</v>
      </c>
      <c r="F844" s="36" t="s">
        <v>25</v>
      </c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8"/>
      <c r="T844" s="37"/>
      <c r="U844" s="38"/>
      <c r="V844" s="37"/>
      <c r="W844" s="37"/>
      <c r="X844" s="37"/>
      <c r="Y844" s="37"/>
      <c r="Z844" s="37"/>
      <c r="AA844" s="37"/>
      <c r="AB844" s="37"/>
      <c r="AC844" s="37"/>
      <c r="AD844" s="38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9">
        <f t="shared" ref="AP844:AP847" si="389">SUM(H844:AO844)</f>
        <v>0</v>
      </c>
      <c r="AQ844" s="1"/>
    </row>
    <row r="845" ht="15.75" customHeight="1">
      <c r="A845" s="51"/>
      <c r="B845" s="35"/>
      <c r="C845" s="35"/>
      <c r="D845" s="35"/>
      <c r="E845" s="47"/>
      <c r="F845" s="40" t="s">
        <v>26</v>
      </c>
      <c r="G845" s="49"/>
      <c r="H845" s="49"/>
      <c r="I845" s="49"/>
      <c r="J845" s="49"/>
      <c r="K845" s="49">
        <v>50.0</v>
      </c>
      <c r="L845" s="49"/>
      <c r="M845" s="49"/>
      <c r="N845" s="49"/>
      <c r="O845" s="49"/>
      <c r="P845" s="49"/>
      <c r="Q845" s="49"/>
      <c r="R845" s="49"/>
      <c r="S845" s="48"/>
      <c r="T845" s="49"/>
      <c r="U845" s="48"/>
      <c r="V845" s="49"/>
      <c r="W845" s="49"/>
      <c r="X845" s="49"/>
      <c r="Y845" s="49"/>
      <c r="Z845" s="49"/>
      <c r="AA845" s="49"/>
      <c r="AB845" s="49"/>
      <c r="AC845" s="49"/>
      <c r="AD845" s="48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8"/>
      <c r="AP845" s="50">
        <f t="shared" si="389"/>
        <v>50</v>
      </c>
      <c r="AQ845" s="51"/>
    </row>
    <row r="846" ht="15.75" customHeight="1">
      <c r="A846" s="1"/>
      <c r="B846" s="35"/>
      <c r="C846" s="35"/>
      <c r="D846" s="35"/>
      <c r="E846" s="33" t="s">
        <v>27</v>
      </c>
      <c r="F846" s="41" t="s">
        <v>28</v>
      </c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8"/>
      <c r="T846" s="37"/>
      <c r="U846" s="38"/>
      <c r="V846" s="37"/>
      <c r="W846" s="37"/>
      <c r="X846" s="37"/>
      <c r="Y846" s="37"/>
      <c r="Z846" s="37"/>
      <c r="AA846" s="37"/>
      <c r="AB846" s="37"/>
      <c r="AC846" s="37"/>
      <c r="AD846" s="38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9">
        <f t="shared" si="389"/>
        <v>0</v>
      </c>
      <c r="AQ846" s="1"/>
    </row>
    <row r="847" ht="15.75" customHeight="1">
      <c r="A847" s="1"/>
      <c r="B847" s="35"/>
      <c r="C847" s="35"/>
      <c r="D847" s="35"/>
      <c r="E847" s="33"/>
      <c r="F847" s="41" t="s">
        <v>29</v>
      </c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8"/>
      <c r="T847" s="37"/>
      <c r="U847" s="38"/>
      <c r="V847" s="37"/>
      <c r="W847" s="37"/>
      <c r="X847" s="37"/>
      <c r="Y847" s="37"/>
      <c r="Z847" s="37"/>
      <c r="AA847" s="37"/>
      <c r="AB847" s="37"/>
      <c r="AC847" s="37"/>
      <c r="AD847" s="38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9">
        <f t="shared" si="389"/>
        <v>0</v>
      </c>
      <c r="AQ847" s="1"/>
    </row>
    <row r="848" ht="15.75" customHeight="1">
      <c r="A848" s="1"/>
      <c r="B848" s="42"/>
      <c r="C848" s="42"/>
      <c r="D848" s="42"/>
      <c r="E848" s="52"/>
      <c r="F848" s="43" t="s">
        <v>30</v>
      </c>
      <c r="G848" s="44"/>
      <c r="H848" s="34">
        <f t="shared" ref="H848:AN848" si="390">H843+H844-H845+H846-H847</f>
        <v>50</v>
      </c>
      <c r="I848" s="34">
        <f t="shared" si="390"/>
        <v>50</v>
      </c>
      <c r="J848" s="34">
        <f t="shared" si="390"/>
        <v>50</v>
      </c>
      <c r="K848" s="34">
        <f t="shared" si="390"/>
        <v>0</v>
      </c>
      <c r="L848" s="34">
        <f t="shared" si="390"/>
        <v>0</v>
      </c>
      <c r="M848" s="34">
        <f t="shared" si="390"/>
        <v>0</v>
      </c>
      <c r="N848" s="34">
        <f t="shared" si="390"/>
        <v>0</v>
      </c>
      <c r="O848" s="34">
        <f t="shared" si="390"/>
        <v>0</v>
      </c>
      <c r="P848" s="34">
        <f t="shared" si="390"/>
        <v>0</v>
      </c>
      <c r="Q848" s="34">
        <f t="shared" si="390"/>
        <v>0</v>
      </c>
      <c r="R848" s="34">
        <f t="shared" si="390"/>
        <v>0</v>
      </c>
      <c r="S848" s="34">
        <f t="shared" si="390"/>
        <v>0</v>
      </c>
      <c r="T848" s="34">
        <f t="shared" si="390"/>
        <v>0</v>
      </c>
      <c r="U848" s="34">
        <f t="shared" si="390"/>
        <v>0</v>
      </c>
      <c r="V848" s="34">
        <f t="shared" si="390"/>
        <v>0</v>
      </c>
      <c r="W848" s="34">
        <f t="shared" si="390"/>
        <v>0</v>
      </c>
      <c r="X848" s="34">
        <f t="shared" si="390"/>
        <v>0</v>
      </c>
      <c r="Y848" s="34">
        <f t="shared" si="390"/>
        <v>0</v>
      </c>
      <c r="Z848" s="34">
        <f t="shared" si="390"/>
        <v>0</v>
      </c>
      <c r="AA848" s="34">
        <f t="shared" si="390"/>
        <v>0</v>
      </c>
      <c r="AB848" s="34">
        <f t="shared" si="390"/>
        <v>0</v>
      </c>
      <c r="AC848" s="34">
        <f t="shared" si="390"/>
        <v>0</v>
      </c>
      <c r="AD848" s="34">
        <f t="shared" si="390"/>
        <v>0</v>
      </c>
      <c r="AE848" s="34">
        <f t="shared" si="390"/>
        <v>0</v>
      </c>
      <c r="AF848" s="34">
        <f t="shared" si="390"/>
        <v>0</v>
      </c>
      <c r="AG848" s="34">
        <f t="shared" si="390"/>
        <v>0</v>
      </c>
      <c r="AH848" s="34">
        <f t="shared" si="390"/>
        <v>0</v>
      </c>
      <c r="AI848" s="34">
        <f t="shared" si="390"/>
        <v>0</v>
      </c>
      <c r="AJ848" s="34">
        <f t="shared" si="390"/>
        <v>0</v>
      </c>
      <c r="AK848" s="34">
        <f t="shared" si="390"/>
        <v>0</v>
      </c>
      <c r="AL848" s="34">
        <f t="shared" si="390"/>
        <v>0</v>
      </c>
      <c r="AM848" s="34">
        <f t="shared" si="390"/>
        <v>0</v>
      </c>
      <c r="AN848" s="34">
        <f t="shared" si="390"/>
        <v>0</v>
      </c>
      <c r="AO848" s="34"/>
      <c r="AP848" s="45">
        <f>AO843</f>
        <v>0</v>
      </c>
      <c r="AQ848" s="1"/>
    </row>
    <row r="849" ht="15.75" customHeight="1">
      <c r="A849" s="1"/>
      <c r="B849" s="32"/>
      <c r="C849" s="32" t="s">
        <v>290</v>
      </c>
      <c r="D849" s="32" t="s">
        <v>291</v>
      </c>
      <c r="E849" s="13"/>
      <c r="F849" s="14" t="s">
        <v>23</v>
      </c>
      <c r="G849" s="44"/>
      <c r="H849" s="34">
        <v>0.0</v>
      </c>
      <c r="I849" s="34">
        <f t="shared" ref="I849:AO849" si="391">H854</f>
        <v>0</v>
      </c>
      <c r="J849" s="34">
        <f t="shared" si="391"/>
        <v>0</v>
      </c>
      <c r="K849" s="34">
        <f t="shared" si="391"/>
        <v>0</v>
      </c>
      <c r="L849" s="34">
        <f t="shared" si="391"/>
        <v>0</v>
      </c>
      <c r="M849" s="34">
        <f t="shared" si="391"/>
        <v>0</v>
      </c>
      <c r="N849" s="34">
        <f t="shared" si="391"/>
        <v>0</v>
      </c>
      <c r="O849" s="34">
        <f t="shared" si="391"/>
        <v>0</v>
      </c>
      <c r="P849" s="34">
        <f t="shared" si="391"/>
        <v>0</v>
      </c>
      <c r="Q849" s="34">
        <f t="shared" si="391"/>
        <v>0</v>
      </c>
      <c r="R849" s="34">
        <f t="shared" si="391"/>
        <v>0</v>
      </c>
      <c r="S849" s="34">
        <f t="shared" si="391"/>
        <v>0</v>
      </c>
      <c r="T849" s="34">
        <f t="shared" si="391"/>
        <v>0</v>
      </c>
      <c r="U849" s="34">
        <f t="shared" si="391"/>
        <v>0</v>
      </c>
      <c r="V849" s="34">
        <f t="shared" si="391"/>
        <v>0</v>
      </c>
      <c r="W849" s="34">
        <f t="shared" si="391"/>
        <v>0</v>
      </c>
      <c r="X849" s="34">
        <f t="shared" si="391"/>
        <v>0</v>
      </c>
      <c r="Y849" s="34">
        <f t="shared" si="391"/>
        <v>0</v>
      </c>
      <c r="Z849" s="34">
        <f t="shared" si="391"/>
        <v>0</v>
      </c>
      <c r="AA849" s="34">
        <f t="shared" si="391"/>
        <v>0</v>
      </c>
      <c r="AB849" s="34">
        <f t="shared" si="391"/>
        <v>0</v>
      </c>
      <c r="AC849" s="34">
        <f t="shared" si="391"/>
        <v>0</v>
      </c>
      <c r="AD849" s="34">
        <f t="shared" si="391"/>
        <v>0</v>
      </c>
      <c r="AE849" s="34">
        <f t="shared" si="391"/>
        <v>0</v>
      </c>
      <c r="AF849" s="34">
        <f t="shared" si="391"/>
        <v>0</v>
      </c>
      <c r="AG849" s="34">
        <f t="shared" si="391"/>
        <v>0</v>
      </c>
      <c r="AH849" s="34">
        <f t="shared" si="391"/>
        <v>0</v>
      </c>
      <c r="AI849" s="34">
        <f t="shared" si="391"/>
        <v>0</v>
      </c>
      <c r="AJ849" s="34">
        <f t="shared" si="391"/>
        <v>0</v>
      </c>
      <c r="AK849" s="34">
        <f t="shared" si="391"/>
        <v>0</v>
      </c>
      <c r="AL849" s="34">
        <f t="shared" si="391"/>
        <v>0</v>
      </c>
      <c r="AM849" s="34">
        <f t="shared" si="391"/>
        <v>0</v>
      </c>
      <c r="AN849" s="34">
        <f t="shared" si="391"/>
        <v>0</v>
      </c>
      <c r="AO849" s="34">
        <f t="shared" si="391"/>
        <v>0</v>
      </c>
      <c r="AP849" s="54"/>
      <c r="AQ849" s="1"/>
    </row>
    <row r="850" ht="15.75" customHeight="1">
      <c r="A850" s="1"/>
      <c r="B850" s="35"/>
      <c r="C850" s="35"/>
      <c r="D850" s="35"/>
      <c r="E850" s="33" t="s">
        <v>94</v>
      </c>
      <c r="F850" s="36" t="s">
        <v>25</v>
      </c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8"/>
      <c r="T850" s="37"/>
      <c r="U850" s="38"/>
      <c r="V850" s="37"/>
      <c r="W850" s="37"/>
      <c r="X850" s="37"/>
      <c r="Y850" s="37"/>
      <c r="Z850" s="37"/>
      <c r="AA850" s="37"/>
      <c r="AB850" s="37"/>
      <c r="AC850" s="37"/>
      <c r="AD850" s="38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9">
        <f t="shared" ref="AP850:AP853" si="392">SUM(H850:AO850)</f>
        <v>0</v>
      </c>
      <c r="AQ850" s="1"/>
    </row>
    <row r="851" ht="15.75" customHeight="1">
      <c r="A851" s="1"/>
      <c r="B851" s="35"/>
      <c r="C851" s="35"/>
      <c r="D851" s="35"/>
      <c r="E851" s="33"/>
      <c r="F851" s="40" t="s">
        <v>26</v>
      </c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8"/>
      <c r="T851" s="37"/>
      <c r="U851" s="38"/>
      <c r="V851" s="37"/>
      <c r="W851" s="37"/>
      <c r="X851" s="37"/>
      <c r="Y851" s="37"/>
      <c r="Z851" s="37"/>
      <c r="AA851" s="37"/>
      <c r="AB851" s="37"/>
      <c r="AC851" s="37"/>
      <c r="AD851" s="38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8"/>
      <c r="AP851" s="39">
        <f t="shared" si="392"/>
        <v>0</v>
      </c>
      <c r="AQ851" s="1"/>
    </row>
    <row r="852" ht="15.75" customHeight="1">
      <c r="A852" s="1"/>
      <c r="B852" s="35"/>
      <c r="C852" s="35"/>
      <c r="D852" s="35"/>
      <c r="E852" s="33" t="s">
        <v>27</v>
      </c>
      <c r="F852" s="41" t="s">
        <v>28</v>
      </c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8"/>
      <c r="T852" s="37"/>
      <c r="U852" s="38"/>
      <c r="V852" s="37"/>
      <c r="W852" s="37"/>
      <c r="X852" s="37"/>
      <c r="Y852" s="37"/>
      <c r="Z852" s="37"/>
      <c r="AA852" s="37"/>
      <c r="AB852" s="37"/>
      <c r="AC852" s="37"/>
      <c r="AD852" s="38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9">
        <f t="shared" si="392"/>
        <v>0</v>
      </c>
      <c r="AQ852" s="1"/>
    </row>
    <row r="853" ht="15.75" customHeight="1">
      <c r="A853" s="1"/>
      <c r="B853" s="35"/>
      <c r="C853" s="35"/>
      <c r="D853" s="35"/>
      <c r="E853" s="33"/>
      <c r="F853" s="41" t="s">
        <v>29</v>
      </c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8"/>
      <c r="T853" s="37"/>
      <c r="U853" s="38"/>
      <c r="V853" s="37"/>
      <c r="W853" s="37"/>
      <c r="X853" s="37"/>
      <c r="Y853" s="37"/>
      <c r="Z853" s="37"/>
      <c r="AA853" s="37"/>
      <c r="AB853" s="37"/>
      <c r="AC853" s="37"/>
      <c r="AD853" s="38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9">
        <f t="shared" si="392"/>
        <v>0</v>
      </c>
      <c r="AQ853" s="1"/>
    </row>
    <row r="854" ht="15.75" customHeight="1">
      <c r="A854" s="1"/>
      <c r="B854" s="42"/>
      <c r="C854" s="42"/>
      <c r="D854" s="42"/>
      <c r="E854" s="52"/>
      <c r="F854" s="43" t="s">
        <v>30</v>
      </c>
      <c r="G854" s="44"/>
      <c r="H854" s="34">
        <f t="shared" ref="H854:AN854" si="393">H849+H850-H851+H852-H853</f>
        <v>0</v>
      </c>
      <c r="I854" s="34">
        <f t="shared" si="393"/>
        <v>0</v>
      </c>
      <c r="J854" s="34">
        <f t="shared" si="393"/>
        <v>0</v>
      </c>
      <c r="K854" s="34">
        <f t="shared" si="393"/>
        <v>0</v>
      </c>
      <c r="L854" s="34">
        <f t="shared" si="393"/>
        <v>0</v>
      </c>
      <c r="M854" s="34">
        <f t="shared" si="393"/>
        <v>0</v>
      </c>
      <c r="N854" s="34">
        <f t="shared" si="393"/>
        <v>0</v>
      </c>
      <c r="O854" s="34">
        <f t="shared" si="393"/>
        <v>0</v>
      </c>
      <c r="P854" s="34">
        <f t="shared" si="393"/>
        <v>0</v>
      </c>
      <c r="Q854" s="34">
        <f t="shared" si="393"/>
        <v>0</v>
      </c>
      <c r="R854" s="34">
        <f t="shared" si="393"/>
        <v>0</v>
      </c>
      <c r="S854" s="34">
        <f t="shared" si="393"/>
        <v>0</v>
      </c>
      <c r="T854" s="34">
        <f t="shared" si="393"/>
        <v>0</v>
      </c>
      <c r="U854" s="34">
        <f t="shared" si="393"/>
        <v>0</v>
      </c>
      <c r="V854" s="34">
        <f t="shared" si="393"/>
        <v>0</v>
      </c>
      <c r="W854" s="34">
        <f t="shared" si="393"/>
        <v>0</v>
      </c>
      <c r="X854" s="34">
        <f t="shared" si="393"/>
        <v>0</v>
      </c>
      <c r="Y854" s="34">
        <f t="shared" si="393"/>
        <v>0</v>
      </c>
      <c r="Z854" s="34">
        <f t="shared" si="393"/>
        <v>0</v>
      </c>
      <c r="AA854" s="34">
        <f t="shared" si="393"/>
        <v>0</v>
      </c>
      <c r="AB854" s="34">
        <f t="shared" si="393"/>
        <v>0</v>
      </c>
      <c r="AC854" s="34">
        <f t="shared" si="393"/>
        <v>0</v>
      </c>
      <c r="AD854" s="34">
        <f t="shared" si="393"/>
        <v>0</v>
      </c>
      <c r="AE854" s="34">
        <f t="shared" si="393"/>
        <v>0</v>
      </c>
      <c r="AF854" s="34">
        <f t="shared" si="393"/>
        <v>0</v>
      </c>
      <c r="AG854" s="34">
        <f t="shared" si="393"/>
        <v>0</v>
      </c>
      <c r="AH854" s="34">
        <f t="shared" si="393"/>
        <v>0</v>
      </c>
      <c r="AI854" s="34">
        <f t="shared" si="393"/>
        <v>0</v>
      </c>
      <c r="AJ854" s="34">
        <f t="shared" si="393"/>
        <v>0</v>
      </c>
      <c r="AK854" s="34">
        <f t="shared" si="393"/>
        <v>0</v>
      </c>
      <c r="AL854" s="34">
        <f t="shared" si="393"/>
        <v>0</v>
      </c>
      <c r="AM854" s="34">
        <f t="shared" si="393"/>
        <v>0</v>
      </c>
      <c r="AN854" s="34">
        <f t="shared" si="393"/>
        <v>0</v>
      </c>
      <c r="AO854" s="34"/>
      <c r="AP854" s="45">
        <f>AO849</f>
        <v>0</v>
      </c>
      <c r="AQ854" s="1"/>
    </row>
    <row r="855" ht="15.75" customHeight="1">
      <c r="A855" s="1"/>
      <c r="B855" s="32"/>
      <c r="C855" s="32" t="s">
        <v>292</v>
      </c>
      <c r="D855" s="32" t="s">
        <v>293</v>
      </c>
      <c r="E855" s="13"/>
      <c r="F855" s="14" t="s">
        <v>23</v>
      </c>
      <c r="G855" s="44"/>
      <c r="H855" s="34">
        <v>2.0</v>
      </c>
      <c r="I855" s="34">
        <f t="shared" ref="I855:AO855" si="394">H860</f>
        <v>2</v>
      </c>
      <c r="J855" s="34">
        <f t="shared" si="394"/>
        <v>2</v>
      </c>
      <c r="K855" s="34">
        <f t="shared" si="394"/>
        <v>2</v>
      </c>
      <c r="L855" s="34">
        <f t="shared" si="394"/>
        <v>2</v>
      </c>
      <c r="M855" s="34">
        <f t="shared" si="394"/>
        <v>2</v>
      </c>
      <c r="N855" s="34">
        <f t="shared" si="394"/>
        <v>2</v>
      </c>
      <c r="O855" s="34">
        <f t="shared" si="394"/>
        <v>2</v>
      </c>
      <c r="P855" s="34">
        <f t="shared" si="394"/>
        <v>2</v>
      </c>
      <c r="Q855" s="34">
        <f t="shared" si="394"/>
        <v>2</v>
      </c>
      <c r="R855" s="34">
        <f t="shared" si="394"/>
        <v>2</v>
      </c>
      <c r="S855" s="34">
        <f t="shared" si="394"/>
        <v>2</v>
      </c>
      <c r="T855" s="34">
        <f t="shared" si="394"/>
        <v>2</v>
      </c>
      <c r="U855" s="34">
        <f t="shared" si="394"/>
        <v>2</v>
      </c>
      <c r="V855" s="34">
        <f t="shared" si="394"/>
        <v>2</v>
      </c>
      <c r="W855" s="34">
        <f t="shared" si="394"/>
        <v>2</v>
      </c>
      <c r="X855" s="34">
        <f t="shared" si="394"/>
        <v>2</v>
      </c>
      <c r="Y855" s="34">
        <f t="shared" si="394"/>
        <v>2</v>
      </c>
      <c r="Z855" s="34">
        <f t="shared" si="394"/>
        <v>2</v>
      </c>
      <c r="AA855" s="34">
        <f t="shared" si="394"/>
        <v>2</v>
      </c>
      <c r="AB855" s="34">
        <f t="shared" si="394"/>
        <v>2</v>
      </c>
      <c r="AC855" s="34">
        <f t="shared" si="394"/>
        <v>2</v>
      </c>
      <c r="AD855" s="34">
        <f t="shared" si="394"/>
        <v>2</v>
      </c>
      <c r="AE855" s="34">
        <f t="shared" si="394"/>
        <v>2</v>
      </c>
      <c r="AF855" s="34">
        <f t="shared" si="394"/>
        <v>2</v>
      </c>
      <c r="AG855" s="34">
        <f t="shared" si="394"/>
        <v>2</v>
      </c>
      <c r="AH855" s="34">
        <f t="shared" si="394"/>
        <v>2</v>
      </c>
      <c r="AI855" s="34">
        <f t="shared" si="394"/>
        <v>2</v>
      </c>
      <c r="AJ855" s="34">
        <f t="shared" si="394"/>
        <v>2</v>
      </c>
      <c r="AK855" s="34">
        <f t="shared" si="394"/>
        <v>2</v>
      </c>
      <c r="AL855" s="34">
        <f t="shared" si="394"/>
        <v>2</v>
      </c>
      <c r="AM855" s="34">
        <f t="shared" si="394"/>
        <v>2</v>
      </c>
      <c r="AN855" s="34">
        <f t="shared" si="394"/>
        <v>2</v>
      </c>
      <c r="AO855" s="34">
        <f t="shared" si="394"/>
        <v>2</v>
      </c>
      <c r="AP855" s="54"/>
      <c r="AQ855" s="1"/>
    </row>
    <row r="856" ht="15.75" customHeight="1">
      <c r="A856" s="1"/>
      <c r="B856" s="35"/>
      <c r="C856" s="35"/>
      <c r="D856" s="35"/>
      <c r="E856" s="33" t="s">
        <v>94</v>
      </c>
      <c r="F856" s="36" t="s">
        <v>25</v>
      </c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8"/>
      <c r="T856" s="37"/>
      <c r="U856" s="38"/>
      <c r="V856" s="37"/>
      <c r="W856" s="37"/>
      <c r="X856" s="37"/>
      <c r="Y856" s="37"/>
      <c r="Z856" s="37"/>
      <c r="AA856" s="37"/>
      <c r="AB856" s="37"/>
      <c r="AC856" s="37"/>
      <c r="AD856" s="38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9">
        <f t="shared" ref="AP856:AP859" si="395">SUM(H856:AO856)</f>
        <v>0</v>
      </c>
      <c r="AQ856" s="1"/>
    </row>
    <row r="857" ht="15.75" customHeight="1">
      <c r="A857" s="51"/>
      <c r="B857" s="35"/>
      <c r="C857" s="35"/>
      <c r="D857" s="35"/>
      <c r="E857" s="47"/>
      <c r="F857" s="40" t="s">
        <v>26</v>
      </c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8"/>
      <c r="T857" s="49"/>
      <c r="U857" s="48"/>
      <c r="V857" s="49"/>
      <c r="W857" s="49"/>
      <c r="X857" s="49"/>
      <c r="Y857" s="49"/>
      <c r="Z857" s="49"/>
      <c r="AA857" s="49"/>
      <c r="AB857" s="49"/>
      <c r="AC857" s="49"/>
      <c r="AD857" s="48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8"/>
      <c r="AP857" s="50">
        <f t="shared" si="395"/>
        <v>0</v>
      </c>
      <c r="AQ857" s="51"/>
    </row>
    <row r="858" ht="15.75" customHeight="1">
      <c r="A858" s="1"/>
      <c r="B858" s="35"/>
      <c r="C858" s="35"/>
      <c r="D858" s="35"/>
      <c r="E858" s="33" t="s">
        <v>27</v>
      </c>
      <c r="F858" s="41" t="s">
        <v>28</v>
      </c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8"/>
      <c r="T858" s="37"/>
      <c r="U858" s="38"/>
      <c r="V858" s="37"/>
      <c r="W858" s="37"/>
      <c r="X858" s="37"/>
      <c r="Y858" s="37"/>
      <c r="Z858" s="37"/>
      <c r="AA858" s="37"/>
      <c r="AB858" s="37"/>
      <c r="AC858" s="37"/>
      <c r="AD858" s="38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9">
        <f t="shared" si="395"/>
        <v>0</v>
      </c>
      <c r="AQ858" s="1"/>
    </row>
    <row r="859" ht="15.75" customHeight="1">
      <c r="A859" s="1"/>
      <c r="B859" s="35"/>
      <c r="C859" s="35"/>
      <c r="D859" s="35"/>
      <c r="E859" s="33"/>
      <c r="F859" s="41" t="s">
        <v>29</v>
      </c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8"/>
      <c r="T859" s="37"/>
      <c r="U859" s="38"/>
      <c r="V859" s="37"/>
      <c r="W859" s="37"/>
      <c r="X859" s="37"/>
      <c r="Y859" s="37"/>
      <c r="Z859" s="37"/>
      <c r="AA859" s="37"/>
      <c r="AB859" s="37"/>
      <c r="AC859" s="37"/>
      <c r="AD859" s="38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9">
        <f t="shared" si="395"/>
        <v>0</v>
      </c>
      <c r="AQ859" s="1"/>
    </row>
    <row r="860" ht="15.75" customHeight="1">
      <c r="A860" s="1"/>
      <c r="B860" s="42"/>
      <c r="C860" s="42"/>
      <c r="D860" s="42"/>
      <c r="E860" s="52"/>
      <c r="F860" s="43" t="s">
        <v>30</v>
      </c>
      <c r="G860" s="44"/>
      <c r="H860" s="34">
        <f t="shared" ref="H860:AN860" si="396">H855+H856-H857+H858-H859</f>
        <v>2</v>
      </c>
      <c r="I860" s="34">
        <f t="shared" si="396"/>
        <v>2</v>
      </c>
      <c r="J860" s="34">
        <f t="shared" si="396"/>
        <v>2</v>
      </c>
      <c r="K860" s="34">
        <f t="shared" si="396"/>
        <v>2</v>
      </c>
      <c r="L860" s="34">
        <f t="shared" si="396"/>
        <v>2</v>
      </c>
      <c r="M860" s="34">
        <f t="shared" si="396"/>
        <v>2</v>
      </c>
      <c r="N860" s="34">
        <f t="shared" si="396"/>
        <v>2</v>
      </c>
      <c r="O860" s="34">
        <f t="shared" si="396"/>
        <v>2</v>
      </c>
      <c r="P860" s="34">
        <f t="shared" si="396"/>
        <v>2</v>
      </c>
      <c r="Q860" s="34">
        <f t="shared" si="396"/>
        <v>2</v>
      </c>
      <c r="R860" s="34">
        <f t="shared" si="396"/>
        <v>2</v>
      </c>
      <c r="S860" s="34">
        <f t="shared" si="396"/>
        <v>2</v>
      </c>
      <c r="T860" s="34">
        <f t="shared" si="396"/>
        <v>2</v>
      </c>
      <c r="U860" s="34">
        <f t="shared" si="396"/>
        <v>2</v>
      </c>
      <c r="V860" s="34">
        <f t="shared" si="396"/>
        <v>2</v>
      </c>
      <c r="W860" s="34">
        <f t="shared" si="396"/>
        <v>2</v>
      </c>
      <c r="X860" s="34">
        <f t="shared" si="396"/>
        <v>2</v>
      </c>
      <c r="Y860" s="34">
        <f t="shared" si="396"/>
        <v>2</v>
      </c>
      <c r="Z860" s="34">
        <f t="shared" si="396"/>
        <v>2</v>
      </c>
      <c r="AA860" s="34">
        <f t="shared" si="396"/>
        <v>2</v>
      </c>
      <c r="AB860" s="34">
        <f t="shared" si="396"/>
        <v>2</v>
      </c>
      <c r="AC860" s="34">
        <f t="shared" si="396"/>
        <v>2</v>
      </c>
      <c r="AD860" s="34">
        <f t="shared" si="396"/>
        <v>2</v>
      </c>
      <c r="AE860" s="34">
        <f t="shared" si="396"/>
        <v>2</v>
      </c>
      <c r="AF860" s="34">
        <f t="shared" si="396"/>
        <v>2</v>
      </c>
      <c r="AG860" s="34">
        <f t="shared" si="396"/>
        <v>2</v>
      </c>
      <c r="AH860" s="34">
        <f t="shared" si="396"/>
        <v>2</v>
      </c>
      <c r="AI860" s="34">
        <f t="shared" si="396"/>
        <v>2</v>
      </c>
      <c r="AJ860" s="34">
        <f t="shared" si="396"/>
        <v>2</v>
      </c>
      <c r="AK860" s="34">
        <f t="shared" si="396"/>
        <v>2</v>
      </c>
      <c r="AL860" s="34">
        <f t="shared" si="396"/>
        <v>2</v>
      </c>
      <c r="AM860" s="34">
        <f t="shared" si="396"/>
        <v>2</v>
      </c>
      <c r="AN860" s="34">
        <f t="shared" si="396"/>
        <v>2</v>
      </c>
      <c r="AO860" s="34"/>
      <c r="AP860" s="45">
        <f>AO855</f>
        <v>2</v>
      </c>
      <c r="AQ860" s="1"/>
    </row>
    <row r="861" ht="15.75" customHeight="1">
      <c r="A861" s="1"/>
      <c r="B861" s="32"/>
      <c r="C861" s="32" t="s">
        <v>294</v>
      </c>
      <c r="D861" s="32" t="s">
        <v>295</v>
      </c>
      <c r="E861" s="13"/>
      <c r="F861" s="14" t="s">
        <v>23</v>
      </c>
      <c r="G861" s="44"/>
      <c r="H861" s="34">
        <v>25.0</v>
      </c>
      <c r="I861" s="34">
        <f t="shared" ref="I861:AO861" si="397">H866</f>
        <v>25</v>
      </c>
      <c r="J861" s="34">
        <f t="shared" si="397"/>
        <v>25</v>
      </c>
      <c r="K861" s="34">
        <f t="shared" si="397"/>
        <v>25</v>
      </c>
      <c r="L861" s="34">
        <f t="shared" si="397"/>
        <v>0</v>
      </c>
      <c r="M861" s="34">
        <f t="shared" si="397"/>
        <v>0</v>
      </c>
      <c r="N861" s="34">
        <f t="shared" si="397"/>
        <v>0</v>
      </c>
      <c r="O861" s="34">
        <f t="shared" si="397"/>
        <v>0</v>
      </c>
      <c r="P861" s="34">
        <f t="shared" si="397"/>
        <v>0</v>
      </c>
      <c r="Q861" s="34">
        <f t="shared" si="397"/>
        <v>0</v>
      </c>
      <c r="R861" s="34">
        <f t="shared" si="397"/>
        <v>0</v>
      </c>
      <c r="S861" s="34">
        <f t="shared" si="397"/>
        <v>0</v>
      </c>
      <c r="T861" s="34">
        <f t="shared" si="397"/>
        <v>0</v>
      </c>
      <c r="U861" s="34">
        <f t="shared" si="397"/>
        <v>0</v>
      </c>
      <c r="V861" s="34">
        <f t="shared" si="397"/>
        <v>0</v>
      </c>
      <c r="W861" s="34">
        <f t="shared" si="397"/>
        <v>0</v>
      </c>
      <c r="X861" s="34">
        <f t="shared" si="397"/>
        <v>0</v>
      </c>
      <c r="Y861" s="34">
        <f t="shared" si="397"/>
        <v>0</v>
      </c>
      <c r="Z861" s="34">
        <f t="shared" si="397"/>
        <v>0</v>
      </c>
      <c r="AA861" s="34">
        <f t="shared" si="397"/>
        <v>0</v>
      </c>
      <c r="AB861" s="34">
        <f t="shared" si="397"/>
        <v>0</v>
      </c>
      <c r="AC861" s="34">
        <f t="shared" si="397"/>
        <v>0</v>
      </c>
      <c r="AD861" s="34">
        <f t="shared" si="397"/>
        <v>0</v>
      </c>
      <c r="AE861" s="34">
        <f t="shared" si="397"/>
        <v>0</v>
      </c>
      <c r="AF861" s="34">
        <f t="shared" si="397"/>
        <v>0</v>
      </c>
      <c r="AG861" s="34">
        <f t="shared" si="397"/>
        <v>0</v>
      </c>
      <c r="AH861" s="34">
        <f t="shared" si="397"/>
        <v>0</v>
      </c>
      <c r="AI861" s="34">
        <f t="shared" si="397"/>
        <v>0</v>
      </c>
      <c r="AJ861" s="34">
        <f t="shared" si="397"/>
        <v>0</v>
      </c>
      <c r="AK861" s="34">
        <f t="shared" si="397"/>
        <v>0</v>
      </c>
      <c r="AL861" s="34">
        <f t="shared" si="397"/>
        <v>0</v>
      </c>
      <c r="AM861" s="34">
        <f t="shared" si="397"/>
        <v>0</v>
      </c>
      <c r="AN861" s="34">
        <f t="shared" si="397"/>
        <v>0</v>
      </c>
      <c r="AO861" s="34">
        <f t="shared" si="397"/>
        <v>0</v>
      </c>
      <c r="AP861" s="54"/>
      <c r="AQ861" s="1"/>
    </row>
    <row r="862" ht="15.75" customHeight="1">
      <c r="A862" s="1"/>
      <c r="B862" s="35"/>
      <c r="C862" s="35"/>
      <c r="D862" s="35"/>
      <c r="E862" s="33" t="s">
        <v>94</v>
      </c>
      <c r="F862" s="36" t="s">
        <v>25</v>
      </c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8"/>
      <c r="T862" s="37"/>
      <c r="U862" s="38"/>
      <c r="V862" s="37"/>
      <c r="W862" s="37"/>
      <c r="X862" s="37"/>
      <c r="Y862" s="37"/>
      <c r="Z862" s="37"/>
      <c r="AA862" s="37"/>
      <c r="AB862" s="37"/>
      <c r="AC862" s="37"/>
      <c r="AD862" s="38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9">
        <f t="shared" ref="AP862:AP865" si="398">SUM(H862:AO862)</f>
        <v>0</v>
      </c>
      <c r="AQ862" s="1"/>
    </row>
    <row r="863" ht="15.75" customHeight="1">
      <c r="A863" s="51"/>
      <c r="B863" s="35"/>
      <c r="C863" s="35"/>
      <c r="D863" s="35"/>
      <c r="E863" s="47"/>
      <c r="F863" s="40" t="s">
        <v>26</v>
      </c>
      <c r="G863" s="49"/>
      <c r="H863" s="49"/>
      <c r="I863" s="49"/>
      <c r="J863" s="49"/>
      <c r="K863" s="49">
        <v>25.0</v>
      </c>
      <c r="L863" s="49"/>
      <c r="M863" s="49"/>
      <c r="N863" s="49"/>
      <c r="O863" s="49"/>
      <c r="P863" s="49"/>
      <c r="Q863" s="49"/>
      <c r="R863" s="49"/>
      <c r="S863" s="48"/>
      <c r="T863" s="49"/>
      <c r="U863" s="48"/>
      <c r="V863" s="49"/>
      <c r="W863" s="49"/>
      <c r="X863" s="49"/>
      <c r="Y863" s="49"/>
      <c r="Z863" s="49"/>
      <c r="AA863" s="49"/>
      <c r="AB863" s="49"/>
      <c r="AC863" s="49"/>
      <c r="AD863" s="48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8"/>
      <c r="AP863" s="50">
        <f t="shared" si="398"/>
        <v>25</v>
      </c>
      <c r="AQ863" s="51"/>
    </row>
    <row r="864" ht="15.75" customHeight="1">
      <c r="A864" s="1"/>
      <c r="B864" s="35"/>
      <c r="C864" s="35"/>
      <c r="D864" s="35"/>
      <c r="E864" s="33" t="s">
        <v>27</v>
      </c>
      <c r="F864" s="41" t="s">
        <v>28</v>
      </c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8"/>
      <c r="T864" s="37"/>
      <c r="U864" s="38"/>
      <c r="V864" s="37"/>
      <c r="W864" s="37"/>
      <c r="X864" s="37"/>
      <c r="Y864" s="37"/>
      <c r="Z864" s="37"/>
      <c r="AA864" s="37"/>
      <c r="AB864" s="37"/>
      <c r="AC864" s="37"/>
      <c r="AD864" s="38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9">
        <f t="shared" si="398"/>
        <v>0</v>
      </c>
      <c r="AQ864" s="1"/>
    </row>
    <row r="865" ht="15.75" customHeight="1">
      <c r="A865" s="1"/>
      <c r="B865" s="35"/>
      <c r="C865" s="35"/>
      <c r="D865" s="35"/>
      <c r="E865" s="33"/>
      <c r="F865" s="41" t="s">
        <v>29</v>
      </c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8"/>
      <c r="T865" s="37"/>
      <c r="U865" s="38"/>
      <c r="V865" s="37"/>
      <c r="W865" s="37"/>
      <c r="X865" s="37"/>
      <c r="Y865" s="37"/>
      <c r="Z865" s="37"/>
      <c r="AA865" s="37"/>
      <c r="AB865" s="37"/>
      <c r="AC865" s="37"/>
      <c r="AD865" s="38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9">
        <f t="shared" si="398"/>
        <v>0</v>
      </c>
      <c r="AQ865" s="1"/>
    </row>
    <row r="866" ht="15.75" customHeight="1">
      <c r="A866" s="1"/>
      <c r="B866" s="42"/>
      <c r="C866" s="42"/>
      <c r="D866" s="42"/>
      <c r="E866" s="52"/>
      <c r="F866" s="43" t="s">
        <v>30</v>
      </c>
      <c r="G866" s="44"/>
      <c r="H866" s="34">
        <f t="shared" ref="H866:AN866" si="399">H861+H862-H863+H864-H865</f>
        <v>25</v>
      </c>
      <c r="I866" s="34">
        <f t="shared" si="399"/>
        <v>25</v>
      </c>
      <c r="J866" s="34">
        <f t="shared" si="399"/>
        <v>25</v>
      </c>
      <c r="K866" s="34">
        <f t="shared" si="399"/>
        <v>0</v>
      </c>
      <c r="L866" s="34">
        <f t="shared" si="399"/>
        <v>0</v>
      </c>
      <c r="M866" s="34">
        <f t="shared" si="399"/>
        <v>0</v>
      </c>
      <c r="N866" s="34">
        <f t="shared" si="399"/>
        <v>0</v>
      </c>
      <c r="O866" s="34">
        <f t="shared" si="399"/>
        <v>0</v>
      </c>
      <c r="P866" s="34">
        <f t="shared" si="399"/>
        <v>0</v>
      </c>
      <c r="Q866" s="34">
        <f t="shared" si="399"/>
        <v>0</v>
      </c>
      <c r="R866" s="34">
        <f t="shared" si="399"/>
        <v>0</v>
      </c>
      <c r="S866" s="34">
        <f t="shared" si="399"/>
        <v>0</v>
      </c>
      <c r="T866" s="34">
        <f t="shared" si="399"/>
        <v>0</v>
      </c>
      <c r="U866" s="34">
        <f t="shared" si="399"/>
        <v>0</v>
      </c>
      <c r="V866" s="34">
        <f t="shared" si="399"/>
        <v>0</v>
      </c>
      <c r="W866" s="34">
        <f t="shared" si="399"/>
        <v>0</v>
      </c>
      <c r="X866" s="34">
        <f t="shared" si="399"/>
        <v>0</v>
      </c>
      <c r="Y866" s="34">
        <f t="shared" si="399"/>
        <v>0</v>
      </c>
      <c r="Z866" s="34">
        <f t="shared" si="399"/>
        <v>0</v>
      </c>
      <c r="AA866" s="34">
        <f t="shared" si="399"/>
        <v>0</v>
      </c>
      <c r="AB866" s="34">
        <f t="shared" si="399"/>
        <v>0</v>
      </c>
      <c r="AC866" s="34">
        <f t="shared" si="399"/>
        <v>0</v>
      </c>
      <c r="AD866" s="34">
        <f t="shared" si="399"/>
        <v>0</v>
      </c>
      <c r="AE866" s="34">
        <f t="shared" si="399"/>
        <v>0</v>
      </c>
      <c r="AF866" s="34">
        <f t="shared" si="399"/>
        <v>0</v>
      </c>
      <c r="AG866" s="34">
        <f t="shared" si="399"/>
        <v>0</v>
      </c>
      <c r="AH866" s="34">
        <f t="shared" si="399"/>
        <v>0</v>
      </c>
      <c r="AI866" s="34">
        <f t="shared" si="399"/>
        <v>0</v>
      </c>
      <c r="AJ866" s="34">
        <f t="shared" si="399"/>
        <v>0</v>
      </c>
      <c r="AK866" s="34">
        <f t="shared" si="399"/>
        <v>0</v>
      </c>
      <c r="AL866" s="34">
        <f t="shared" si="399"/>
        <v>0</v>
      </c>
      <c r="AM866" s="34">
        <f t="shared" si="399"/>
        <v>0</v>
      </c>
      <c r="AN866" s="34">
        <f t="shared" si="399"/>
        <v>0</v>
      </c>
      <c r="AO866" s="34"/>
      <c r="AP866" s="45">
        <f>AO861</f>
        <v>0</v>
      </c>
      <c r="AQ866" s="1"/>
    </row>
    <row r="867" ht="15.75" customHeight="1">
      <c r="A867" s="1"/>
      <c r="B867" s="32"/>
      <c r="C867" s="32" t="s">
        <v>296</v>
      </c>
      <c r="D867" s="32" t="s">
        <v>297</v>
      </c>
      <c r="E867" s="13"/>
      <c r="F867" s="14" t="s">
        <v>23</v>
      </c>
      <c r="G867" s="44"/>
      <c r="H867" s="34">
        <v>0.0</v>
      </c>
      <c r="I867" s="34">
        <f t="shared" ref="I867:AO867" si="400">H872</f>
        <v>0</v>
      </c>
      <c r="J867" s="34">
        <f t="shared" si="400"/>
        <v>0</v>
      </c>
      <c r="K867" s="34">
        <f t="shared" si="400"/>
        <v>0</v>
      </c>
      <c r="L867" s="34">
        <f t="shared" si="400"/>
        <v>0</v>
      </c>
      <c r="M867" s="34">
        <f t="shared" si="400"/>
        <v>0</v>
      </c>
      <c r="N867" s="34">
        <f t="shared" si="400"/>
        <v>0</v>
      </c>
      <c r="O867" s="34">
        <f t="shared" si="400"/>
        <v>0</v>
      </c>
      <c r="P867" s="34">
        <f t="shared" si="400"/>
        <v>0</v>
      </c>
      <c r="Q867" s="34">
        <f t="shared" si="400"/>
        <v>0</v>
      </c>
      <c r="R867" s="34">
        <f t="shared" si="400"/>
        <v>0</v>
      </c>
      <c r="S867" s="34">
        <f t="shared" si="400"/>
        <v>0</v>
      </c>
      <c r="T867" s="34">
        <f t="shared" si="400"/>
        <v>0</v>
      </c>
      <c r="U867" s="34">
        <f t="shared" si="400"/>
        <v>0</v>
      </c>
      <c r="V867" s="34">
        <f t="shared" si="400"/>
        <v>0</v>
      </c>
      <c r="W867" s="34">
        <f t="shared" si="400"/>
        <v>0</v>
      </c>
      <c r="X867" s="34">
        <f t="shared" si="400"/>
        <v>0</v>
      </c>
      <c r="Y867" s="34">
        <f t="shared" si="400"/>
        <v>0</v>
      </c>
      <c r="Z867" s="34">
        <f t="shared" si="400"/>
        <v>0</v>
      </c>
      <c r="AA867" s="34">
        <f t="shared" si="400"/>
        <v>0</v>
      </c>
      <c r="AB867" s="34">
        <f t="shared" si="400"/>
        <v>0</v>
      </c>
      <c r="AC867" s="34">
        <f t="shared" si="400"/>
        <v>0</v>
      </c>
      <c r="AD867" s="34">
        <f t="shared" si="400"/>
        <v>0</v>
      </c>
      <c r="AE867" s="34">
        <f t="shared" si="400"/>
        <v>0</v>
      </c>
      <c r="AF867" s="34">
        <f t="shared" si="400"/>
        <v>0</v>
      </c>
      <c r="AG867" s="34">
        <f t="shared" si="400"/>
        <v>0</v>
      </c>
      <c r="AH867" s="34">
        <f t="shared" si="400"/>
        <v>0</v>
      </c>
      <c r="AI867" s="34">
        <f t="shared" si="400"/>
        <v>0</v>
      </c>
      <c r="AJ867" s="34">
        <f t="shared" si="400"/>
        <v>0</v>
      </c>
      <c r="AK867" s="34">
        <f t="shared" si="400"/>
        <v>0</v>
      </c>
      <c r="AL867" s="34">
        <f t="shared" si="400"/>
        <v>0</v>
      </c>
      <c r="AM867" s="34">
        <f t="shared" si="400"/>
        <v>0</v>
      </c>
      <c r="AN867" s="34">
        <f t="shared" si="400"/>
        <v>0</v>
      </c>
      <c r="AO867" s="34">
        <f t="shared" si="400"/>
        <v>0</v>
      </c>
      <c r="AP867" s="54"/>
      <c r="AQ867" s="1"/>
    </row>
    <row r="868" ht="15.75" customHeight="1">
      <c r="A868" s="1"/>
      <c r="B868" s="35"/>
      <c r="C868" s="35"/>
      <c r="D868" s="35"/>
      <c r="E868" s="33" t="s">
        <v>94</v>
      </c>
      <c r="F868" s="36" t="s">
        <v>25</v>
      </c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8"/>
      <c r="T868" s="37"/>
      <c r="U868" s="38"/>
      <c r="V868" s="37"/>
      <c r="W868" s="37"/>
      <c r="X868" s="37"/>
      <c r="Y868" s="37"/>
      <c r="Z868" s="37"/>
      <c r="AA868" s="37"/>
      <c r="AB868" s="37"/>
      <c r="AC868" s="37"/>
      <c r="AD868" s="38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9">
        <f t="shared" ref="AP868:AP871" si="401">SUM(H868:AO868)</f>
        <v>0</v>
      </c>
      <c r="AQ868" s="1"/>
    </row>
    <row r="869" ht="15.75" customHeight="1">
      <c r="A869" s="51"/>
      <c r="B869" s="35"/>
      <c r="C869" s="35"/>
      <c r="D869" s="35"/>
      <c r="E869" s="47"/>
      <c r="F869" s="40" t="s">
        <v>26</v>
      </c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8"/>
      <c r="T869" s="49"/>
      <c r="U869" s="48"/>
      <c r="V869" s="49"/>
      <c r="W869" s="49"/>
      <c r="X869" s="49"/>
      <c r="Y869" s="49"/>
      <c r="Z869" s="49"/>
      <c r="AA869" s="49"/>
      <c r="AB869" s="49"/>
      <c r="AC869" s="49"/>
      <c r="AD869" s="48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8"/>
      <c r="AP869" s="50">
        <f t="shared" si="401"/>
        <v>0</v>
      </c>
      <c r="AQ869" s="51"/>
    </row>
    <row r="870" ht="15.75" customHeight="1">
      <c r="A870" s="1"/>
      <c r="B870" s="35"/>
      <c r="C870" s="35"/>
      <c r="D870" s="35"/>
      <c r="E870" s="33" t="s">
        <v>27</v>
      </c>
      <c r="F870" s="41" t="s">
        <v>28</v>
      </c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8"/>
      <c r="T870" s="37"/>
      <c r="U870" s="38"/>
      <c r="V870" s="37"/>
      <c r="W870" s="37"/>
      <c r="X870" s="37"/>
      <c r="Y870" s="37"/>
      <c r="Z870" s="37"/>
      <c r="AA870" s="37"/>
      <c r="AB870" s="37"/>
      <c r="AC870" s="37"/>
      <c r="AD870" s="38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9">
        <f t="shared" si="401"/>
        <v>0</v>
      </c>
      <c r="AQ870" s="1"/>
    </row>
    <row r="871" ht="15.75" customHeight="1">
      <c r="A871" s="1"/>
      <c r="B871" s="35"/>
      <c r="C871" s="35"/>
      <c r="D871" s="35"/>
      <c r="E871" s="33"/>
      <c r="F871" s="41" t="s">
        <v>29</v>
      </c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8"/>
      <c r="T871" s="37"/>
      <c r="U871" s="38"/>
      <c r="V871" s="37"/>
      <c r="W871" s="37"/>
      <c r="X871" s="37"/>
      <c r="Y871" s="37"/>
      <c r="Z871" s="37"/>
      <c r="AA871" s="37"/>
      <c r="AB871" s="37"/>
      <c r="AC871" s="37"/>
      <c r="AD871" s="38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9">
        <f t="shared" si="401"/>
        <v>0</v>
      </c>
      <c r="AQ871" s="1"/>
    </row>
    <row r="872" ht="15.75" customHeight="1">
      <c r="A872" s="1"/>
      <c r="B872" s="42"/>
      <c r="C872" s="42"/>
      <c r="D872" s="42"/>
      <c r="E872" s="52"/>
      <c r="F872" s="43" t="s">
        <v>30</v>
      </c>
      <c r="G872" s="44"/>
      <c r="H872" s="34">
        <f t="shared" ref="H872:AN872" si="402">H867+H868-H869+H870-H871</f>
        <v>0</v>
      </c>
      <c r="I872" s="34">
        <f t="shared" si="402"/>
        <v>0</v>
      </c>
      <c r="J872" s="34">
        <f t="shared" si="402"/>
        <v>0</v>
      </c>
      <c r="K872" s="34">
        <f t="shared" si="402"/>
        <v>0</v>
      </c>
      <c r="L872" s="34">
        <f t="shared" si="402"/>
        <v>0</v>
      </c>
      <c r="M872" s="34">
        <f t="shared" si="402"/>
        <v>0</v>
      </c>
      <c r="N872" s="34">
        <f t="shared" si="402"/>
        <v>0</v>
      </c>
      <c r="O872" s="34">
        <f t="shared" si="402"/>
        <v>0</v>
      </c>
      <c r="P872" s="34">
        <f t="shared" si="402"/>
        <v>0</v>
      </c>
      <c r="Q872" s="34">
        <f t="shared" si="402"/>
        <v>0</v>
      </c>
      <c r="R872" s="34">
        <f t="shared" si="402"/>
        <v>0</v>
      </c>
      <c r="S872" s="34">
        <f t="shared" si="402"/>
        <v>0</v>
      </c>
      <c r="T872" s="34">
        <f t="shared" si="402"/>
        <v>0</v>
      </c>
      <c r="U872" s="34">
        <f t="shared" si="402"/>
        <v>0</v>
      </c>
      <c r="V872" s="34">
        <f t="shared" si="402"/>
        <v>0</v>
      </c>
      <c r="W872" s="34">
        <f t="shared" si="402"/>
        <v>0</v>
      </c>
      <c r="X872" s="34">
        <f t="shared" si="402"/>
        <v>0</v>
      </c>
      <c r="Y872" s="34">
        <f t="shared" si="402"/>
        <v>0</v>
      </c>
      <c r="Z872" s="34">
        <f t="shared" si="402"/>
        <v>0</v>
      </c>
      <c r="AA872" s="34">
        <f t="shared" si="402"/>
        <v>0</v>
      </c>
      <c r="AB872" s="34">
        <f t="shared" si="402"/>
        <v>0</v>
      </c>
      <c r="AC872" s="34">
        <f t="shared" si="402"/>
        <v>0</v>
      </c>
      <c r="AD872" s="34">
        <f t="shared" si="402"/>
        <v>0</v>
      </c>
      <c r="AE872" s="34">
        <f t="shared" si="402"/>
        <v>0</v>
      </c>
      <c r="AF872" s="34">
        <f t="shared" si="402"/>
        <v>0</v>
      </c>
      <c r="AG872" s="34">
        <f t="shared" si="402"/>
        <v>0</v>
      </c>
      <c r="AH872" s="34">
        <f t="shared" si="402"/>
        <v>0</v>
      </c>
      <c r="AI872" s="34">
        <f t="shared" si="402"/>
        <v>0</v>
      </c>
      <c r="AJ872" s="34">
        <f t="shared" si="402"/>
        <v>0</v>
      </c>
      <c r="AK872" s="34">
        <f t="shared" si="402"/>
        <v>0</v>
      </c>
      <c r="AL872" s="34">
        <f t="shared" si="402"/>
        <v>0</v>
      </c>
      <c r="AM872" s="34">
        <f t="shared" si="402"/>
        <v>0</v>
      </c>
      <c r="AN872" s="34">
        <f t="shared" si="402"/>
        <v>0</v>
      </c>
      <c r="AO872" s="34"/>
      <c r="AP872" s="45">
        <f>AO867</f>
        <v>0</v>
      </c>
      <c r="AQ872" s="1"/>
    </row>
    <row r="873" ht="15.75" customHeight="1">
      <c r="A873" s="1"/>
      <c r="B873" s="32"/>
      <c r="C873" s="32" t="s">
        <v>298</v>
      </c>
      <c r="D873" s="32" t="s">
        <v>299</v>
      </c>
      <c r="E873" s="13"/>
      <c r="F873" s="14" t="s">
        <v>23</v>
      </c>
      <c r="G873" s="44"/>
      <c r="H873" s="34"/>
      <c r="I873" s="34">
        <f t="shared" ref="I873:AO873" si="403">H878</f>
        <v>0</v>
      </c>
      <c r="J873" s="34">
        <f t="shared" si="403"/>
        <v>0</v>
      </c>
      <c r="K873" s="34">
        <f t="shared" si="403"/>
        <v>0</v>
      </c>
      <c r="L873" s="34">
        <f t="shared" si="403"/>
        <v>0</v>
      </c>
      <c r="M873" s="34">
        <f t="shared" si="403"/>
        <v>0</v>
      </c>
      <c r="N873" s="34">
        <f t="shared" si="403"/>
        <v>0</v>
      </c>
      <c r="O873" s="34">
        <f t="shared" si="403"/>
        <v>0</v>
      </c>
      <c r="P873" s="34">
        <f t="shared" si="403"/>
        <v>0</v>
      </c>
      <c r="Q873" s="34">
        <f t="shared" si="403"/>
        <v>0</v>
      </c>
      <c r="R873" s="34">
        <f t="shared" si="403"/>
        <v>20</v>
      </c>
      <c r="S873" s="34">
        <f t="shared" si="403"/>
        <v>20</v>
      </c>
      <c r="T873" s="34">
        <f t="shared" si="403"/>
        <v>20</v>
      </c>
      <c r="U873" s="34">
        <f t="shared" si="403"/>
        <v>20</v>
      </c>
      <c r="V873" s="34">
        <f t="shared" si="403"/>
        <v>20</v>
      </c>
      <c r="W873" s="34">
        <f t="shared" si="403"/>
        <v>20</v>
      </c>
      <c r="X873" s="34">
        <f t="shared" si="403"/>
        <v>20</v>
      </c>
      <c r="Y873" s="34">
        <f t="shared" si="403"/>
        <v>20</v>
      </c>
      <c r="Z873" s="34">
        <f t="shared" si="403"/>
        <v>20</v>
      </c>
      <c r="AA873" s="34">
        <f t="shared" si="403"/>
        <v>0</v>
      </c>
      <c r="AB873" s="34">
        <f t="shared" si="403"/>
        <v>0</v>
      </c>
      <c r="AC873" s="34">
        <f t="shared" si="403"/>
        <v>0</v>
      </c>
      <c r="AD873" s="34">
        <f t="shared" si="403"/>
        <v>0</v>
      </c>
      <c r="AE873" s="34">
        <f t="shared" si="403"/>
        <v>0</v>
      </c>
      <c r="AF873" s="34">
        <f t="shared" si="403"/>
        <v>0</v>
      </c>
      <c r="AG873" s="34">
        <f t="shared" si="403"/>
        <v>0</v>
      </c>
      <c r="AH873" s="34">
        <f t="shared" si="403"/>
        <v>0</v>
      </c>
      <c r="AI873" s="34">
        <f t="shared" si="403"/>
        <v>0</v>
      </c>
      <c r="AJ873" s="34">
        <f t="shared" si="403"/>
        <v>0</v>
      </c>
      <c r="AK873" s="34">
        <f t="shared" si="403"/>
        <v>0</v>
      </c>
      <c r="AL873" s="34">
        <f t="shared" si="403"/>
        <v>0</v>
      </c>
      <c r="AM873" s="34">
        <f t="shared" si="403"/>
        <v>0</v>
      </c>
      <c r="AN873" s="34">
        <f t="shared" si="403"/>
        <v>0</v>
      </c>
      <c r="AO873" s="34">
        <f t="shared" si="403"/>
        <v>0</v>
      </c>
      <c r="AP873" s="54"/>
      <c r="AQ873" s="1"/>
    </row>
    <row r="874" ht="15.75" customHeight="1">
      <c r="A874" s="1"/>
      <c r="B874" s="35"/>
      <c r="C874" s="35"/>
      <c r="D874" s="35"/>
      <c r="E874" s="33" t="s">
        <v>94</v>
      </c>
      <c r="F874" s="36" t="s">
        <v>25</v>
      </c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>
        <v>20.0</v>
      </c>
      <c r="R874" s="37"/>
      <c r="S874" s="38"/>
      <c r="T874" s="37"/>
      <c r="U874" s="38"/>
      <c r="V874" s="37"/>
      <c r="W874" s="37"/>
      <c r="X874" s="37"/>
      <c r="Y874" s="37"/>
      <c r="Z874" s="37"/>
      <c r="AA874" s="37"/>
      <c r="AB874" s="37"/>
      <c r="AC874" s="37"/>
      <c r="AD874" s="38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9">
        <f t="shared" ref="AP874:AP877" si="404">SUM(H874:AO874)</f>
        <v>20</v>
      </c>
      <c r="AQ874" s="1"/>
    </row>
    <row r="875" ht="15.75" customHeight="1">
      <c r="A875" s="51"/>
      <c r="B875" s="35"/>
      <c r="C875" s="35"/>
      <c r="D875" s="35"/>
      <c r="E875" s="47"/>
      <c r="F875" s="40" t="s">
        <v>26</v>
      </c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8"/>
      <c r="T875" s="49"/>
      <c r="U875" s="48"/>
      <c r="V875" s="49"/>
      <c r="W875" s="49"/>
      <c r="X875" s="49"/>
      <c r="Y875" s="49"/>
      <c r="Z875" s="49">
        <v>20.0</v>
      </c>
      <c r="AA875" s="49"/>
      <c r="AB875" s="49"/>
      <c r="AC875" s="49"/>
      <c r="AD875" s="48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8"/>
      <c r="AP875" s="50">
        <f t="shared" si="404"/>
        <v>20</v>
      </c>
      <c r="AQ875" s="51"/>
    </row>
    <row r="876" ht="15.75" customHeight="1">
      <c r="A876" s="1"/>
      <c r="B876" s="35"/>
      <c r="C876" s="35"/>
      <c r="D876" s="35"/>
      <c r="E876" s="33" t="s">
        <v>27</v>
      </c>
      <c r="F876" s="41" t="s">
        <v>28</v>
      </c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8"/>
      <c r="T876" s="37"/>
      <c r="U876" s="38"/>
      <c r="V876" s="37"/>
      <c r="W876" s="37"/>
      <c r="X876" s="37"/>
      <c r="Y876" s="37"/>
      <c r="Z876" s="37"/>
      <c r="AA876" s="37"/>
      <c r="AB876" s="37"/>
      <c r="AC876" s="37"/>
      <c r="AD876" s="38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9">
        <f t="shared" si="404"/>
        <v>0</v>
      </c>
      <c r="AQ876" s="1"/>
    </row>
    <row r="877" ht="15.75" customHeight="1">
      <c r="A877" s="1"/>
      <c r="B877" s="35"/>
      <c r="C877" s="35"/>
      <c r="D877" s="35"/>
      <c r="E877" s="33"/>
      <c r="F877" s="41" t="s">
        <v>29</v>
      </c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8"/>
      <c r="T877" s="37"/>
      <c r="U877" s="38"/>
      <c r="V877" s="37"/>
      <c r="W877" s="37"/>
      <c r="X877" s="37"/>
      <c r="Y877" s="37"/>
      <c r="Z877" s="37"/>
      <c r="AA877" s="37"/>
      <c r="AB877" s="37"/>
      <c r="AC877" s="37"/>
      <c r="AD877" s="38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9">
        <f t="shared" si="404"/>
        <v>0</v>
      </c>
      <c r="AQ877" s="1"/>
    </row>
    <row r="878" ht="15.75" customHeight="1">
      <c r="A878" s="1"/>
      <c r="B878" s="42"/>
      <c r="C878" s="42"/>
      <c r="D878" s="42"/>
      <c r="E878" s="52"/>
      <c r="F878" s="43" t="s">
        <v>30</v>
      </c>
      <c r="G878" s="44"/>
      <c r="H878" s="34">
        <f t="shared" ref="H878:AN878" si="405">H873+H874-H875+H876-H877</f>
        <v>0</v>
      </c>
      <c r="I878" s="34">
        <f t="shared" si="405"/>
        <v>0</v>
      </c>
      <c r="J878" s="34">
        <f t="shared" si="405"/>
        <v>0</v>
      </c>
      <c r="K878" s="34">
        <f t="shared" si="405"/>
        <v>0</v>
      </c>
      <c r="L878" s="34">
        <f t="shared" si="405"/>
        <v>0</v>
      </c>
      <c r="M878" s="34">
        <f t="shared" si="405"/>
        <v>0</v>
      </c>
      <c r="N878" s="34">
        <f t="shared" si="405"/>
        <v>0</v>
      </c>
      <c r="O878" s="34">
        <f t="shared" si="405"/>
        <v>0</v>
      </c>
      <c r="P878" s="34">
        <f t="shared" si="405"/>
        <v>0</v>
      </c>
      <c r="Q878" s="34">
        <f t="shared" si="405"/>
        <v>20</v>
      </c>
      <c r="R878" s="34">
        <f t="shared" si="405"/>
        <v>20</v>
      </c>
      <c r="S878" s="34">
        <f t="shared" si="405"/>
        <v>20</v>
      </c>
      <c r="T878" s="34">
        <f t="shared" si="405"/>
        <v>20</v>
      </c>
      <c r="U878" s="34">
        <f t="shared" si="405"/>
        <v>20</v>
      </c>
      <c r="V878" s="34">
        <f t="shared" si="405"/>
        <v>20</v>
      </c>
      <c r="W878" s="34">
        <f t="shared" si="405"/>
        <v>20</v>
      </c>
      <c r="X878" s="34">
        <f t="shared" si="405"/>
        <v>20</v>
      </c>
      <c r="Y878" s="34">
        <f t="shared" si="405"/>
        <v>20</v>
      </c>
      <c r="Z878" s="34">
        <f t="shared" si="405"/>
        <v>0</v>
      </c>
      <c r="AA878" s="34">
        <f t="shared" si="405"/>
        <v>0</v>
      </c>
      <c r="AB878" s="34">
        <f t="shared" si="405"/>
        <v>0</v>
      </c>
      <c r="AC878" s="34">
        <f t="shared" si="405"/>
        <v>0</v>
      </c>
      <c r="AD878" s="34">
        <f t="shared" si="405"/>
        <v>0</v>
      </c>
      <c r="AE878" s="34">
        <f t="shared" si="405"/>
        <v>0</v>
      </c>
      <c r="AF878" s="34">
        <f t="shared" si="405"/>
        <v>0</v>
      </c>
      <c r="AG878" s="34">
        <f t="shared" si="405"/>
        <v>0</v>
      </c>
      <c r="AH878" s="34">
        <f t="shared" si="405"/>
        <v>0</v>
      </c>
      <c r="AI878" s="34">
        <f t="shared" si="405"/>
        <v>0</v>
      </c>
      <c r="AJ878" s="34">
        <f t="shared" si="405"/>
        <v>0</v>
      </c>
      <c r="AK878" s="34">
        <f t="shared" si="405"/>
        <v>0</v>
      </c>
      <c r="AL878" s="34">
        <f t="shared" si="405"/>
        <v>0</v>
      </c>
      <c r="AM878" s="34">
        <f t="shared" si="405"/>
        <v>0</v>
      </c>
      <c r="AN878" s="34">
        <f t="shared" si="405"/>
        <v>0</v>
      </c>
      <c r="AO878" s="34"/>
      <c r="AP878" s="45">
        <f>AO873</f>
        <v>0</v>
      </c>
      <c r="AQ878" s="1"/>
    </row>
    <row r="879" ht="15.75" customHeight="1">
      <c r="A879" s="1"/>
      <c r="B879" s="32"/>
      <c r="C879" s="32" t="s">
        <v>300</v>
      </c>
      <c r="D879" s="32" t="s">
        <v>301</v>
      </c>
      <c r="E879" s="13"/>
      <c r="F879" s="14" t="s">
        <v>23</v>
      </c>
      <c r="G879" s="44"/>
      <c r="H879" s="34" t="str">
        <f t="shared" ref="H879:AO879" si="406">G884</f>
        <v/>
      </c>
      <c r="I879" s="34">
        <f t="shared" si="406"/>
        <v>0</v>
      </c>
      <c r="J879" s="34">
        <f t="shared" si="406"/>
        <v>0</v>
      </c>
      <c r="K879" s="34">
        <f t="shared" si="406"/>
        <v>0</v>
      </c>
      <c r="L879" s="34">
        <f t="shared" si="406"/>
        <v>0</v>
      </c>
      <c r="M879" s="34">
        <f t="shared" si="406"/>
        <v>0</v>
      </c>
      <c r="N879" s="34">
        <f t="shared" si="406"/>
        <v>0</v>
      </c>
      <c r="O879" s="34">
        <f t="shared" si="406"/>
        <v>0</v>
      </c>
      <c r="P879" s="34">
        <f t="shared" si="406"/>
        <v>0</v>
      </c>
      <c r="Q879" s="34">
        <f t="shared" si="406"/>
        <v>0</v>
      </c>
      <c r="R879" s="34">
        <f t="shared" si="406"/>
        <v>0</v>
      </c>
      <c r="S879" s="34">
        <f t="shared" si="406"/>
        <v>0</v>
      </c>
      <c r="T879" s="34">
        <f t="shared" si="406"/>
        <v>0</v>
      </c>
      <c r="U879" s="34">
        <f t="shared" si="406"/>
        <v>0</v>
      </c>
      <c r="V879" s="34">
        <f t="shared" si="406"/>
        <v>0</v>
      </c>
      <c r="W879" s="34">
        <f t="shared" si="406"/>
        <v>0</v>
      </c>
      <c r="X879" s="34">
        <f t="shared" si="406"/>
        <v>0</v>
      </c>
      <c r="Y879" s="34">
        <f t="shared" si="406"/>
        <v>50</v>
      </c>
      <c r="Z879" s="34">
        <f t="shared" si="406"/>
        <v>50</v>
      </c>
      <c r="AA879" s="34">
        <f t="shared" si="406"/>
        <v>0</v>
      </c>
      <c r="AB879" s="34">
        <f t="shared" si="406"/>
        <v>0</v>
      </c>
      <c r="AC879" s="34">
        <f t="shared" si="406"/>
        <v>0</v>
      </c>
      <c r="AD879" s="34">
        <f t="shared" si="406"/>
        <v>0</v>
      </c>
      <c r="AE879" s="34">
        <f t="shared" si="406"/>
        <v>0</v>
      </c>
      <c r="AF879" s="34">
        <f t="shared" si="406"/>
        <v>0</v>
      </c>
      <c r="AG879" s="34">
        <f t="shared" si="406"/>
        <v>0</v>
      </c>
      <c r="AH879" s="34">
        <f t="shared" si="406"/>
        <v>0</v>
      </c>
      <c r="AI879" s="34">
        <f t="shared" si="406"/>
        <v>0</v>
      </c>
      <c r="AJ879" s="34">
        <f t="shared" si="406"/>
        <v>0</v>
      </c>
      <c r="AK879" s="34">
        <f t="shared" si="406"/>
        <v>0</v>
      </c>
      <c r="AL879" s="34">
        <f t="shared" si="406"/>
        <v>0</v>
      </c>
      <c r="AM879" s="34">
        <f t="shared" si="406"/>
        <v>0</v>
      </c>
      <c r="AN879" s="34">
        <f t="shared" si="406"/>
        <v>0</v>
      </c>
      <c r="AO879" s="34">
        <f t="shared" si="406"/>
        <v>0</v>
      </c>
      <c r="AP879" s="54"/>
      <c r="AQ879" s="1"/>
    </row>
    <row r="880" ht="15.75" customHeight="1">
      <c r="A880" s="1"/>
      <c r="B880" s="35"/>
      <c r="C880" s="35"/>
      <c r="D880" s="35"/>
      <c r="E880" s="33" t="s">
        <v>24</v>
      </c>
      <c r="F880" s="36" t="s">
        <v>25</v>
      </c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8"/>
      <c r="T880" s="37"/>
      <c r="U880" s="38"/>
      <c r="V880" s="37"/>
      <c r="W880" s="37"/>
      <c r="X880" s="37">
        <v>50.0</v>
      </c>
      <c r="Y880" s="37"/>
      <c r="Z880" s="37"/>
      <c r="AA880" s="37"/>
      <c r="AB880" s="37"/>
      <c r="AC880" s="37"/>
      <c r="AD880" s="38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9">
        <f t="shared" ref="AP880:AP883" si="407">SUM(H880:AO880)</f>
        <v>50</v>
      </c>
      <c r="AQ880" s="1"/>
    </row>
    <row r="881" ht="15.75" customHeight="1">
      <c r="A881" s="1"/>
      <c r="B881" s="35"/>
      <c r="C881" s="35"/>
      <c r="D881" s="35"/>
      <c r="E881" s="33"/>
      <c r="F881" s="40" t="s">
        <v>26</v>
      </c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8"/>
      <c r="T881" s="37"/>
      <c r="U881" s="38"/>
      <c r="V881" s="37"/>
      <c r="W881" s="37"/>
      <c r="X881" s="37"/>
      <c r="Y881" s="37"/>
      <c r="Z881" s="37">
        <v>50.0</v>
      </c>
      <c r="AA881" s="37"/>
      <c r="AB881" s="37"/>
      <c r="AC881" s="37"/>
      <c r="AD881" s="38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8"/>
      <c r="AP881" s="39">
        <f t="shared" si="407"/>
        <v>50</v>
      </c>
      <c r="AQ881" s="1"/>
    </row>
    <row r="882" ht="15.75" customHeight="1">
      <c r="A882" s="1"/>
      <c r="B882" s="35"/>
      <c r="C882" s="35"/>
      <c r="D882" s="35"/>
      <c r="E882" s="33" t="s">
        <v>27</v>
      </c>
      <c r="F882" s="41" t="s">
        <v>28</v>
      </c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8"/>
      <c r="T882" s="37"/>
      <c r="U882" s="38"/>
      <c r="V882" s="37"/>
      <c r="W882" s="37"/>
      <c r="X882" s="37"/>
      <c r="Y882" s="37"/>
      <c r="Z882" s="37"/>
      <c r="AA882" s="37"/>
      <c r="AB882" s="37"/>
      <c r="AC882" s="37"/>
      <c r="AD882" s="38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9">
        <f t="shared" si="407"/>
        <v>0</v>
      </c>
      <c r="AQ882" s="1"/>
    </row>
    <row r="883" ht="15.75" customHeight="1">
      <c r="A883" s="1"/>
      <c r="B883" s="35"/>
      <c r="C883" s="35"/>
      <c r="D883" s="35"/>
      <c r="E883" s="33"/>
      <c r="F883" s="41" t="s">
        <v>29</v>
      </c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8"/>
      <c r="T883" s="37"/>
      <c r="U883" s="38"/>
      <c r="V883" s="37"/>
      <c r="W883" s="37"/>
      <c r="X883" s="37"/>
      <c r="Y883" s="37"/>
      <c r="Z883" s="37"/>
      <c r="AA883" s="37"/>
      <c r="AB883" s="37"/>
      <c r="AC883" s="37"/>
      <c r="AD883" s="38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9">
        <f t="shared" si="407"/>
        <v>0</v>
      </c>
      <c r="AQ883" s="1"/>
    </row>
    <row r="884" ht="15.75" customHeight="1">
      <c r="A884" s="1"/>
      <c r="B884" s="42"/>
      <c r="C884" s="42"/>
      <c r="D884" s="42"/>
      <c r="E884" s="52"/>
      <c r="F884" s="43" t="s">
        <v>30</v>
      </c>
      <c r="G884" s="44"/>
      <c r="H884" s="34">
        <f t="shared" ref="H884:AN884" si="408">H879+H880-H881+H882-H883</f>
        <v>0</v>
      </c>
      <c r="I884" s="34">
        <f t="shared" si="408"/>
        <v>0</v>
      </c>
      <c r="J884" s="34">
        <f t="shared" si="408"/>
        <v>0</v>
      </c>
      <c r="K884" s="34">
        <f t="shared" si="408"/>
        <v>0</v>
      </c>
      <c r="L884" s="34">
        <f t="shared" si="408"/>
        <v>0</v>
      </c>
      <c r="M884" s="34">
        <f t="shared" si="408"/>
        <v>0</v>
      </c>
      <c r="N884" s="34">
        <f t="shared" si="408"/>
        <v>0</v>
      </c>
      <c r="O884" s="34">
        <f t="shared" si="408"/>
        <v>0</v>
      </c>
      <c r="P884" s="34">
        <f t="shared" si="408"/>
        <v>0</v>
      </c>
      <c r="Q884" s="34">
        <f t="shared" si="408"/>
        <v>0</v>
      </c>
      <c r="R884" s="34">
        <f t="shared" si="408"/>
        <v>0</v>
      </c>
      <c r="S884" s="34">
        <f t="shared" si="408"/>
        <v>0</v>
      </c>
      <c r="T884" s="34">
        <f t="shared" si="408"/>
        <v>0</v>
      </c>
      <c r="U884" s="34">
        <f t="shared" si="408"/>
        <v>0</v>
      </c>
      <c r="V884" s="34">
        <f t="shared" si="408"/>
        <v>0</v>
      </c>
      <c r="W884" s="34">
        <f t="shared" si="408"/>
        <v>0</v>
      </c>
      <c r="X884" s="34">
        <f t="shared" si="408"/>
        <v>50</v>
      </c>
      <c r="Y884" s="34">
        <f t="shared" si="408"/>
        <v>50</v>
      </c>
      <c r="Z884" s="34">
        <f t="shared" si="408"/>
        <v>0</v>
      </c>
      <c r="AA884" s="34">
        <f t="shared" si="408"/>
        <v>0</v>
      </c>
      <c r="AB884" s="34">
        <f t="shared" si="408"/>
        <v>0</v>
      </c>
      <c r="AC884" s="34">
        <f t="shared" si="408"/>
        <v>0</v>
      </c>
      <c r="AD884" s="34">
        <f t="shared" si="408"/>
        <v>0</v>
      </c>
      <c r="AE884" s="34">
        <f t="shared" si="408"/>
        <v>0</v>
      </c>
      <c r="AF884" s="34">
        <f t="shared" si="408"/>
        <v>0</v>
      </c>
      <c r="AG884" s="34">
        <f t="shared" si="408"/>
        <v>0</v>
      </c>
      <c r="AH884" s="34">
        <f t="shared" si="408"/>
        <v>0</v>
      </c>
      <c r="AI884" s="34">
        <f t="shared" si="408"/>
        <v>0</v>
      </c>
      <c r="AJ884" s="34">
        <f t="shared" si="408"/>
        <v>0</v>
      </c>
      <c r="AK884" s="34">
        <f t="shared" si="408"/>
        <v>0</v>
      </c>
      <c r="AL884" s="34">
        <f t="shared" si="408"/>
        <v>0</v>
      </c>
      <c r="AM884" s="34">
        <f t="shared" si="408"/>
        <v>0</v>
      </c>
      <c r="AN884" s="34">
        <f t="shared" si="408"/>
        <v>0</v>
      </c>
      <c r="AO884" s="34"/>
      <c r="AP884" s="45">
        <f>AO879</f>
        <v>0</v>
      </c>
      <c r="AQ884" s="1"/>
    </row>
    <row r="885" ht="15.75" customHeight="1">
      <c r="A885" s="1"/>
      <c r="B885" s="32"/>
      <c r="C885" s="32" t="s">
        <v>302</v>
      </c>
      <c r="D885" s="32" t="s">
        <v>303</v>
      </c>
      <c r="E885" s="13"/>
      <c r="F885" s="14" t="s">
        <v>23</v>
      </c>
      <c r="G885" s="44"/>
      <c r="H885" s="34">
        <v>0.0</v>
      </c>
      <c r="I885" s="34">
        <f t="shared" ref="I885:AO885" si="409">H890</f>
        <v>0</v>
      </c>
      <c r="J885" s="34">
        <f t="shared" si="409"/>
        <v>0</v>
      </c>
      <c r="K885" s="34">
        <f t="shared" si="409"/>
        <v>0</v>
      </c>
      <c r="L885" s="34">
        <f t="shared" si="409"/>
        <v>0</v>
      </c>
      <c r="M885" s="34">
        <f t="shared" si="409"/>
        <v>0</v>
      </c>
      <c r="N885" s="34">
        <f t="shared" si="409"/>
        <v>0</v>
      </c>
      <c r="O885" s="34">
        <f t="shared" si="409"/>
        <v>0</v>
      </c>
      <c r="P885" s="34">
        <f t="shared" si="409"/>
        <v>0</v>
      </c>
      <c r="Q885" s="34">
        <f t="shared" si="409"/>
        <v>0</v>
      </c>
      <c r="R885" s="34">
        <f t="shared" si="409"/>
        <v>0</v>
      </c>
      <c r="S885" s="34">
        <f t="shared" si="409"/>
        <v>0</v>
      </c>
      <c r="T885" s="34">
        <f t="shared" si="409"/>
        <v>0</v>
      </c>
      <c r="U885" s="34">
        <f t="shared" si="409"/>
        <v>0</v>
      </c>
      <c r="V885" s="34">
        <f t="shared" si="409"/>
        <v>0</v>
      </c>
      <c r="W885" s="34">
        <f t="shared" si="409"/>
        <v>0</v>
      </c>
      <c r="X885" s="34">
        <f t="shared" si="409"/>
        <v>0</v>
      </c>
      <c r="Y885" s="34">
        <f t="shared" si="409"/>
        <v>0</v>
      </c>
      <c r="Z885" s="34">
        <f t="shared" si="409"/>
        <v>0</v>
      </c>
      <c r="AA885" s="34">
        <f t="shared" si="409"/>
        <v>0</v>
      </c>
      <c r="AB885" s="34">
        <f t="shared" si="409"/>
        <v>0</v>
      </c>
      <c r="AC885" s="34">
        <f t="shared" si="409"/>
        <v>0</v>
      </c>
      <c r="AD885" s="34">
        <f t="shared" si="409"/>
        <v>0</v>
      </c>
      <c r="AE885" s="34">
        <f t="shared" si="409"/>
        <v>0</v>
      </c>
      <c r="AF885" s="34">
        <f t="shared" si="409"/>
        <v>0</v>
      </c>
      <c r="AG885" s="34">
        <f t="shared" si="409"/>
        <v>0</v>
      </c>
      <c r="AH885" s="34">
        <f t="shared" si="409"/>
        <v>0</v>
      </c>
      <c r="AI885" s="34">
        <f t="shared" si="409"/>
        <v>0</v>
      </c>
      <c r="AJ885" s="34">
        <f t="shared" si="409"/>
        <v>0</v>
      </c>
      <c r="AK885" s="34">
        <f t="shared" si="409"/>
        <v>0</v>
      </c>
      <c r="AL885" s="34">
        <f t="shared" si="409"/>
        <v>0</v>
      </c>
      <c r="AM885" s="34">
        <f t="shared" si="409"/>
        <v>0</v>
      </c>
      <c r="AN885" s="34">
        <f t="shared" si="409"/>
        <v>0</v>
      </c>
      <c r="AO885" s="34">
        <f t="shared" si="409"/>
        <v>0</v>
      </c>
      <c r="AP885" s="54"/>
      <c r="AQ885" s="1"/>
    </row>
    <row r="886" ht="15.75" customHeight="1">
      <c r="A886" s="1"/>
      <c r="B886" s="35"/>
      <c r="C886" s="35"/>
      <c r="D886" s="35"/>
      <c r="E886" s="33" t="s">
        <v>304</v>
      </c>
      <c r="F886" s="36" t="s">
        <v>25</v>
      </c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8"/>
      <c r="T886" s="37"/>
      <c r="U886" s="38"/>
      <c r="V886" s="37"/>
      <c r="W886" s="37"/>
      <c r="X886" s="37"/>
      <c r="Y886" s="37"/>
      <c r="Z886" s="37"/>
      <c r="AA886" s="37"/>
      <c r="AB886" s="37"/>
      <c r="AC886" s="37"/>
      <c r="AD886" s="38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9">
        <f t="shared" ref="AP886:AP889" si="410">SUM(H886:AO886)</f>
        <v>0</v>
      </c>
      <c r="AQ886" s="1"/>
    </row>
    <row r="887" ht="15.75" customHeight="1">
      <c r="A887" s="1"/>
      <c r="B887" s="35"/>
      <c r="C887" s="35"/>
      <c r="D887" s="35"/>
      <c r="E887" s="33"/>
      <c r="F887" s="40" t="s">
        <v>26</v>
      </c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8"/>
      <c r="T887" s="37"/>
      <c r="U887" s="38"/>
      <c r="V887" s="37"/>
      <c r="W887" s="37"/>
      <c r="X887" s="37"/>
      <c r="Y887" s="37"/>
      <c r="Z887" s="37"/>
      <c r="AA887" s="37"/>
      <c r="AB887" s="37"/>
      <c r="AC887" s="37"/>
      <c r="AD887" s="38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8"/>
      <c r="AP887" s="39">
        <f t="shared" si="410"/>
        <v>0</v>
      </c>
      <c r="AQ887" s="1"/>
    </row>
    <row r="888" ht="15.75" customHeight="1">
      <c r="A888" s="1"/>
      <c r="B888" s="35"/>
      <c r="C888" s="35"/>
      <c r="D888" s="35"/>
      <c r="E888" s="33" t="s">
        <v>27</v>
      </c>
      <c r="F888" s="41" t="s">
        <v>28</v>
      </c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8"/>
      <c r="T888" s="37"/>
      <c r="U888" s="38"/>
      <c r="V888" s="37"/>
      <c r="W888" s="37"/>
      <c r="X888" s="37"/>
      <c r="Y888" s="37"/>
      <c r="Z888" s="37"/>
      <c r="AA888" s="37"/>
      <c r="AB888" s="37"/>
      <c r="AC888" s="37"/>
      <c r="AD888" s="38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9">
        <f t="shared" si="410"/>
        <v>0</v>
      </c>
      <c r="AQ888" s="1"/>
    </row>
    <row r="889" ht="15.75" customHeight="1">
      <c r="A889" s="1"/>
      <c r="B889" s="35"/>
      <c r="C889" s="35"/>
      <c r="D889" s="35"/>
      <c r="E889" s="33"/>
      <c r="F889" s="41" t="s">
        <v>29</v>
      </c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8"/>
      <c r="T889" s="37"/>
      <c r="U889" s="38"/>
      <c r="V889" s="37"/>
      <c r="W889" s="37"/>
      <c r="X889" s="37"/>
      <c r="Y889" s="37"/>
      <c r="Z889" s="37"/>
      <c r="AA889" s="37"/>
      <c r="AB889" s="37"/>
      <c r="AC889" s="37"/>
      <c r="AD889" s="38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9">
        <f t="shared" si="410"/>
        <v>0</v>
      </c>
      <c r="AQ889" s="1"/>
    </row>
    <row r="890" ht="15.75" customHeight="1">
      <c r="A890" s="1"/>
      <c r="B890" s="42"/>
      <c r="C890" s="42"/>
      <c r="D890" s="42"/>
      <c r="E890" s="52"/>
      <c r="F890" s="43" t="s">
        <v>30</v>
      </c>
      <c r="G890" s="44"/>
      <c r="H890" s="34">
        <f t="shared" ref="H890:AN890" si="411">H885+H886-H887+H888-H889</f>
        <v>0</v>
      </c>
      <c r="I890" s="34">
        <f t="shared" si="411"/>
        <v>0</v>
      </c>
      <c r="J890" s="34">
        <f t="shared" si="411"/>
        <v>0</v>
      </c>
      <c r="K890" s="34">
        <f t="shared" si="411"/>
        <v>0</v>
      </c>
      <c r="L890" s="34">
        <f t="shared" si="411"/>
        <v>0</v>
      </c>
      <c r="M890" s="34">
        <f t="shared" si="411"/>
        <v>0</v>
      </c>
      <c r="N890" s="34">
        <f t="shared" si="411"/>
        <v>0</v>
      </c>
      <c r="O890" s="34">
        <f t="shared" si="411"/>
        <v>0</v>
      </c>
      <c r="P890" s="34">
        <f t="shared" si="411"/>
        <v>0</v>
      </c>
      <c r="Q890" s="34">
        <f t="shared" si="411"/>
        <v>0</v>
      </c>
      <c r="R890" s="34">
        <f t="shared" si="411"/>
        <v>0</v>
      </c>
      <c r="S890" s="34">
        <f t="shared" si="411"/>
        <v>0</v>
      </c>
      <c r="T890" s="34">
        <f t="shared" si="411"/>
        <v>0</v>
      </c>
      <c r="U890" s="34">
        <f t="shared" si="411"/>
        <v>0</v>
      </c>
      <c r="V890" s="34">
        <f t="shared" si="411"/>
        <v>0</v>
      </c>
      <c r="W890" s="34">
        <f t="shared" si="411"/>
        <v>0</v>
      </c>
      <c r="X890" s="34">
        <f t="shared" si="411"/>
        <v>0</v>
      </c>
      <c r="Y890" s="34">
        <f t="shared" si="411"/>
        <v>0</v>
      </c>
      <c r="Z890" s="34">
        <f t="shared" si="411"/>
        <v>0</v>
      </c>
      <c r="AA890" s="34">
        <f t="shared" si="411"/>
        <v>0</v>
      </c>
      <c r="AB890" s="34">
        <f t="shared" si="411"/>
        <v>0</v>
      </c>
      <c r="AC890" s="34">
        <f t="shared" si="411"/>
        <v>0</v>
      </c>
      <c r="AD890" s="34">
        <f t="shared" si="411"/>
        <v>0</v>
      </c>
      <c r="AE890" s="34">
        <f t="shared" si="411"/>
        <v>0</v>
      </c>
      <c r="AF890" s="34">
        <f t="shared" si="411"/>
        <v>0</v>
      </c>
      <c r="AG890" s="34">
        <f t="shared" si="411"/>
        <v>0</v>
      </c>
      <c r="AH890" s="34">
        <f t="shared" si="411"/>
        <v>0</v>
      </c>
      <c r="AI890" s="34">
        <f t="shared" si="411"/>
        <v>0</v>
      </c>
      <c r="AJ890" s="34">
        <f t="shared" si="411"/>
        <v>0</v>
      </c>
      <c r="AK890" s="34">
        <f t="shared" si="411"/>
        <v>0</v>
      </c>
      <c r="AL890" s="34">
        <f t="shared" si="411"/>
        <v>0</v>
      </c>
      <c r="AM890" s="34">
        <f t="shared" si="411"/>
        <v>0</v>
      </c>
      <c r="AN890" s="34">
        <f t="shared" si="411"/>
        <v>0</v>
      </c>
      <c r="AO890" s="34"/>
      <c r="AP890" s="45">
        <f>AO885</f>
        <v>0</v>
      </c>
      <c r="AQ890" s="1"/>
    </row>
    <row r="891" ht="15.75" customHeight="1">
      <c r="A891" s="1"/>
      <c r="B891" s="32"/>
      <c r="C891" s="32" t="s">
        <v>305</v>
      </c>
      <c r="D891" s="32" t="s">
        <v>106</v>
      </c>
      <c r="E891" s="13"/>
      <c r="F891" s="14" t="s">
        <v>23</v>
      </c>
      <c r="G891" s="44"/>
      <c r="H891" s="34">
        <v>0.0</v>
      </c>
      <c r="I891" s="34">
        <f t="shared" ref="I891:AO891" si="412">H896</f>
        <v>0</v>
      </c>
      <c r="J891" s="34">
        <f t="shared" si="412"/>
        <v>0</v>
      </c>
      <c r="K891" s="34">
        <f t="shared" si="412"/>
        <v>0</v>
      </c>
      <c r="L891" s="34">
        <f t="shared" si="412"/>
        <v>0</v>
      </c>
      <c r="M891" s="34">
        <f t="shared" si="412"/>
        <v>0</v>
      </c>
      <c r="N891" s="34">
        <f t="shared" si="412"/>
        <v>0</v>
      </c>
      <c r="O891" s="34">
        <f t="shared" si="412"/>
        <v>0</v>
      </c>
      <c r="P891" s="34">
        <f t="shared" si="412"/>
        <v>0</v>
      </c>
      <c r="Q891" s="34">
        <f t="shared" si="412"/>
        <v>0</v>
      </c>
      <c r="R891" s="34">
        <f t="shared" si="412"/>
        <v>0</v>
      </c>
      <c r="S891" s="34">
        <f t="shared" si="412"/>
        <v>0</v>
      </c>
      <c r="T891" s="34">
        <f t="shared" si="412"/>
        <v>0</v>
      </c>
      <c r="U891" s="34">
        <f t="shared" si="412"/>
        <v>0</v>
      </c>
      <c r="V891" s="34">
        <f t="shared" si="412"/>
        <v>0</v>
      </c>
      <c r="W891" s="34">
        <f t="shared" si="412"/>
        <v>0</v>
      </c>
      <c r="X891" s="34">
        <f t="shared" si="412"/>
        <v>0</v>
      </c>
      <c r="Y891" s="34">
        <f t="shared" si="412"/>
        <v>0</v>
      </c>
      <c r="Z891" s="34">
        <f t="shared" si="412"/>
        <v>0</v>
      </c>
      <c r="AA891" s="34">
        <f t="shared" si="412"/>
        <v>0</v>
      </c>
      <c r="AB891" s="34">
        <f t="shared" si="412"/>
        <v>0</v>
      </c>
      <c r="AC891" s="34">
        <f t="shared" si="412"/>
        <v>0</v>
      </c>
      <c r="AD891" s="34">
        <f t="shared" si="412"/>
        <v>0</v>
      </c>
      <c r="AE891" s="34">
        <f t="shared" si="412"/>
        <v>0</v>
      </c>
      <c r="AF891" s="34">
        <f t="shared" si="412"/>
        <v>0</v>
      </c>
      <c r="AG891" s="34">
        <f t="shared" si="412"/>
        <v>0</v>
      </c>
      <c r="AH891" s="34">
        <f t="shared" si="412"/>
        <v>0</v>
      </c>
      <c r="AI891" s="34">
        <f t="shared" si="412"/>
        <v>0</v>
      </c>
      <c r="AJ891" s="34">
        <f t="shared" si="412"/>
        <v>0</v>
      </c>
      <c r="AK891" s="34">
        <f t="shared" si="412"/>
        <v>0</v>
      </c>
      <c r="AL891" s="34">
        <f t="shared" si="412"/>
        <v>0</v>
      </c>
      <c r="AM891" s="34">
        <f t="shared" si="412"/>
        <v>0</v>
      </c>
      <c r="AN891" s="34">
        <f t="shared" si="412"/>
        <v>0</v>
      </c>
      <c r="AO891" s="34">
        <f t="shared" si="412"/>
        <v>0</v>
      </c>
      <c r="AP891" s="54"/>
      <c r="AQ891" s="1"/>
    </row>
    <row r="892" ht="15.75" customHeight="1">
      <c r="A892" s="1"/>
      <c r="B892" s="35"/>
      <c r="C892" s="35"/>
      <c r="D892" s="35"/>
      <c r="E892" s="33" t="s">
        <v>24</v>
      </c>
      <c r="F892" s="36" t="s">
        <v>25</v>
      </c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8"/>
      <c r="T892" s="37"/>
      <c r="U892" s="38"/>
      <c r="V892" s="37"/>
      <c r="W892" s="37"/>
      <c r="X892" s="37"/>
      <c r="Y892" s="37"/>
      <c r="Z892" s="37"/>
      <c r="AA892" s="37"/>
      <c r="AB892" s="37"/>
      <c r="AC892" s="37"/>
      <c r="AD892" s="38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9">
        <f t="shared" ref="AP892:AP895" si="413">SUM(H892:AO892)</f>
        <v>0</v>
      </c>
      <c r="AQ892" s="1"/>
    </row>
    <row r="893" ht="15.75" customHeight="1">
      <c r="A893" s="1"/>
      <c r="B893" s="35"/>
      <c r="C893" s="35"/>
      <c r="D893" s="35"/>
      <c r="E893" s="33"/>
      <c r="F893" s="40" t="s">
        <v>26</v>
      </c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8"/>
      <c r="T893" s="37"/>
      <c r="U893" s="38"/>
      <c r="V893" s="37"/>
      <c r="W893" s="37"/>
      <c r="X893" s="37"/>
      <c r="Y893" s="37"/>
      <c r="Z893" s="37"/>
      <c r="AA893" s="37"/>
      <c r="AB893" s="37"/>
      <c r="AC893" s="37"/>
      <c r="AD893" s="38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8"/>
      <c r="AP893" s="39">
        <f t="shared" si="413"/>
        <v>0</v>
      </c>
      <c r="AQ893" s="1"/>
    </row>
    <row r="894" ht="15.75" customHeight="1">
      <c r="A894" s="1"/>
      <c r="B894" s="35"/>
      <c r="C894" s="35"/>
      <c r="D894" s="35"/>
      <c r="E894" s="33" t="s">
        <v>27</v>
      </c>
      <c r="F894" s="41" t="s">
        <v>28</v>
      </c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8"/>
      <c r="T894" s="37"/>
      <c r="U894" s="38"/>
      <c r="V894" s="37"/>
      <c r="W894" s="37"/>
      <c r="X894" s="37"/>
      <c r="Y894" s="37"/>
      <c r="Z894" s="37"/>
      <c r="AA894" s="37"/>
      <c r="AB894" s="37"/>
      <c r="AC894" s="37"/>
      <c r="AD894" s="38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9">
        <f t="shared" si="413"/>
        <v>0</v>
      </c>
      <c r="AQ894" s="1"/>
    </row>
    <row r="895" ht="15.75" customHeight="1">
      <c r="A895" s="1"/>
      <c r="B895" s="35"/>
      <c r="C895" s="35"/>
      <c r="D895" s="35"/>
      <c r="E895" s="33"/>
      <c r="F895" s="41" t="s">
        <v>29</v>
      </c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8"/>
      <c r="T895" s="37"/>
      <c r="U895" s="38"/>
      <c r="V895" s="37"/>
      <c r="W895" s="37"/>
      <c r="X895" s="37"/>
      <c r="Y895" s="37"/>
      <c r="Z895" s="37"/>
      <c r="AA895" s="37"/>
      <c r="AB895" s="37"/>
      <c r="AC895" s="37"/>
      <c r="AD895" s="38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9">
        <f t="shared" si="413"/>
        <v>0</v>
      </c>
      <c r="AQ895" s="1"/>
    </row>
    <row r="896" ht="15.75" customHeight="1">
      <c r="A896" s="1"/>
      <c r="B896" s="42"/>
      <c r="C896" s="42"/>
      <c r="D896" s="42"/>
      <c r="E896" s="52"/>
      <c r="F896" s="43" t="s">
        <v>30</v>
      </c>
      <c r="G896" s="44"/>
      <c r="H896" s="34">
        <f t="shared" ref="H896:AN896" si="414">H891+H892-H893+H894-H895</f>
        <v>0</v>
      </c>
      <c r="I896" s="34">
        <f t="shared" si="414"/>
        <v>0</v>
      </c>
      <c r="J896" s="34">
        <f t="shared" si="414"/>
        <v>0</v>
      </c>
      <c r="K896" s="34">
        <f t="shared" si="414"/>
        <v>0</v>
      </c>
      <c r="L896" s="34">
        <f t="shared" si="414"/>
        <v>0</v>
      </c>
      <c r="M896" s="34">
        <f t="shared" si="414"/>
        <v>0</v>
      </c>
      <c r="N896" s="34">
        <f t="shared" si="414"/>
        <v>0</v>
      </c>
      <c r="O896" s="34">
        <f t="shared" si="414"/>
        <v>0</v>
      </c>
      <c r="P896" s="34">
        <f t="shared" si="414"/>
        <v>0</v>
      </c>
      <c r="Q896" s="34">
        <f t="shared" si="414"/>
        <v>0</v>
      </c>
      <c r="R896" s="34">
        <f t="shared" si="414"/>
        <v>0</v>
      </c>
      <c r="S896" s="34">
        <f t="shared" si="414"/>
        <v>0</v>
      </c>
      <c r="T896" s="34">
        <f t="shared" si="414"/>
        <v>0</v>
      </c>
      <c r="U896" s="34">
        <f t="shared" si="414"/>
        <v>0</v>
      </c>
      <c r="V896" s="34">
        <f t="shared" si="414"/>
        <v>0</v>
      </c>
      <c r="W896" s="34">
        <f t="shared" si="414"/>
        <v>0</v>
      </c>
      <c r="X896" s="34">
        <f t="shared" si="414"/>
        <v>0</v>
      </c>
      <c r="Y896" s="34">
        <f t="shared" si="414"/>
        <v>0</v>
      </c>
      <c r="Z896" s="34">
        <f t="shared" si="414"/>
        <v>0</v>
      </c>
      <c r="AA896" s="34">
        <f t="shared" si="414"/>
        <v>0</v>
      </c>
      <c r="AB896" s="34">
        <f t="shared" si="414"/>
        <v>0</v>
      </c>
      <c r="AC896" s="34">
        <f t="shared" si="414"/>
        <v>0</v>
      </c>
      <c r="AD896" s="34">
        <f t="shared" si="414"/>
        <v>0</v>
      </c>
      <c r="AE896" s="34">
        <f t="shared" si="414"/>
        <v>0</v>
      </c>
      <c r="AF896" s="34">
        <f t="shared" si="414"/>
        <v>0</v>
      </c>
      <c r="AG896" s="34">
        <f t="shared" si="414"/>
        <v>0</v>
      </c>
      <c r="AH896" s="34">
        <f t="shared" si="414"/>
        <v>0</v>
      </c>
      <c r="AI896" s="34">
        <f t="shared" si="414"/>
        <v>0</v>
      </c>
      <c r="AJ896" s="34">
        <f t="shared" si="414"/>
        <v>0</v>
      </c>
      <c r="AK896" s="34">
        <f t="shared" si="414"/>
        <v>0</v>
      </c>
      <c r="AL896" s="34">
        <f t="shared" si="414"/>
        <v>0</v>
      </c>
      <c r="AM896" s="34">
        <f t="shared" si="414"/>
        <v>0</v>
      </c>
      <c r="AN896" s="34">
        <f t="shared" si="414"/>
        <v>0</v>
      </c>
      <c r="AO896" s="34"/>
      <c r="AP896" s="45">
        <f>AO891</f>
        <v>0</v>
      </c>
      <c r="AQ896" s="1"/>
    </row>
    <row r="897" ht="15.75" customHeight="1">
      <c r="A897" s="1"/>
      <c r="B897" s="32"/>
      <c r="C897" s="32" t="s">
        <v>306</v>
      </c>
      <c r="D897" s="32" t="s">
        <v>47</v>
      </c>
      <c r="E897" s="13"/>
      <c r="F897" s="14" t="s">
        <v>23</v>
      </c>
      <c r="G897" s="44"/>
      <c r="H897" s="34">
        <v>0.0</v>
      </c>
      <c r="I897" s="34">
        <f t="shared" ref="I897:AO897" si="415">H902</f>
        <v>0</v>
      </c>
      <c r="J897" s="34">
        <f t="shared" si="415"/>
        <v>0</v>
      </c>
      <c r="K897" s="34">
        <f t="shared" si="415"/>
        <v>0</v>
      </c>
      <c r="L897" s="34">
        <f t="shared" si="415"/>
        <v>0</v>
      </c>
      <c r="M897" s="34">
        <f t="shared" si="415"/>
        <v>0</v>
      </c>
      <c r="N897" s="34">
        <f t="shared" si="415"/>
        <v>0</v>
      </c>
      <c r="O897" s="34">
        <f t="shared" si="415"/>
        <v>0</v>
      </c>
      <c r="P897" s="34">
        <f t="shared" si="415"/>
        <v>0</v>
      </c>
      <c r="Q897" s="34">
        <f t="shared" si="415"/>
        <v>0</v>
      </c>
      <c r="R897" s="34">
        <f t="shared" si="415"/>
        <v>0</v>
      </c>
      <c r="S897" s="34">
        <f t="shared" si="415"/>
        <v>0</v>
      </c>
      <c r="T897" s="34">
        <f t="shared" si="415"/>
        <v>0</v>
      </c>
      <c r="U897" s="34">
        <f t="shared" si="415"/>
        <v>0</v>
      </c>
      <c r="V897" s="34">
        <f t="shared" si="415"/>
        <v>0</v>
      </c>
      <c r="W897" s="34">
        <f t="shared" si="415"/>
        <v>0</v>
      </c>
      <c r="X897" s="34">
        <f t="shared" si="415"/>
        <v>0</v>
      </c>
      <c r="Y897" s="34">
        <f t="shared" si="415"/>
        <v>0</v>
      </c>
      <c r="Z897" s="34">
        <f t="shared" si="415"/>
        <v>0</v>
      </c>
      <c r="AA897" s="34">
        <f t="shared" si="415"/>
        <v>0</v>
      </c>
      <c r="AB897" s="34">
        <f t="shared" si="415"/>
        <v>0</v>
      </c>
      <c r="AC897" s="34">
        <f t="shared" si="415"/>
        <v>0</v>
      </c>
      <c r="AD897" s="34">
        <f t="shared" si="415"/>
        <v>0</v>
      </c>
      <c r="AE897" s="34">
        <f t="shared" si="415"/>
        <v>0</v>
      </c>
      <c r="AF897" s="34">
        <f t="shared" si="415"/>
        <v>0</v>
      </c>
      <c r="AG897" s="34">
        <f t="shared" si="415"/>
        <v>0</v>
      </c>
      <c r="AH897" s="34">
        <f t="shared" si="415"/>
        <v>0</v>
      </c>
      <c r="AI897" s="34">
        <f t="shared" si="415"/>
        <v>0</v>
      </c>
      <c r="AJ897" s="34">
        <f t="shared" si="415"/>
        <v>0</v>
      </c>
      <c r="AK897" s="34">
        <f t="shared" si="415"/>
        <v>0</v>
      </c>
      <c r="AL897" s="34">
        <f t="shared" si="415"/>
        <v>0</v>
      </c>
      <c r="AM897" s="34">
        <f t="shared" si="415"/>
        <v>0</v>
      </c>
      <c r="AN897" s="34">
        <f t="shared" si="415"/>
        <v>0</v>
      </c>
      <c r="AO897" s="34">
        <f t="shared" si="415"/>
        <v>0</v>
      </c>
      <c r="AP897" s="54"/>
      <c r="AQ897" s="1"/>
    </row>
    <row r="898" ht="15.75" customHeight="1">
      <c r="A898" s="1"/>
      <c r="B898" s="35"/>
      <c r="C898" s="35"/>
      <c r="D898" s="35"/>
      <c r="E898" s="33" t="s">
        <v>24</v>
      </c>
      <c r="F898" s="36" t="s">
        <v>25</v>
      </c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8"/>
      <c r="T898" s="37"/>
      <c r="U898" s="38"/>
      <c r="V898" s="37"/>
      <c r="W898" s="37"/>
      <c r="X898" s="37"/>
      <c r="Y898" s="37"/>
      <c r="Z898" s="37"/>
      <c r="AA898" s="37"/>
      <c r="AB898" s="37"/>
      <c r="AC898" s="37"/>
      <c r="AD898" s="38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9">
        <f t="shared" ref="AP898:AP901" si="416">SUM(H898:AO898)</f>
        <v>0</v>
      </c>
      <c r="AQ898" s="1"/>
    </row>
    <row r="899" ht="15.75" customHeight="1">
      <c r="A899" s="1"/>
      <c r="B899" s="35"/>
      <c r="C899" s="35"/>
      <c r="D899" s="35"/>
      <c r="E899" s="33"/>
      <c r="F899" s="40" t="s">
        <v>26</v>
      </c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8"/>
      <c r="T899" s="37"/>
      <c r="U899" s="38"/>
      <c r="V899" s="37"/>
      <c r="W899" s="37"/>
      <c r="X899" s="37"/>
      <c r="Y899" s="37"/>
      <c r="Z899" s="37"/>
      <c r="AA899" s="37"/>
      <c r="AB899" s="37"/>
      <c r="AC899" s="37"/>
      <c r="AD899" s="38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8"/>
      <c r="AP899" s="39">
        <f t="shared" si="416"/>
        <v>0</v>
      </c>
      <c r="AQ899" s="1"/>
    </row>
    <row r="900" ht="15.75" customHeight="1">
      <c r="A900" s="1"/>
      <c r="B900" s="35"/>
      <c r="C900" s="35"/>
      <c r="D900" s="35"/>
      <c r="E900" s="33" t="s">
        <v>27</v>
      </c>
      <c r="F900" s="41" t="s">
        <v>28</v>
      </c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8"/>
      <c r="T900" s="37"/>
      <c r="U900" s="38"/>
      <c r="V900" s="37"/>
      <c r="W900" s="37"/>
      <c r="X900" s="37"/>
      <c r="Y900" s="37"/>
      <c r="Z900" s="37"/>
      <c r="AA900" s="37"/>
      <c r="AB900" s="37"/>
      <c r="AC900" s="37"/>
      <c r="AD900" s="38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9">
        <f t="shared" si="416"/>
        <v>0</v>
      </c>
      <c r="AQ900" s="1"/>
    </row>
    <row r="901" ht="15.75" customHeight="1">
      <c r="A901" s="1"/>
      <c r="B901" s="35"/>
      <c r="C901" s="35"/>
      <c r="D901" s="35"/>
      <c r="E901" s="33"/>
      <c r="F901" s="41" t="s">
        <v>29</v>
      </c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8"/>
      <c r="T901" s="37"/>
      <c r="U901" s="38"/>
      <c r="V901" s="37"/>
      <c r="W901" s="37"/>
      <c r="X901" s="37"/>
      <c r="Y901" s="37"/>
      <c r="Z901" s="37"/>
      <c r="AA901" s="37"/>
      <c r="AB901" s="37"/>
      <c r="AC901" s="37"/>
      <c r="AD901" s="38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9">
        <f t="shared" si="416"/>
        <v>0</v>
      </c>
      <c r="AQ901" s="1"/>
    </row>
    <row r="902" ht="15.75" customHeight="1">
      <c r="A902" s="1"/>
      <c r="B902" s="42"/>
      <c r="C902" s="42"/>
      <c r="D902" s="42"/>
      <c r="E902" s="52"/>
      <c r="F902" s="43" t="s">
        <v>30</v>
      </c>
      <c r="G902" s="44"/>
      <c r="H902" s="34">
        <f t="shared" ref="H902:AN902" si="417">H897+H898-H899+H900-H901</f>
        <v>0</v>
      </c>
      <c r="I902" s="34">
        <f t="shared" si="417"/>
        <v>0</v>
      </c>
      <c r="J902" s="34">
        <f t="shared" si="417"/>
        <v>0</v>
      </c>
      <c r="K902" s="34">
        <f t="shared" si="417"/>
        <v>0</v>
      </c>
      <c r="L902" s="34">
        <f t="shared" si="417"/>
        <v>0</v>
      </c>
      <c r="M902" s="34">
        <f t="shared" si="417"/>
        <v>0</v>
      </c>
      <c r="N902" s="34">
        <f t="shared" si="417"/>
        <v>0</v>
      </c>
      <c r="O902" s="34">
        <f t="shared" si="417"/>
        <v>0</v>
      </c>
      <c r="P902" s="34">
        <f t="shared" si="417"/>
        <v>0</v>
      </c>
      <c r="Q902" s="34">
        <f t="shared" si="417"/>
        <v>0</v>
      </c>
      <c r="R902" s="34">
        <f t="shared" si="417"/>
        <v>0</v>
      </c>
      <c r="S902" s="34">
        <f t="shared" si="417"/>
        <v>0</v>
      </c>
      <c r="T902" s="34">
        <f t="shared" si="417"/>
        <v>0</v>
      </c>
      <c r="U902" s="34">
        <f t="shared" si="417"/>
        <v>0</v>
      </c>
      <c r="V902" s="34">
        <f t="shared" si="417"/>
        <v>0</v>
      </c>
      <c r="W902" s="34">
        <f t="shared" si="417"/>
        <v>0</v>
      </c>
      <c r="X902" s="34">
        <f t="shared" si="417"/>
        <v>0</v>
      </c>
      <c r="Y902" s="34">
        <f t="shared" si="417"/>
        <v>0</v>
      </c>
      <c r="Z902" s="34">
        <f t="shared" si="417"/>
        <v>0</v>
      </c>
      <c r="AA902" s="34">
        <f t="shared" si="417"/>
        <v>0</v>
      </c>
      <c r="AB902" s="34">
        <f t="shared" si="417"/>
        <v>0</v>
      </c>
      <c r="AC902" s="34">
        <f t="shared" si="417"/>
        <v>0</v>
      </c>
      <c r="AD902" s="34">
        <f t="shared" si="417"/>
        <v>0</v>
      </c>
      <c r="AE902" s="34">
        <f t="shared" si="417"/>
        <v>0</v>
      </c>
      <c r="AF902" s="34">
        <f t="shared" si="417"/>
        <v>0</v>
      </c>
      <c r="AG902" s="34">
        <f t="shared" si="417"/>
        <v>0</v>
      </c>
      <c r="AH902" s="34">
        <f t="shared" si="417"/>
        <v>0</v>
      </c>
      <c r="AI902" s="34">
        <f t="shared" si="417"/>
        <v>0</v>
      </c>
      <c r="AJ902" s="34">
        <f t="shared" si="417"/>
        <v>0</v>
      </c>
      <c r="AK902" s="34">
        <f t="shared" si="417"/>
        <v>0</v>
      </c>
      <c r="AL902" s="34">
        <f t="shared" si="417"/>
        <v>0</v>
      </c>
      <c r="AM902" s="34">
        <f t="shared" si="417"/>
        <v>0</v>
      </c>
      <c r="AN902" s="34">
        <f t="shared" si="417"/>
        <v>0</v>
      </c>
      <c r="AO902" s="34"/>
      <c r="AP902" s="45">
        <f>AO897</f>
        <v>0</v>
      </c>
      <c r="AQ902" s="1"/>
    </row>
    <row r="903" ht="15.75" customHeight="1">
      <c r="A903" s="1"/>
      <c r="B903" s="70"/>
      <c r="C903" s="70"/>
      <c r="D903" s="70"/>
      <c r="E903" s="33"/>
      <c r="F903" s="14" t="s">
        <v>23</v>
      </c>
      <c r="G903" s="44"/>
      <c r="H903" s="34">
        <v>0.0</v>
      </c>
      <c r="I903" s="34">
        <f t="shared" ref="I903:AO903" si="418">H908</f>
        <v>0</v>
      </c>
      <c r="J903" s="34">
        <f t="shared" si="418"/>
        <v>0</v>
      </c>
      <c r="K903" s="34">
        <f t="shared" si="418"/>
        <v>0</v>
      </c>
      <c r="L903" s="34">
        <f t="shared" si="418"/>
        <v>0</v>
      </c>
      <c r="M903" s="34">
        <f t="shared" si="418"/>
        <v>0</v>
      </c>
      <c r="N903" s="34">
        <f t="shared" si="418"/>
        <v>0</v>
      </c>
      <c r="O903" s="34">
        <f t="shared" si="418"/>
        <v>0</v>
      </c>
      <c r="P903" s="34">
        <f t="shared" si="418"/>
        <v>0</v>
      </c>
      <c r="Q903" s="34">
        <f t="shared" si="418"/>
        <v>0</v>
      </c>
      <c r="R903" s="34">
        <f t="shared" si="418"/>
        <v>0</v>
      </c>
      <c r="S903" s="34">
        <f t="shared" si="418"/>
        <v>0</v>
      </c>
      <c r="T903" s="34">
        <f t="shared" si="418"/>
        <v>0</v>
      </c>
      <c r="U903" s="34">
        <f t="shared" si="418"/>
        <v>0</v>
      </c>
      <c r="V903" s="34">
        <f t="shared" si="418"/>
        <v>0</v>
      </c>
      <c r="W903" s="34">
        <f t="shared" si="418"/>
        <v>0</v>
      </c>
      <c r="X903" s="34">
        <f t="shared" si="418"/>
        <v>0</v>
      </c>
      <c r="Y903" s="34">
        <f t="shared" si="418"/>
        <v>0</v>
      </c>
      <c r="Z903" s="34">
        <f t="shared" si="418"/>
        <v>0</v>
      </c>
      <c r="AA903" s="34">
        <f t="shared" si="418"/>
        <v>0</v>
      </c>
      <c r="AB903" s="34">
        <f t="shared" si="418"/>
        <v>0</v>
      </c>
      <c r="AC903" s="34">
        <f t="shared" si="418"/>
        <v>0</v>
      </c>
      <c r="AD903" s="34">
        <f t="shared" si="418"/>
        <v>0</v>
      </c>
      <c r="AE903" s="34">
        <f t="shared" si="418"/>
        <v>0</v>
      </c>
      <c r="AF903" s="34">
        <f t="shared" si="418"/>
        <v>0</v>
      </c>
      <c r="AG903" s="34">
        <f t="shared" si="418"/>
        <v>0</v>
      </c>
      <c r="AH903" s="34">
        <f t="shared" si="418"/>
        <v>0</v>
      </c>
      <c r="AI903" s="34">
        <f t="shared" si="418"/>
        <v>0</v>
      </c>
      <c r="AJ903" s="34">
        <f t="shared" si="418"/>
        <v>0</v>
      </c>
      <c r="AK903" s="34">
        <f t="shared" si="418"/>
        <v>0</v>
      </c>
      <c r="AL903" s="34">
        <f t="shared" si="418"/>
        <v>0</v>
      </c>
      <c r="AM903" s="34">
        <f t="shared" si="418"/>
        <v>0</v>
      </c>
      <c r="AN903" s="34">
        <f t="shared" si="418"/>
        <v>0</v>
      </c>
      <c r="AO903" s="34">
        <f t="shared" si="418"/>
        <v>0</v>
      </c>
      <c r="AP903" s="45"/>
      <c r="AQ903" s="1"/>
    </row>
    <row r="904" ht="15.75" customHeight="1">
      <c r="A904" s="1"/>
      <c r="B904" s="70"/>
      <c r="C904" s="70"/>
      <c r="D904" s="70"/>
      <c r="E904" s="33" t="s">
        <v>94</v>
      </c>
      <c r="F904" s="36" t="s">
        <v>25</v>
      </c>
      <c r="G904" s="4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45"/>
      <c r="AQ904" s="1"/>
    </row>
    <row r="905" ht="15.75" customHeight="1">
      <c r="A905" s="51"/>
      <c r="B905" s="78"/>
      <c r="C905" s="78" t="s">
        <v>307</v>
      </c>
      <c r="D905" s="78" t="s">
        <v>308</v>
      </c>
      <c r="E905" s="47"/>
      <c r="F905" s="40" t="s">
        <v>26</v>
      </c>
      <c r="G905" s="66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96"/>
      <c r="AQ905" s="51"/>
    </row>
    <row r="906" ht="15.75" customHeight="1">
      <c r="A906" s="1"/>
      <c r="B906" s="70"/>
      <c r="C906" s="70"/>
      <c r="D906" s="70"/>
      <c r="E906" s="33" t="s">
        <v>27</v>
      </c>
      <c r="F906" s="41" t="s">
        <v>28</v>
      </c>
      <c r="G906" s="4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45"/>
      <c r="AQ906" s="1"/>
    </row>
    <row r="907" ht="15.75" customHeight="1">
      <c r="A907" s="1"/>
      <c r="B907" s="70"/>
      <c r="C907" s="70"/>
      <c r="D907" s="70"/>
      <c r="E907" s="33"/>
      <c r="F907" s="41" t="s">
        <v>29</v>
      </c>
      <c r="G907" s="4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45"/>
      <c r="AQ907" s="1"/>
    </row>
    <row r="908" ht="15.75" customHeight="1">
      <c r="A908" s="1"/>
      <c r="B908" s="70"/>
      <c r="C908" s="70"/>
      <c r="D908" s="70"/>
      <c r="E908" s="33"/>
      <c r="F908" s="43" t="s">
        <v>30</v>
      </c>
      <c r="G908" s="44"/>
      <c r="H908" s="34">
        <f t="shared" ref="H908:AN908" si="419">H903+H904-H905+H906-H907</f>
        <v>0</v>
      </c>
      <c r="I908" s="34">
        <f t="shared" si="419"/>
        <v>0</v>
      </c>
      <c r="J908" s="34">
        <f t="shared" si="419"/>
        <v>0</v>
      </c>
      <c r="K908" s="34">
        <f t="shared" si="419"/>
        <v>0</v>
      </c>
      <c r="L908" s="34">
        <f t="shared" si="419"/>
        <v>0</v>
      </c>
      <c r="M908" s="34">
        <f t="shared" si="419"/>
        <v>0</v>
      </c>
      <c r="N908" s="34">
        <f t="shared" si="419"/>
        <v>0</v>
      </c>
      <c r="O908" s="34">
        <f t="shared" si="419"/>
        <v>0</v>
      </c>
      <c r="P908" s="34">
        <f t="shared" si="419"/>
        <v>0</v>
      </c>
      <c r="Q908" s="34">
        <f t="shared" si="419"/>
        <v>0</v>
      </c>
      <c r="R908" s="34">
        <f t="shared" si="419"/>
        <v>0</v>
      </c>
      <c r="S908" s="34">
        <f t="shared" si="419"/>
        <v>0</v>
      </c>
      <c r="T908" s="34">
        <f t="shared" si="419"/>
        <v>0</v>
      </c>
      <c r="U908" s="34">
        <f t="shared" si="419"/>
        <v>0</v>
      </c>
      <c r="V908" s="34">
        <f t="shared" si="419"/>
        <v>0</v>
      </c>
      <c r="W908" s="34">
        <f t="shared" si="419"/>
        <v>0</v>
      </c>
      <c r="X908" s="34">
        <f t="shared" si="419"/>
        <v>0</v>
      </c>
      <c r="Y908" s="34">
        <f t="shared" si="419"/>
        <v>0</v>
      </c>
      <c r="Z908" s="34">
        <f t="shared" si="419"/>
        <v>0</v>
      </c>
      <c r="AA908" s="34">
        <f t="shared" si="419"/>
        <v>0</v>
      </c>
      <c r="AB908" s="34">
        <f t="shared" si="419"/>
        <v>0</v>
      </c>
      <c r="AC908" s="34">
        <f t="shared" si="419"/>
        <v>0</v>
      </c>
      <c r="AD908" s="34">
        <f t="shared" si="419"/>
        <v>0</v>
      </c>
      <c r="AE908" s="34">
        <f t="shared" si="419"/>
        <v>0</v>
      </c>
      <c r="AF908" s="34">
        <f t="shared" si="419"/>
        <v>0</v>
      </c>
      <c r="AG908" s="34">
        <f t="shared" si="419"/>
        <v>0</v>
      </c>
      <c r="AH908" s="34">
        <f t="shared" si="419"/>
        <v>0</v>
      </c>
      <c r="AI908" s="34">
        <f t="shared" si="419"/>
        <v>0</v>
      </c>
      <c r="AJ908" s="34">
        <f t="shared" si="419"/>
        <v>0</v>
      </c>
      <c r="AK908" s="34">
        <f t="shared" si="419"/>
        <v>0</v>
      </c>
      <c r="AL908" s="34">
        <f t="shared" si="419"/>
        <v>0</v>
      </c>
      <c r="AM908" s="34">
        <f t="shared" si="419"/>
        <v>0</v>
      </c>
      <c r="AN908" s="34">
        <f t="shared" si="419"/>
        <v>0</v>
      </c>
      <c r="AO908" s="34"/>
      <c r="AP908" s="45"/>
      <c r="AQ908" s="1"/>
    </row>
    <row r="909" ht="15.75" customHeight="1">
      <c r="A909" s="1"/>
      <c r="B909" s="32"/>
      <c r="C909" s="32" t="s">
        <v>309</v>
      </c>
      <c r="D909" s="32" t="s">
        <v>310</v>
      </c>
      <c r="E909" s="13"/>
      <c r="F909" s="14" t="s">
        <v>23</v>
      </c>
      <c r="G909" s="44"/>
      <c r="H909" s="34">
        <v>16.0</v>
      </c>
      <c r="I909" s="34">
        <f t="shared" ref="I909:AO909" si="420">H914</f>
        <v>16</v>
      </c>
      <c r="J909" s="34">
        <f t="shared" si="420"/>
        <v>16</v>
      </c>
      <c r="K909" s="34">
        <f t="shared" si="420"/>
        <v>16</v>
      </c>
      <c r="L909" s="34">
        <f t="shared" si="420"/>
        <v>16</v>
      </c>
      <c r="M909" s="34">
        <f t="shared" si="420"/>
        <v>16</v>
      </c>
      <c r="N909" s="34">
        <f t="shared" si="420"/>
        <v>16</v>
      </c>
      <c r="O909" s="34">
        <f t="shared" si="420"/>
        <v>16</v>
      </c>
      <c r="P909" s="34">
        <f t="shared" si="420"/>
        <v>16</v>
      </c>
      <c r="Q909" s="34">
        <f t="shared" si="420"/>
        <v>16</v>
      </c>
      <c r="R909" s="34">
        <f t="shared" si="420"/>
        <v>16</v>
      </c>
      <c r="S909" s="34">
        <f t="shared" si="420"/>
        <v>16</v>
      </c>
      <c r="T909" s="34">
        <f t="shared" si="420"/>
        <v>16</v>
      </c>
      <c r="U909" s="34">
        <f t="shared" si="420"/>
        <v>16</v>
      </c>
      <c r="V909" s="34">
        <f t="shared" si="420"/>
        <v>16</v>
      </c>
      <c r="W909" s="34">
        <f t="shared" si="420"/>
        <v>16</v>
      </c>
      <c r="X909" s="34">
        <f t="shared" si="420"/>
        <v>16</v>
      </c>
      <c r="Y909" s="34">
        <f t="shared" si="420"/>
        <v>16</v>
      </c>
      <c r="Z909" s="34">
        <f t="shared" si="420"/>
        <v>16</v>
      </c>
      <c r="AA909" s="34">
        <f t="shared" si="420"/>
        <v>16</v>
      </c>
      <c r="AB909" s="34">
        <f t="shared" si="420"/>
        <v>16</v>
      </c>
      <c r="AC909" s="34">
        <f t="shared" si="420"/>
        <v>16</v>
      </c>
      <c r="AD909" s="34">
        <f t="shared" si="420"/>
        <v>16</v>
      </c>
      <c r="AE909" s="34">
        <f t="shared" si="420"/>
        <v>16</v>
      </c>
      <c r="AF909" s="34">
        <f t="shared" si="420"/>
        <v>16</v>
      </c>
      <c r="AG909" s="34">
        <f t="shared" si="420"/>
        <v>16</v>
      </c>
      <c r="AH909" s="34">
        <f t="shared" si="420"/>
        <v>16</v>
      </c>
      <c r="AI909" s="34">
        <f t="shared" si="420"/>
        <v>16</v>
      </c>
      <c r="AJ909" s="34">
        <f t="shared" si="420"/>
        <v>16</v>
      </c>
      <c r="AK909" s="34">
        <f t="shared" si="420"/>
        <v>16</v>
      </c>
      <c r="AL909" s="34">
        <f t="shared" si="420"/>
        <v>16</v>
      </c>
      <c r="AM909" s="34">
        <f t="shared" si="420"/>
        <v>16</v>
      </c>
      <c r="AN909" s="34">
        <f t="shared" si="420"/>
        <v>16</v>
      </c>
      <c r="AO909" s="34">
        <f t="shared" si="420"/>
        <v>16</v>
      </c>
      <c r="AP909" s="54"/>
      <c r="AQ909" s="1"/>
    </row>
    <row r="910" ht="15.75" customHeight="1">
      <c r="A910" s="1"/>
      <c r="B910" s="35"/>
      <c r="C910" s="35"/>
      <c r="D910" s="35"/>
      <c r="E910" s="33" t="s">
        <v>24</v>
      </c>
      <c r="F910" s="36" t="s">
        <v>25</v>
      </c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8"/>
      <c r="T910" s="37"/>
      <c r="U910" s="38"/>
      <c r="V910" s="37"/>
      <c r="W910" s="37"/>
      <c r="X910" s="37"/>
      <c r="Y910" s="37"/>
      <c r="Z910" s="37"/>
      <c r="AA910" s="37"/>
      <c r="AB910" s="37"/>
      <c r="AC910" s="37"/>
      <c r="AD910" s="38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9">
        <f t="shared" ref="AP910:AP913" si="421">SUM(H910:AO910)</f>
        <v>0</v>
      </c>
      <c r="AQ910" s="1"/>
    </row>
    <row r="911" ht="15.75" customHeight="1">
      <c r="A911" s="51"/>
      <c r="B911" s="35"/>
      <c r="C911" s="35"/>
      <c r="D911" s="35"/>
      <c r="E911" s="47"/>
      <c r="F911" s="40" t="s">
        <v>26</v>
      </c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8"/>
      <c r="T911" s="49"/>
      <c r="U911" s="48"/>
      <c r="V911" s="49"/>
      <c r="W911" s="49"/>
      <c r="X911" s="49"/>
      <c r="Y911" s="49"/>
      <c r="Z911" s="49"/>
      <c r="AA911" s="49"/>
      <c r="AB911" s="49"/>
      <c r="AC911" s="49"/>
      <c r="AD911" s="48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8"/>
      <c r="AP911" s="50">
        <f t="shared" si="421"/>
        <v>0</v>
      </c>
      <c r="AQ911" s="51"/>
    </row>
    <row r="912" ht="15.75" customHeight="1">
      <c r="A912" s="1"/>
      <c r="B912" s="35"/>
      <c r="C912" s="35"/>
      <c r="D912" s="35"/>
      <c r="E912" s="33" t="s">
        <v>27</v>
      </c>
      <c r="F912" s="41" t="s">
        <v>28</v>
      </c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8"/>
      <c r="T912" s="37"/>
      <c r="U912" s="38"/>
      <c r="V912" s="37"/>
      <c r="W912" s="37"/>
      <c r="X912" s="37"/>
      <c r="Y912" s="37"/>
      <c r="Z912" s="37"/>
      <c r="AA912" s="37"/>
      <c r="AB912" s="37"/>
      <c r="AC912" s="37"/>
      <c r="AD912" s="38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9">
        <f t="shared" si="421"/>
        <v>0</v>
      </c>
      <c r="AQ912" s="1"/>
    </row>
    <row r="913" ht="15.75" customHeight="1">
      <c r="A913" s="1"/>
      <c r="B913" s="35"/>
      <c r="C913" s="35"/>
      <c r="D913" s="35"/>
      <c r="E913" s="33"/>
      <c r="F913" s="41" t="s">
        <v>29</v>
      </c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8"/>
      <c r="T913" s="37"/>
      <c r="U913" s="38"/>
      <c r="V913" s="37"/>
      <c r="W913" s="37"/>
      <c r="X913" s="37"/>
      <c r="Y913" s="37"/>
      <c r="Z913" s="37"/>
      <c r="AA913" s="37"/>
      <c r="AB913" s="37"/>
      <c r="AC913" s="37"/>
      <c r="AD913" s="38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9">
        <f t="shared" si="421"/>
        <v>0</v>
      </c>
      <c r="AQ913" s="1"/>
    </row>
    <row r="914" ht="15.75" customHeight="1">
      <c r="A914" s="1"/>
      <c r="B914" s="42"/>
      <c r="C914" s="42"/>
      <c r="D914" s="42"/>
      <c r="E914" s="52"/>
      <c r="F914" s="43" t="s">
        <v>30</v>
      </c>
      <c r="G914" s="44"/>
      <c r="H914" s="34">
        <f t="shared" ref="H914:AN914" si="422">H909+H910-H911+H912-H913</f>
        <v>16</v>
      </c>
      <c r="I914" s="34">
        <f t="shared" si="422"/>
        <v>16</v>
      </c>
      <c r="J914" s="34">
        <f t="shared" si="422"/>
        <v>16</v>
      </c>
      <c r="K914" s="34">
        <f t="shared" si="422"/>
        <v>16</v>
      </c>
      <c r="L914" s="34">
        <f t="shared" si="422"/>
        <v>16</v>
      </c>
      <c r="M914" s="34">
        <f t="shared" si="422"/>
        <v>16</v>
      </c>
      <c r="N914" s="34">
        <f t="shared" si="422"/>
        <v>16</v>
      </c>
      <c r="O914" s="34">
        <f t="shared" si="422"/>
        <v>16</v>
      </c>
      <c r="P914" s="34">
        <f t="shared" si="422"/>
        <v>16</v>
      </c>
      <c r="Q914" s="34">
        <f t="shared" si="422"/>
        <v>16</v>
      </c>
      <c r="R914" s="34">
        <f t="shared" si="422"/>
        <v>16</v>
      </c>
      <c r="S914" s="34">
        <f t="shared" si="422"/>
        <v>16</v>
      </c>
      <c r="T914" s="34">
        <f t="shared" si="422"/>
        <v>16</v>
      </c>
      <c r="U914" s="34">
        <f t="shared" si="422"/>
        <v>16</v>
      </c>
      <c r="V914" s="34">
        <f t="shared" si="422"/>
        <v>16</v>
      </c>
      <c r="W914" s="34">
        <f t="shared" si="422"/>
        <v>16</v>
      </c>
      <c r="X914" s="34">
        <f t="shared" si="422"/>
        <v>16</v>
      </c>
      <c r="Y914" s="34">
        <f t="shared" si="422"/>
        <v>16</v>
      </c>
      <c r="Z914" s="34">
        <f t="shared" si="422"/>
        <v>16</v>
      </c>
      <c r="AA914" s="34">
        <f t="shared" si="422"/>
        <v>16</v>
      </c>
      <c r="AB914" s="34">
        <f t="shared" si="422"/>
        <v>16</v>
      </c>
      <c r="AC914" s="34">
        <f t="shared" si="422"/>
        <v>16</v>
      </c>
      <c r="AD914" s="34">
        <f t="shared" si="422"/>
        <v>16</v>
      </c>
      <c r="AE914" s="34">
        <f t="shared" si="422"/>
        <v>16</v>
      </c>
      <c r="AF914" s="34">
        <f t="shared" si="422"/>
        <v>16</v>
      </c>
      <c r="AG914" s="34">
        <f t="shared" si="422"/>
        <v>16</v>
      </c>
      <c r="AH914" s="34">
        <f t="shared" si="422"/>
        <v>16</v>
      </c>
      <c r="AI914" s="34">
        <f t="shared" si="422"/>
        <v>16</v>
      </c>
      <c r="AJ914" s="34">
        <f t="shared" si="422"/>
        <v>16</v>
      </c>
      <c r="AK914" s="34">
        <f t="shared" si="422"/>
        <v>16</v>
      </c>
      <c r="AL914" s="34">
        <f t="shared" si="422"/>
        <v>16</v>
      </c>
      <c r="AM914" s="34">
        <f t="shared" si="422"/>
        <v>16</v>
      </c>
      <c r="AN914" s="34">
        <f t="shared" si="422"/>
        <v>16</v>
      </c>
      <c r="AO914" s="34"/>
      <c r="AP914" s="45">
        <f>AO909</f>
        <v>16</v>
      </c>
      <c r="AQ914" s="1"/>
    </row>
    <row r="915" ht="15.75" customHeight="1">
      <c r="A915" s="1"/>
      <c r="B915" s="32"/>
      <c r="C915" s="12" t="s">
        <v>311</v>
      </c>
      <c r="D915" s="32" t="s">
        <v>312</v>
      </c>
      <c r="E915" s="32" t="s">
        <v>313</v>
      </c>
      <c r="F915" s="14" t="s">
        <v>23</v>
      </c>
      <c r="G915" s="44"/>
      <c r="H915" s="34" t="str">
        <f t="shared" ref="H915:AO915" si="423">G920</f>
        <v/>
      </c>
      <c r="I915" s="34">
        <f t="shared" si="423"/>
        <v>0</v>
      </c>
      <c r="J915" s="34">
        <f t="shared" si="423"/>
        <v>0</v>
      </c>
      <c r="K915" s="34">
        <f t="shared" si="423"/>
        <v>0</v>
      </c>
      <c r="L915" s="34">
        <f t="shared" si="423"/>
        <v>0</v>
      </c>
      <c r="M915" s="34">
        <f t="shared" si="423"/>
        <v>0</v>
      </c>
      <c r="N915" s="34">
        <f t="shared" si="423"/>
        <v>0</v>
      </c>
      <c r="O915" s="34">
        <f t="shared" si="423"/>
        <v>0</v>
      </c>
      <c r="P915" s="34">
        <f t="shared" si="423"/>
        <v>0</v>
      </c>
      <c r="Q915" s="34">
        <f t="shared" si="423"/>
        <v>0</v>
      </c>
      <c r="R915" s="34">
        <f t="shared" si="423"/>
        <v>0</v>
      </c>
      <c r="S915" s="34">
        <f t="shared" si="423"/>
        <v>0</v>
      </c>
      <c r="T915" s="34">
        <f t="shared" si="423"/>
        <v>0</v>
      </c>
      <c r="U915" s="34">
        <f t="shared" si="423"/>
        <v>0</v>
      </c>
      <c r="V915" s="34">
        <f t="shared" si="423"/>
        <v>0</v>
      </c>
      <c r="W915" s="34">
        <f t="shared" si="423"/>
        <v>0</v>
      </c>
      <c r="X915" s="34">
        <f t="shared" si="423"/>
        <v>0</v>
      </c>
      <c r="Y915" s="34">
        <f t="shared" si="423"/>
        <v>0</v>
      </c>
      <c r="Z915" s="34">
        <f t="shared" si="423"/>
        <v>0</v>
      </c>
      <c r="AA915" s="34">
        <f t="shared" si="423"/>
        <v>0</v>
      </c>
      <c r="AB915" s="34">
        <f t="shared" si="423"/>
        <v>0</v>
      </c>
      <c r="AC915" s="34">
        <f t="shared" si="423"/>
        <v>0</v>
      </c>
      <c r="AD915" s="34">
        <f t="shared" si="423"/>
        <v>0</v>
      </c>
      <c r="AE915" s="34">
        <f t="shared" si="423"/>
        <v>0</v>
      </c>
      <c r="AF915" s="34">
        <f t="shared" si="423"/>
        <v>0</v>
      </c>
      <c r="AG915" s="34">
        <f t="shared" si="423"/>
        <v>0</v>
      </c>
      <c r="AH915" s="34">
        <f t="shared" si="423"/>
        <v>0</v>
      </c>
      <c r="AI915" s="34">
        <f t="shared" si="423"/>
        <v>0</v>
      </c>
      <c r="AJ915" s="34">
        <f t="shared" si="423"/>
        <v>0</v>
      </c>
      <c r="AK915" s="34">
        <f t="shared" si="423"/>
        <v>0</v>
      </c>
      <c r="AL915" s="34">
        <f t="shared" si="423"/>
        <v>0</v>
      </c>
      <c r="AM915" s="34">
        <f t="shared" si="423"/>
        <v>0</v>
      </c>
      <c r="AN915" s="34">
        <f t="shared" si="423"/>
        <v>0</v>
      </c>
      <c r="AO915" s="34">
        <f t="shared" si="423"/>
        <v>0</v>
      </c>
      <c r="AP915" s="54"/>
      <c r="AQ915" s="1"/>
    </row>
    <row r="916" ht="15.75" customHeight="1">
      <c r="A916" s="1"/>
      <c r="B916" s="35"/>
      <c r="C916" s="84"/>
      <c r="D916" s="35"/>
      <c r="E916" s="33" t="s">
        <v>24</v>
      </c>
      <c r="F916" s="36" t="s">
        <v>25</v>
      </c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8"/>
      <c r="T916" s="37"/>
      <c r="U916" s="38"/>
      <c r="V916" s="37"/>
      <c r="W916" s="37"/>
      <c r="X916" s="37"/>
      <c r="Y916" s="37"/>
      <c r="Z916" s="37"/>
      <c r="AA916" s="37"/>
      <c r="AB916" s="37"/>
      <c r="AC916" s="37"/>
      <c r="AD916" s="38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9">
        <f t="shared" ref="AP916:AP919" si="424">SUM(H916:AO916)</f>
        <v>0</v>
      </c>
      <c r="AQ916" s="1"/>
    </row>
    <row r="917" ht="15.75" customHeight="1">
      <c r="A917" s="1"/>
      <c r="B917" s="35"/>
      <c r="C917" s="84"/>
      <c r="D917" s="35"/>
      <c r="E917" s="33"/>
      <c r="F917" s="40" t="s">
        <v>26</v>
      </c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8"/>
      <c r="T917" s="37"/>
      <c r="U917" s="38"/>
      <c r="V917" s="37"/>
      <c r="W917" s="37"/>
      <c r="X917" s="37"/>
      <c r="Y917" s="37"/>
      <c r="Z917" s="37"/>
      <c r="AA917" s="37"/>
      <c r="AB917" s="37"/>
      <c r="AC917" s="37"/>
      <c r="AD917" s="38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9">
        <f t="shared" si="424"/>
        <v>0</v>
      </c>
      <c r="AQ917" s="1"/>
    </row>
    <row r="918" ht="15.75" customHeight="1">
      <c r="A918" s="1"/>
      <c r="B918" s="35"/>
      <c r="C918" s="84"/>
      <c r="D918" s="35"/>
      <c r="E918" s="33" t="s">
        <v>27</v>
      </c>
      <c r="F918" s="41" t="s">
        <v>28</v>
      </c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8"/>
      <c r="T918" s="37"/>
      <c r="U918" s="38"/>
      <c r="V918" s="37"/>
      <c r="W918" s="37"/>
      <c r="X918" s="37"/>
      <c r="Y918" s="37"/>
      <c r="Z918" s="37"/>
      <c r="AA918" s="37"/>
      <c r="AB918" s="37"/>
      <c r="AC918" s="37"/>
      <c r="AD918" s="38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9">
        <f t="shared" si="424"/>
        <v>0</v>
      </c>
      <c r="AQ918" s="1"/>
    </row>
    <row r="919" ht="15.75" customHeight="1">
      <c r="A919" s="1"/>
      <c r="B919" s="35"/>
      <c r="C919" s="84"/>
      <c r="D919" s="35"/>
      <c r="E919" s="33"/>
      <c r="F919" s="41" t="s">
        <v>29</v>
      </c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8"/>
      <c r="T919" s="37"/>
      <c r="U919" s="38"/>
      <c r="V919" s="37"/>
      <c r="W919" s="37"/>
      <c r="X919" s="37"/>
      <c r="Y919" s="37"/>
      <c r="Z919" s="37"/>
      <c r="AA919" s="37"/>
      <c r="AB919" s="37"/>
      <c r="AC919" s="37"/>
      <c r="AD919" s="38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9">
        <f t="shared" si="424"/>
        <v>0</v>
      </c>
      <c r="AQ919" s="1"/>
    </row>
    <row r="920" ht="15.75" customHeight="1">
      <c r="A920" s="1"/>
      <c r="B920" s="42"/>
      <c r="C920" s="18"/>
      <c r="D920" s="42"/>
      <c r="E920" s="19"/>
      <c r="F920" s="43" t="s">
        <v>30</v>
      </c>
      <c r="G920" s="44"/>
      <c r="H920" s="34">
        <f t="shared" ref="H920:AN920" si="425">H915+H916-H917+H918-H919</f>
        <v>0</v>
      </c>
      <c r="I920" s="34">
        <f t="shared" si="425"/>
        <v>0</v>
      </c>
      <c r="J920" s="34">
        <f t="shared" si="425"/>
        <v>0</v>
      </c>
      <c r="K920" s="34">
        <f t="shared" si="425"/>
        <v>0</v>
      </c>
      <c r="L920" s="34">
        <f t="shared" si="425"/>
        <v>0</v>
      </c>
      <c r="M920" s="34">
        <f t="shared" si="425"/>
        <v>0</v>
      </c>
      <c r="N920" s="34">
        <f t="shared" si="425"/>
        <v>0</v>
      </c>
      <c r="O920" s="34">
        <f t="shared" si="425"/>
        <v>0</v>
      </c>
      <c r="P920" s="34">
        <f t="shared" si="425"/>
        <v>0</v>
      </c>
      <c r="Q920" s="34">
        <f t="shared" si="425"/>
        <v>0</v>
      </c>
      <c r="R920" s="34">
        <f t="shared" si="425"/>
        <v>0</v>
      </c>
      <c r="S920" s="34">
        <f t="shared" si="425"/>
        <v>0</v>
      </c>
      <c r="T920" s="34">
        <f t="shared" si="425"/>
        <v>0</v>
      </c>
      <c r="U920" s="34">
        <f t="shared" si="425"/>
        <v>0</v>
      </c>
      <c r="V920" s="34">
        <f t="shared" si="425"/>
        <v>0</v>
      </c>
      <c r="W920" s="34">
        <f t="shared" si="425"/>
        <v>0</v>
      </c>
      <c r="X920" s="34">
        <f t="shared" si="425"/>
        <v>0</v>
      </c>
      <c r="Y920" s="34">
        <f t="shared" si="425"/>
        <v>0</v>
      </c>
      <c r="Z920" s="34">
        <f t="shared" si="425"/>
        <v>0</v>
      </c>
      <c r="AA920" s="34">
        <f t="shared" si="425"/>
        <v>0</v>
      </c>
      <c r="AB920" s="34">
        <f t="shared" si="425"/>
        <v>0</v>
      </c>
      <c r="AC920" s="34">
        <f t="shared" si="425"/>
        <v>0</v>
      </c>
      <c r="AD920" s="34">
        <f t="shared" si="425"/>
        <v>0</v>
      </c>
      <c r="AE920" s="34">
        <f t="shared" si="425"/>
        <v>0</v>
      </c>
      <c r="AF920" s="34">
        <f t="shared" si="425"/>
        <v>0</v>
      </c>
      <c r="AG920" s="34">
        <f t="shared" si="425"/>
        <v>0</v>
      </c>
      <c r="AH920" s="34">
        <f t="shared" si="425"/>
        <v>0</v>
      </c>
      <c r="AI920" s="34">
        <f t="shared" si="425"/>
        <v>0</v>
      </c>
      <c r="AJ920" s="34">
        <f t="shared" si="425"/>
        <v>0</v>
      </c>
      <c r="AK920" s="34">
        <f t="shared" si="425"/>
        <v>0</v>
      </c>
      <c r="AL920" s="34">
        <f t="shared" si="425"/>
        <v>0</v>
      </c>
      <c r="AM920" s="34">
        <f t="shared" si="425"/>
        <v>0</v>
      </c>
      <c r="AN920" s="34">
        <f t="shared" si="425"/>
        <v>0</v>
      </c>
      <c r="AO920" s="34"/>
      <c r="AP920" s="45">
        <f>AO915</f>
        <v>0</v>
      </c>
      <c r="AQ920" s="1"/>
    </row>
    <row r="921" ht="15.75" customHeight="1">
      <c r="A921" s="1"/>
      <c r="B921" s="32"/>
      <c r="C921" s="12" t="s">
        <v>314</v>
      </c>
      <c r="D921" s="32" t="s">
        <v>315</v>
      </c>
      <c r="E921" s="32" t="s">
        <v>313</v>
      </c>
      <c r="F921" s="14" t="s">
        <v>23</v>
      </c>
      <c r="G921" s="44"/>
      <c r="H921" s="34" t="str">
        <f t="shared" ref="H921:AO921" si="426">G926</f>
        <v/>
      </c>
      <c r="I921" s="34">
        <f t="shared" si="426"/>
        <v>0</v>
      </c>
      <c r="J921" s="34">
        <f t="shared" si="426"/>
        <v>0</v>
      </c>
      <c r="K921" s="34">
        <f t="shared" si="426"/>
        <v>0</v>
      </c>
      <c r="L921" s="34">
        <f t="shared" si="426"/>
        <v>0</v>
      </c>
      <c r="M921" s="34">
        <f t="shared" si="426"/>
        <v>0</v>
      </c>
      <c r="N921" s="34">
        <f t="shared" si="426"/>
        <v>0</v>
      </c>
      <c r="O921" s="34">
        <f t="shared" si="426"/>
        <v>0</v>
      </c>
      <c r="P921" s="34">
        <f t="shared" si="426"/>
        <v>0</v>
      </c>
      <c r="Q921" s="34">
        <f t="shared" si="426"/>
        <v>0</v>
      </c>
      <c r="R921" s="34">
        <f t="shared" si="426"/>
        <v>0</v>
      </c>
      <c r="S921" s="34">
        <f t="shared" si="426"/>
        <v>0</v>
      </c>
      <c r="T921" s="34">
        <f t="shared" si="426"/>
        <v>0</v>
      </c>
      <c r="U921" s="34">
        <f t="shared" si="426"/>
        <v>0</v>
      </c>
      <c r="V921" s="34">
        <f t="shared" si="426"/>
        <v>0</v>
      </c>
      <c r="W921" s="34">
        <f t="shared" si="426"/>
        <v>0</v>
      </c>
      <c r="X921" s="34">
        <f t="shared" si="426"/>
        <v>0</v>
      </c>
      <c r="Y921" s="34">
        <f t="shared" si="426"/>
        <v>0</v>
      </c>
      <c r="Z921" s="34">
        <f t="shared" si="426"/>
        <v>0</v>
      </c>
      <c r="AA921" s="34">
        <f t="shared" si="426"/>
        <v>0</v>
      </c>
      <c r="AB921" s="34">
        <f t="shared" si="426"/>
        <v>0</v>
      </c>
      <c r="AC921" s="34">
        <f t="shared" si="426"/>
        <v>0</v>
      </c>
      <c r="AD921" s="34">
        <f t="shared" si="426"/>
        <v>0</v>
      </c>
      <c r="AE921" s="34">
        <f t="shared" si="426"/>
        <v>0</v>
      </c>
      <c r="AF921" s="34">
        <f t="shared" si="426"/>
        <v>0</v>
      </c>
      <c r="AG921" s="34">
        <f t="shared" si="426"/>
        <v>0</v>
      </c>
      <c r="AH921" s="34">
        <f t="shared" si="426"/>
        <v>0</v>
      </c>
      <c r="AI921" s="34">
        <f t="shared" si="426"/>
        <v>0</v>
      </c>
      <c r="AJ921" s="34">
        <f t="shared" si="426"/>
        <v>0</v>
      </c>
      <c r="AK921" s="34">
        <f t="shared" si="426"/>
        <v>0</v>
      </c>
      <c r="AL921" s="34">
        <f t="shared" si="426"/>
        <v>0</v>
      </c>
      <c r="AM921" s="34">
        <f t="shared" si="426"/>
        <v>0</v>
      </c>
      <c r="AN921" s="34">
        <f t="shared" si="426"/>
        <v>0</v>
      </c>
      <c r="AO921" s="34">
        <f t="shared" si="426"/>
        <v>0</v>
      </c>
      <c r="AP921" s="54"/>
      <c r="AQ921" s="1"/>
    </row>
    <row r="922" ht="15.75" customHeight="1">
      <c r="A922" s="1"/>
      <c r="B922" s="35"/>
      <c r="C922" s="84"/>
      <c r="D922" s="35"/>
      <c r="E922" s="33" t="s">
        <v>24</v>
      </c>
      <c r="F922" s="36" t="s">
        <v>25</v>
      </c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8"/>
      <c r="T922" s="37"/>
      <c r="U922" s="38"/>
      <c r="V922" s="37"/>
      <c r="W922" s="37"/>
      <c r="X922" s="37"/>
      <c r="Y922" s="37"/>
      <c r="Z922" s="37"/>
      <c r="AA922" s="37"/>
      <c r="AB922" s="37"/>
      <c r="AC922" s="37"/>
      <c r="AD922" s="38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9">
        <f t="shared" ref="AP922:AP925" si="427">SUM(H922:AO922)</f>
        <v>0</v>
      </c>
      <c r="AQ922" s="1"/>
    </row>
    <row r="923" ht="15.75" customHeight="1">
      <c r="A923" s="1"/>
      <c r="B923" s="35"/>
      <c r="C923" s="84"/>
      <c r="D923" s="35"/>
      <c r="E923" s="33"/>
      <c r="F923" s="40" t="s">
        <v>26</v>
      </c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8"/>
      <c r="T923" s="37"/>
      <c r="U923" s="38"/>
      <c r="V923" s="37"/>
      <c r="W923" s="37"/>
      <c r="X923" s="37"/>
      <c r="Y923" s="37"/>
      <c r="Z923" s="37"/>
      <c r="AA923" s="37"/>
      <c r="AB923" s="37"/>
      <c r="AC923" s="37"/>
      <c r="AD923" s="38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9">
        <f t="shared" si="427"/>
        <v>0</v>
      </c>
      <c r="AQ923" s="1"/>
    </row>
    <row r="924" ht="15.75" customHeight="1">
      <c r="A924" s="1"/>
      <c r="B924" s="35"/>
      <c r="C924" s="84"/>
      <c r="D924" s="35"/>
      <c r="E924" s="33" t="s">
        <v>27</v>
      </c>
      <c r="F924" s="41" t="s">
        <v>28</v>
      </c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8"/>
      <c r="T924" s="37"/>
      <c r="U924" s="38"/>
      <c r="V924" s="37"/>
      <c r="W924" s="37"/>
      <c r="X924" s="37"/>
      <c r="Y924" s="37"/>
      <c r="Z924" s="37"/>
      <c r="AA924" s="37"/>
      <c r="AB924" s="37"/>
      <c r="AC924" s="37"/>
      <c r="AD924" s="38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9">
        <f t="shared" si="427"/>
        <v>0</v>
      </c>
      <c r="AQ924" s="1"/>
    </row>
    <row r="925" ht="15.75" customHeight="1">
      <c r="A925" s="1"/>
      <c r="B925" s="35"/>
      <c r="C925" s="84"/>
      <c r="D925" s="35"/>
      <c r="E925" s="33"/>
      <c r="F925" s="41" t="s">
        <v>29</v>
      </c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8"/>
      <c r="T925" s="37"/>
      <c r="U925" s="38"/>
      <c r="V925" s="37"/>
      <c r="W925" s="37"/>
      <c r="X925" s="37"/>
      <c r="Y925" s="37"/>
      <c r="Z925" s="37"/>
      <c r="AA925" s="37"/>
      <c r="AB925" s="37"/>
      <c r="AC925" s="37"/>
      <c r="AD925" s="38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9">
        <f t="shared" si="427"/>
        <v>0</v>
      </c>
      <c r="AQ925" s="1"/>
    </row>
    <row r="926" ht="15.75" customHeight="1">
      <c r="A926" s="1"/>
      <c r="B926" s="42"/>
      <c r="C926" s="18"/>
      <c r="D926" s="42"/>
      <c r="E926" s="19"/>
      <c r="F926" s="43" t="s">
        <v>30</v>
      </c>
      <c r="G926" s="44"/>
      <c r="H926" s="34">
        <f t="shared" ref="H926:AN926" si="428">H921+H922-H923+H924-H925</f>
        <v>0</v>
      </c>
      <c r="I926" s="34">
        <f t="shared" si="428"/>
        <v>0</v>
      </c>
      <c r="J926" s="34">
        <f t="shared" si="428"/>
        <v>0</v>
      </c>
      <c r="K926" s="34">
        <f t="shared" si="428"/>
        <v>0</v>
      </c>
      <c r="L926" s="34">
        <f t="shared" si="428"/>
        <v>0</v>
      </c>
      <c r="M926" s="34">
        <f t="shared" si="428"/>
        <v>0</v>
      </c>
      <c r="N926" s="34">
        <f t="shared" si="428"/>
        <v>0</v>
      </c>
      <c r="O926" s="34">
        <f t="shared" si="428"/>
        <v>0</v>
      </c>
      <c r="P926" s="34">
        <f t="shared" si="428"/>
        <v>0</v>
      </c>
      <c r="Q926" s="34">
        <f t="shared" si="428"/>
        <v>0</v>
      </c>
      <c r="R926" s="34">
        <f t="shared" si="428"/>
        <v>0</v>
      </c>
      <c r="S926" s="34">
        <f t="shared" si="428"/>
        <v>0</v>
      </c>
      <c r="T926" s="34">
        <f t="shared" si="428"/>
        <v>0</v>
      </c>
      <c r="U926" s="34">
        <f t="shared" si="428"/>
        <v>0</v>
      </c>
      <c r="V926" s="34">
        <f t="shared" si="428"/>
        <v>0</v>
      </c>
      <c r="W926" s="34">
        <f t="shared" si="428"/>
        <v>0</v>
      </c>
      <c r="X926" s="34">
        <f t="shared" si="428"/>
        <v>0</v>
      </c>
      <c r="Y926" s="34">
        <f t="shared" si="428"/>
        <v>0</v>
      </c>
      <c r="Z926" s="34">
        <f t="shared" si="428"/>
        <v>0</v>
      </c>
      <c r="AA926" s="34">
        <f t="shared" si="428"/>
        <v>0</v>
      </c>
      <c r="AB926" s="34">
        <f t="shared" si="428"/>
        <v>0</v>
      </c>
      <c r="AC926" s="34">
        <f t="shared" si="428"/>
        <v>0</v>
      </c>
      <c r="AD926" s="34">
        <f t="shared" si="428"/>
        <v>0</v>
      </c>
      <c r="AE926" s="34">
        <f t="shared" si="428"/>
        <v>0</v>
      </c>
      <c r="AF926" s="34">
        <f t="shared" si="428"/>
        <v>0</v>
      </c>
      <c r="AG926" s="34">
        <f t="shared" si="428"/>
        <v>0</v>
      </c>
      <c r="AH926" s="34">
        <f t="shared" si="428"/>
        <v>0</v>
      </c>
      <c r="AI926" s="34">
        <f t="shared" si="428"/>
        <v>0</v>
      </c>
      <c r="AJ926" s="34">
        <f t="shared" si="428"/>
        <v>0</v>
      </c>
      <c r="AK926" s="34">
        <f t="shared" si="428"/>
        <v>0</v>
      </c>
      <c r="AL926" s="34">
        <f t="shared" si="428"/>
        <v>0</v>
      </c>
      <c r="AM926" s="34">
        <f t="shared" si="428"/>
        <v>0</v>
      </c>
      <c r="AN926" s="34">
        <f t="shared" si="428"/>
        <v>0</v>
      </c>
      <c r="AO926" s="34"/>
      <c r="AP926" s="45">
        <f>AO921</f>
        <v>0</v>
      </c>
      <c r="AQ926" s="1"/>
    </row>
    <row r="927" ht="15.75" customHeight="1">
      <c r="A927" s="1"/>
      <c r="B927" s="32"/>
      <c r="C927" s="12" t="s">
        <v>316</v>
      </c>
      <c r="D927" s="32" t="s">
        <v>317</v>
      </c>
      <c r="E927" s="32"/>
      <c r="F927" s="14" t="s">
        <v>23</v>
      </c>
      <c r="G927" s="44"/>
      <c r="H927" s="34" t="str">
        <f t="shared" ref="H927:AO927" si="429">G932</f>
        <v/>
      </c>
      <c r="I927" s="34">
        <f t="shared" si="429"/>
        <v>0</v>
      </c>
      <c r="J927" s="34">
        <f t="shared" si="429"/>
        <v>0</v>
      </c>
      <c r="K927" s="34">
        <f t="shared" si="429"/>
        <v>0</v>
      </c>
      <c r="L927" s="34">
        <f t="shared" si="429"/>
        <v>0</v>
      </c>
      <c r="M927" s="34">
        <f t="shared" si="429"/>
        <v>0</v>
      </c>
      <c r="N927" s="34">
        <f t="shared" si="429"/>
        <v>0</v>
      </c>
      <c r="O927" s="34">
        <f t="shared" si="429"/>
        <v>0</v>
      </c>
      <c r="P927" s="34">
        <f t="shared" si="429"/>
        <v>0</v>
      </c>
      <c r="Q927" s="34">
        <f t="shared" si="429"/>
        <v>0</v>
      </c>
      <c r="R927" s="34">
        <f t="shared" si="429"/>
        <v>0</v>
      </c>
      <c r="S927" s="34">
        <f t="shared" si="429"/>
        <v>0</v>
      </c>
      <c r="T927" s="34">
        <f t="shared" si="429"/>
        <v>0</v>
      </c>
      <c r="U927" s="34">
        <f t="shared" si="429"/>
        <v>0</v>
      </c>
      <c r="V927" s="34">
        <f t="shared" si="429"/>
        <v>0</v>
      </c>
      <c r="W927" s="34">
        <f t="shared" si="429"/>
        <v>0</v>
      </c>
      <c r="X927" s="34">
        <f t="shared" si="429"/>
        <v>0</v>
      </c>
      <c r="Y927" s="34">
        <f t="shared" si="429"/>
        <v>0</v>
      </c>
      <c r="Z927" s="34">
        <f t="shared" si="429"/>
        <v>0</v>
      </c>
      <c r="AA927" s="34">
        <f t="shared" si="429"/>
        <v>0</v>
      </c>
      <c r="AB927" s="34">
        <f t="shared" si="429"/>
        <v>0</v>
      </c>
      <c r="AC927" s="34">
        <f t="shared" si="429"/>
        <v>0</v>
      </c>
      <c r="AD927" s="34">
        <f t="shared" si="429"/>
        <v>0</v>
      </c>
      <c r="AE927" s="34">
        <f t="shared" si="429"/>
        <v>0</v>
      </c>
      <c r="AF927" s="34">
        <f t="shared" si="429"/>
        <v>0</v>
      </c>
      <c r="AG927" s="34">
        <f t="shared" si="429"/>
        <v>0</v>
      </c>
      <c r="AH927" s="34">
        <f t="shared" si="429"/>
        <v>0</v>
      </c>
      <c r="AI927" s="34">
        <f t="shared" si="429"/>
        <v>0</v>
      </c>
      <c r="AJ927" s="34">
        <f t="shared" si="429"/>
        <v>0</v>
      </c>
      <c r="AK927" s="34">
        <f t="shared" si="429"/>
        <v>0</v>
      </c>
      <c r="AL927" s="34">
        <f t="shared" si="429"/>
        <v>0</v>
      </c>
      <c r="AM927" s="34">
        <f t="shared" si="429"/>
        <v>0</v>
      </c>
      <c r="AN927" s="34">
        <f t="shared" si="429"/>
        <v>0</v>
      </c>
      <c r="AO927" s="34">
        <f t="shared" si="429"/>
        <v>0</v>
      </c>
      <c r="AP927" s="54"/>
      <c r="AQ927" s="1"/>
    </row>
    <row r="928" ht="15.75" customHeight="1">
      <c r="A928" s="1"/>
      <c r="B928" s="35"/>
      <c r="C928" s="84"/>
      <c r="D928" s="35"/>
      <c r="E928" s="33" t="s">
        <v>24</v>
      </c>
      <c r="F928" s="36" t="s">
        <v>25</v>
      </c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8"/>
      <c r="T928" s="37"/>
      <c r="U928" s="38"/>
      <c r="V928" s="37"/>
      <c r="W928" s="37"/>
      <c r="X928" s="37"/>
      <c r="Y928" s="37"/>
      <c r="Z928" s="37"/>
      <c r="AA928" s="37"/>
      <c r="AB928" s="37"/>
      <c r="AC928" s="37"/>
      <c r="AD928" s="38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9">
        <f t="shared" ref="AP928:AP931" si="430">SUM(H928:AO928)</f>
        <v>0</v>
      </c>
      <c r="AQ928" s="1"/>
    </row>
    <row r="929" ht="15.75" customHeight="1">
      <c r="A929" s="1"/>
      <c r="B929" s="35"/>
      <c r="C929" s="84"/>
      <c r="D929" s="35"/>
      <c r="E929" s="33"/>
      <c r="F929" s="40" t="s">
        <v>26</v>
      </c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8"/>
      <c r="T929" s="37"/>
      <c r="U929" s="38"/>
      <c r="V929" s="37"/>
      <c r="W929" s="37"/>
      <c r="X929" s="37"/>
      <c r="Y929" s="37"/>
      <c r="Z929" s="37"/>
      <c r="AA929" s="37"/>
      <c r="AB929" s="37"/>
      <c r="AC929" s="37"/>
      <c r="AD929" s="38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9">
        <f t="shared" si="430"/>
        <v>0</v>
      </c>
      <c r="AQ929" s="1"/>
    </row>
    <row r="930" ht="15.75" customHeight="1">
      <c r="A930" s="1"/>
      <c r="B930" s="35"/>
      <c r="C930" s="84"/>
      <c r="D930" s="35"/>
      <c r="E930" s="33" t="s">
        <v>27</v>
      </c>
      <c r="F930" s="41" t="s">
        <v>28</v>
      </c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8"/>
      <c r="T930" s="37"/>
      <c r="U930" s="38"/>
      <c r="V930" s="37"/>
      <c r="W930" s="37"/>
      <c r="X930" s="37"/>
      <c r="Y930" s="37"/>
      <c r="Z930" s="37"/>
      <c r="AA930" s="37"/>
      <c r="AB930" s="37"/>
      <c r="AC930" s="37"/>
      <c r="AD930" s="38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9">
        <f t="shared" si="430"/>
        <v>0</v>
      </c>
      <c r="AQ930" s="1"/>
    </row>
    <row r="931" ht="15.75" customHeight="1">
      <c r="A931" s="1"/>
      <c r="B931" s="35"/>
      <c r="C931" s="84"/>
      <c r="D931" s="35"/>
      <c r="E931" s="33"/>
      <c r="F931" s="41" t="s">
        <v>29</v>
      </c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8"/>
      <c r="T931" s="37"/>
      <c r="U931" s="38"/>
      <c r="V931" s="37"/>
      <c r="W931" s="37"/>
      <c r="X931" s="37"/>
      <c r="Y931" s="37"/>
      <c r="Z931" s="37"/>
      <c r="AA931" s="37"/>
      <c r="AB931" s="37"/>
      <c r="AC931" s="37"/>
      <c r="AD931" s="38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9">
        <f t="shared" si="430"/>
        <v>0</v>
      </c>
      <c r="AQ931" s="1"/>
    </row>
    <row r="932" ht="15.75" customHeight="1">
      <c r="A932" s="1"/>
      <c r="B932" s="42"/>
      <c r="C932" s="18"/>
      <c r="D932" s="42"/>
      <c r="E932" s="19"/>
      <c r="F932" s="43" t="s">
        <v>30</v>
      </c>
      <c r="G932" s="44"/>
      <c r="H932" s="34">
        <f t="shared" ref="H932:AN932" si="431">H927+H928-H929+H930-H931</f>
        <v>0</v>
      </c>
      <c r="I932" s="34">
        <f t="shared" si="431"/>
        <v>0</v>
      </c>
      <c r="J932" s="34">
        <f t="shared" si="431"/>
        <v>0</v>
      </c>
      <c r="K932" s="34">
        <f t="shared" si="431"/>
        <v>0</v>
      </c>
      <c r="L932" s="34">
        <f t="shared" si="431"/>
        <v>0</v>
      </c>
      <c r="M932" s="34">
        <f t="shared" si="431"/>
        <v>0</v>
      </c>
      <c r="N932" s="34">
        <f t="shared" si="431"/>
        <v>0</v>
      </c>
      <c r="O932" s="34">
        <f t="shared" si="431"/>
        <v>0</v>
      </c>
      <c r="P932" s="34">
        <f t="shared" si="431"/>
        <v>0</v>
      </c>
      <c r="Q932" s="34">
        <f t="shared" si="431"/>
        <v>0</v>
      </c>
      <c r="R932" s="34">
        <f t="shared" si="431"/>
        <v>0</v>
      </c>
      <c r="S932" s="34">
        <f t="shared" si="431"/>
        <v>0</v>
      </c>
      <c r="T932" s="34">
        <f t="shared" si="431"/>
        <v>0</v>
      </c>
      <c r="U932" s="34">
        <f t="shared" si="431"/>
        <v>0</v>
      </c>
      <c r="V932" s="34">
        <f t="shared" si="431"/>
        <v>0</v>
      </c>
      <c r="W932" s="34">
        <f t="shared" si="431"/>
        <v>0</v>
      </c>
      <c r="X932" s="34">
        <f t="shared" si="431"/>
        <v>0</v>
      </c>
      <c r="Y932" s="34">
        <f t="shared" si="431"/>
        <v>0</v>
      </c>
      <c r="Z932" s="34">
        <f t="shared" si="431"/>
        <v>0</v>
      </c>
      <c r="AA932" s="34">
        <f t="shared" si="431"/>
        <v>0</v>
      </c>
      <c r="AB932" s="34">
        <f t="shared" si="431"/>
        <v>0</v>
      </c>
      <c r="AC932" s="34">
        <f t="shared" si="431"/>
        <v>0</v>
      </c>
      <c r="AD932" s="34">
        <f t="shared" si="431"/>
        <v>0</v>
      </c>
      <c r="AE932" s="34">
        <f t="shared" si="431"/>
        <v>0</v>
      </c>
      <c r="AF932" s="34">
        <f t="shared" si="431"/>
        <v>0</v>
      </c>
      <c r="AG932" s="34">
        <f t="shared" si="431"/>
        <v>0</v>
      </c>
      <c r="AH932" s="34">
        <f t="shared" si="431"/>
        <v>0</v>
      </c>
      <c r="AI932" s="34">
        <f t="shared" si="431"/>
        <v>0</v>
      </c>
      <c r="AJ932" s="34">
        <f t="shared" si="431"/>
        <v>0</v>
      </c>
      <c r="AK932" s="34">
        <f t="shared" si="431"/>
        <v>0</v>
      </c>
      <c r="AL932" s="34">
        <f t="shared" si="431"/>
        <v>0</v>
      </c>
      <c r="AM932" s="34">
        <f t="shared" si="431"/>
        <v>0</v>
      </c>
      <c r="AN932" s="34">
        <f t="shared" si="431"/>
        <v>0</v>
      </c>
      <c r="AO932" s="34"/>
      <c r="AP932" s="45">
        <f>AO927</f>
        <v>0</v>
      </c>
      <c r="AQ932" s="1"/>
    </row>
    <row r="933" ht="15.75" customHeight="1">
      <c r="A933" s="1"/>
      <c r="B933" s="32"/>
      <c r="C933" s="12" t="s">
        <v>318</v>
      </c>
      <c r="D933" s="32" t="s">
        <v>319</v>
      </c>
      <c r="E933" s="32"/>
      <c r="F933" s="14" t="s">
        <v>23</v>
      </c>
      <c r="G933" s="44"/>
      <c r="H933" s="34">
        <v>0.0</v>
      </c>
      <c r="I933" s="34">
        <f t="shared" ref="I933:AO933" si="432">H938</f>
        <v>0</v>
      </c>
      <c r="J933" s="34">
        <f t="shared" si="432"/>
        <v>0</v>
      </c>
      <c r="K933" s="34">
        <f t="shared" si="432"/>
        <v>0</v>
      </c>
      <c r="L933" s="34">
        <f t="shared" si="432"/>
        <v>0</v>
      </c>
      <c r="M933" s="34">
        <f t="shared" si="432"/>
        <v>0</v>
      </c>
      <c r="N933" s="34">
        <f t="shared" si="432"/>
        <v>0</v>
      </c>
      <c r="O933" s="34">
        <f t="shared" si="432"/>
        <v>0</v>
      </c>
      <c r="P933" s="34">
        <f t="shared" si="432"/>
        <v>0</v>
      </c>
      <c r="Q933" s="34">
        <f t="shared" si="432"/>
        <v>0</v>
      </c>
      <c r="R933" s="34">
        <f t="shared" si="432"/>
        <v>0</v>
      </c>
      <c r="S933" s="34">
        <f t="shared" si="432"/>
        <v>0</v>
      </c>
      <c r="T933" s="34">
        <f t="shared" si="432"/>
        <v>0</v>
      </c>
      <c r="U933" s="34">
        <f t="shared" si="432"/>
        <v>0</v>
      </c>
      <c r="V933" s="34">
        <f t="shared" si="432"/>
        <v>0</v>
      </c>
      <c r="W933" s="34">
        <f t="shared" si="432"/>
        <v>0</v>
      </c>
      <c r="X933" s="34">
        <f t="shared" si="432"/>
        <v>0</v>
      </c>
      <c r="Y933" s="34">
        <f t="shared" si="432"/>
        <v>0</v>
      </c>
      <c r="Z933" s="34">
        <f t="shared" si="432"/>
        <v>0</v>
      </c>
      <c r="AA933" s="34">
        <f t="shared" si="432"/>
        <v>0</v>
      </c>
      <c r="AB933" s="34">
        <f t="shared" si="432"/>
        <v>0</v>
      </c>
      <c r="AC933" s="34">
        <f t="shared" si="432"/>
        <v>0</v>
      </c>
      <c r="AD933" s="34">
        <f t="shared" si="432"/>
        <v>0</v>
      </c>
      <c r="AE933" s="34">
        <f t="shared" si="432"/>
        <v>0</v>
      </c>
      <c r="AF933" s="34">
        <f t="shared" si="432"/>
        <v>0</v>
      </c>
      <c r="AG933" s="34">
        <f t="shared" si="432"/>
        <v>0</v>
      </c>
      <c r="AH933" s="34">
        <f t="shared" si="432"/>
        <v>0</v>
      </c>
      <c r="AI933" s="34">
        <f t="shared" si="432"/>
        <v>0</v>
      </c>
      <c r="AJ933" s="34">
        <f t="shared" si="432"/>
        <v>0</v>
      </c>
      <c r="AK933" s="34">
        <f t="shared" si="432"/>
        <v>0</v>
      </c>
      <c r="AL933" s="34">
        <f t="shared" si="432"/>
        <v>0</v>
      </c>
      <c r="AM933" s="34">
        <f t="shared" si="432"/>
        <v>0</v>
      </c>
      <c r="AN933" s="34">
        <f t="shared" si="432"/>
        <v>0</v>
      </c>
      <c r="AO933" s="34">
        <f t="shared" si="432"/>
        <v>0</v>
      </c>
      <c r="AP933" s="54"/>
      <c r="AQ933" s="1"/>
    </row>
    <row r="934" ht="15.75" customHeight="1">
      <c r="A934" s="1"/>
      <c r="B934" s="35"/>
      <c r="C934" s="84"/>
      <c r="D934" s="35"/>
      <c r="E934" s="33" t="s">
        <v>24</v>
      </c>
      <c r="F934" s="36" t="s">
        <v>25</v>
      </c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8"/>
      <c r="T934" s="37"/>
      <c r="U934" s="38"/>
      <c r="V934" s="37"/>
      <c r="W934" s="37"/>
      <c r="X934" s="37"/>
      <c r="Y934" s="37"/>
      <c r="Z934" s="37"/>
      <c r="AA934" s="37"/>
      <c r="AB934" s="37"/>
      <c r="AC934" s="37"/>
      <c r="AD934" s="38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9">
        <f t="shared" ref="AP934:AP937" si="433">SUM(H934:AO934)</f>
        <v>0</v>
      </c>
      <c r="AQ934" s="1"/>
    </row>
    <row r="935" ht="15.75" customHeight="1">
      <c r="A935" s="1"/>
      <c r="B935" s="35"/>
      <c r="C935" s="84"/>
      <c r="D935" s="35"/>
      <c r="E935" s="33"/>
      <c r="F935" s="40" t="s">
        <v>26</v>
      </c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8"/>
      <c r="T935" s="37"/>
      <c r="U935" s="38"/>
      <c r="V935" s="37"/>
      <c r="W935" s="37"/>
      <c r="X935" s="37"/>
      <c r="Y935" s="37"/>
      <c r="Z935" s="37"/>
      <c r="AA935" s="37"/>
      <c r="AB935" s="37"/>
      <c r="AC935" s="37"/>
      <c r="AD935" s="38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9">
        <f t="shared" si="433"/>
        <v>0</v>
      </c>
      <c r="AQ935" s="1"/>
    </row>
    <row r="936" ht="15.75" customHeight="1">
      <c r="A936" s="1"/>
      <c r="B936" s="35"/>
      <c r="C936" s="84"/>
      <c r="D936" s="35"/>
      <c r="E936" s="33" t="s">
        <v>27</v>
      </c>
      <c r="F936" s="41" t="s">
        <v>28</v>
      </c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8"/>
      <c r="T936" s="37"/>
      <c r="U936" s="38"/>
      <c r="V936" s="37"/>
      <c r="W936" s="37"/>
      <c r="X936" s="37"/>
      <c r="Y936" s="37"/>
      <c r="Z936" s="37"/>
      <c r="AA936" s="37"/>
      <c r="AB936" s="37"/>
      <c r="AC936" s="37"/>
      <c r="AD936" s="38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9">
        <f t="shared" si="433"/>
        <v>0</v>
      </c>
      <c r="AQ936" s="1"/>
    </row>
    <row r="937" ht="15.75" customHeight="1">
      <c r="A937" s="1"/>
      <c r="B937" s="35"/>
      <c r="C937" s="84"/>
      <c r="D937" s="35"/>
      <c r="E937" s="33"/>
      <c r="F937" s="41" t="s">
        <v>29</v>
      </c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8"/>
      <c r="T937" s="37"/>
      <c r="U937" s="38"/>
      <c r="V937" s="37"/>
      <c r="W937" s="37"/>
      <c r="X937" s="37"/>
      <c r="Y937" s="37"/>
      <c r="Z937" s="37"/>
      <c r="AA937" s="37"/>
      <c r="AB937" s="37"/>
      <c r="AC937" s="37"/>
      <c r="AD937" s="38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9">
        <f t="shared" si="433"/>
        <v>0</v>
      </c>
      <c r="AQ937" s="1"/>
    </row>
    <row r="938" ht="15.75" customHeight="1">
      <c r="A938" s="1"/>
      <c r="B938" s="42"/>
      <c r="C938" s="18"/>
      <c r="D938" s="42"/>
      <c r="E938" s="19"/>
      <c r="F938" s="43" t="s">
        <v>30</v>
      </c>
      <c r="G938" s="44"/>
      <c r="H938" s="34">
        <f t="shared" ref="H938:AN938" si="434">H933+H934-H935+H936-H937</f>
        <v>0</v>
      </c>
      <c r="I938" s="34">
        <f t="shared" si="434"/>
        <v>0</v>
      </c>
      <c r="J938" s="34">
        <f t="shared" si="434"/>
        <v>0</v>
      </c>
      <c r="K938" s="34">
        <f t="shared" si="434"/>
        <v>0</v>
      </c>
      <c r="L938" s="34">
        <f t="shared" si="434"/>
        <v>0</v>
      </c>
      <c r="M938" s="34">
        <f t="shared" si="434"/>
        <v>0</v>
      </c>
      <c r="N938" s="34">
        <f t="shared" si="434"/>
        <v>0</v>
      </c>
      <c r="O938" s="34">
        <f t="shared" si="434"/>
        <v>0</v>
      </c>
      <c r="P938" s="34">
        <f t="shared" si="434"/>
        <v>0</v>
      </c>
      <c r="Q938" s="34">
        <f t="shared" si="434"/>
        <v>0</v>
      </c>
      <c r="R938" s="34">
        <f t="shared" si="434"/>
        <v>0</v>
      </c>
      <c r="S938" s="34">
        <f t="shared" si="434"/>
        <v>0</v>
      </c>
      <c r="T938" s="34">
        <f t="shared" si="434"/>
        <v>0</v>
      </c>
      <c r="U938" s="34">
        <f t="shared" si="434"/>
        <v>0</v>
      </c>
      <c r="V938" s="34">
        <f t="shared" si="434"/>
        <v>0</v>
      </c>
      <c r="W938" s="34">
        <f t="shared" si="434"/>
        <v>0</v>
      </c>
      <c r="X938" s="34">
        <f t="shared" si="434"/>
        <v>0</v>
      </c>
      <c r="Y938" s="34">
        <f t="shared" si="434"/>
        <v>0</v>
      </c>
      <c r="Z938" s="34">
        <f t="shared" si="434"/>
        <v>0</v>
      </c>
      <c r="AA938" s="34">
        <f t="shared" si="434"/>
        <v>0</v>
      </c>
      <c r="AB938" s="34">
        <f t="shared" si="434"/>
        <v>0</v>
      </c>
      <c r="AC938" s="34">
        <f t="shared" si="434"/>
        <v>0</v>
      </c>
      <c r="AD938" s="34">
        <f t="shared" si="434"/>
        <v>0</v>
      </c>
      <c r="AE938" s="34">
        <f t="shared" si="434"/>
        <v>0</v>
      </c>
      <c r="AF938" s="34">
        <f t="shared" si="434"/>
        <v>0</v>
      </c>
      <c r="AG938" s="34">
        <f t="shared" si="434"/>
        <v>0</v>
      </c>
      <c r="AH938" s="34">
        <f t="shared" si="434"/>
        <v>0</v>
      </c>
      <c r="AI938" s="34">
        <f t="shared" si="434"/>
        <v>0</v>
      </c>
      <c r="AJ938" s="34">
        <f t="shared" si="434"/>
        <v>0</v>
      </c>
      <c r="AK938" s="34">
        <f t="shared" si="434"/>
        <v>0</v>
      </c>
      <c r="AL938" s="34">
        <f t="shared" si="434"/>
        <v>0</v>
      </c>
      <c r="AM938" s="34">
        <f t="shared" si="434"/>
        <v>0</v>
      </c>
      <c r="AN938" s="34">
        <f t="shared" si="434"/>
        <v>0</v>
      </c>
      <c r="AO938" s="34"/>
      <c r="AP938" s="45">
        <f>AO933</f>
        <v>0</v>
      </c>
      <c r="AQ938" s="1"/>
    </row>
    <row r="939" ht="15.75" customHeight="1">
      <c r="A939" s="1"/>
      <c r="B939" s="32"/>
      <c r="C939" s="12" t="s">
        <v>320</v>
      </c>
      <c r="D939" s="32" t="s">
        <v>319</v>
      </c>
      <c r="E939" s="32"/>
      <c r="F939" s="14" t="s">
        <v>23</v>
      </c>
      <c r="G939" s="44"/>
      <c r="H939" s="34">
        <v>0.0</v>
      </c>
      <c r="I939" s="34">
        <f t="shared" ref="I939:AO939" si="435">H944</f>
        <v>0</v>
      </c>
      <c r="J939" s="34">
        <f t="shared" si="435"/>
        <v>0</v>
      </c>
      <c r="K939" s="34">
        <f t="shared" si="435"/>
        <v>0</v>
      </c>
      <c r="L939" s="34">
        <f t="shared" si="435"/>
        <v>0</v>
      </c>
      <c r="M939" s="34">
        <f t="shared" si="435"/>
        <v>0</v>
      </c>
      <c r="N939" s="34">
        <f t="shared" si="435"/>
        <v>0</v>
      </c>
      <c r="O939" s="34">
        <f t="shared" si="435"/>
        <v>0</v>
      </c>
      <c r="P939" s="34">
        <f t="shared" si="435"/>
        <v>0</v>
      </c>
      <c r="Q939" s="34">
        <f t="shared" si="435"/>
        <v>0</v>
      </c>
      <c r="R939" s="34">
        <f t="shared" si="435"/>
        <v>0</v>
      </c>
      <c r="S939" s="34">
        <f t="shared" si="435"/>
        <v>0</v>
      </c>
      <c r="T939" s="34">
        <f t="shared" si="435"/>
        <v>0</v>
      </c>
      <c r="U939" s="34">
        <f t="shared" si="435"/>
        <v>0</v>
      </c>
      <c r="V939" s="34">
        <f t="shared" si="435"/>
        <v>0</v>
      </c>
      <c r="W939" s="34">
        <f t="shared" si="435"/>
        <v>0</v>
      </c>
      <c r="X939" s="34">
        <f t="shared" si="435"/>
        <v>0</v>
      </c>
      <c r="Y939" s="34">
        <f t="shared" si="435"/>
        <v>0</v>
      </c>
      <c r="Z939" s="34">
        <f t="shared" si="435"/>
        <v>0</v>
      </c>
      <c r="AA939" s="34">
        <f t="shared" si="435"/>
        <v>0</v>
      </c>
      <c r="AB939" s="34">
        <f t="shared" si="435"/>
        <v>0</v>
      </c>
      <c r="AC939" s="34">
        <f t="shared" si="435"/>
        <v>0</v>
      </c>
      <c r="AD939" s="34">
        <f t="shared" si="435"/>
        <v>0</v>
      </c>
      <c r="AE939" s="34">
        <f t="shared" si="435"/>
        <v>0</v>
      </c>
      <c r="AF939" s="34">
        <f t="shared" si="435"/>
        <v>0</v>
      </c>
      <c r="AG939" s="34">
        <f t="shared" si="435"/>
        <v>0</v>
      </c>
      <c r="AH939" s="34">
        <f t="shared" si="435"/>
        <v>0</v>
      </c>
      <c r="AI939" s="34">
        <f t="shared" si="435"/>
        <v>0</v>
      </c>
      <c r="AJ939" s="34">
        <f t="shared" si="435"/>
        <v>0</v>
      </c>
      <c r="AK939" s="34">
        <f t="shared" si="435"/>
        <v>0</v>
      </c>
      <c r="AL939" s="34">
        <f t="shared" si="435"/>
        <v>0</v>
      </c>
      <c r="AM939" s="34">
        <f t="shared" si="435"/>
        <v>0</v>
      </c>
      <c r="AN939" s="34">
        <f t="shared" si="435"/>
        <v>0</v>
      </c>
      <c r="AO939" s="34">
        <f t="shared" si="435"/>
        <v>0</v>
      </c>
      <c r="AP939" s="54"/>
      <c r="AQ939" s="1"/>
    </row>
    <row r="940" ht="15.75" customHeight="1">
      <c r="A940" s="1"/>
      <c r="B940" s="35"/>
      <c r="C940" s="84"/>
      <c r="D940" s="35"/>
      <c r="E940" s="33" t="s">
        <v>24</v>
      </c>
      <c r="F940" s="36" t="s">
        <v>25</v>
      </c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8"/>
      <c r="T940" s="37"/>
      <c r="U940" s="38"/>
      <c r="V940" s="37"/>
      <c r="W940" s="37"/>
      <c r="X940" s="37"/>
      <c r="Y940" s="37"/>
      <c r="Z940" s="37"/>
      <c r="AA940" s="37"/>
      <c r="AB940" s="37"/>
      <c r="AC940" s="37"/>
      <c r="AD940" s="38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9">
        <f t="shared" ref="AP940:AP943" si="436">SUM(H940:AO940)</f>
        <v>0</v>
      </c>
      <c r="AQ940" s="1"/>
    </row>
    <row r="941" ht="15.75" customHeight="1">
      <c r="A941" s="51"/>
      <c r="B941" s="35"/>
      <c r="C941" s="84"/>
      <c r="D941" s="35"/>
      <c r="E941" s="47"/>
      <c r="F941" s="40" t="s">
        <v>26</v>
      </c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8"/>
      <c r="T941" s="49"/>
      <c r="U941" s="48"/>
      <c r="V941" s="49"/>
      <c r="W941" s="49"/>
      <c r="X941" s="49"/>
      <c r="Y941" s="49"/>
      <c r="Z941" s="49"/>
      <c r="AA941" s="49"/>
      <c r="AB941" s="49"/>
      <c r="AC941" s="49"/>
      <c r="AD941" s="48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50">
        <f t="shared" si="436"/>
        <v>0</v>
      </c>
      <c r="AQ941" s="51"/>
    </row>
    <row r="942" ht="15.75" customHeight="1">
      <c r="A942" s="1"/>
      <c r="B942" s="35"/>
      <c r="C942" s="84"/>
      <c r="D942" s="35"/>
      <c r="E942" s="33" t="s">
        <v>27</v>
      </c>
      <c r="F942" s="41" t="s">
        <v>28</v>
      </c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8"/>
      <c r="T942" s="37"/>
      <c r="U942" s="38"/>
      <c r="V942" s="37"/>
      <c r="W942" s="37"/>
      <c r="X942" s="37"/>
      <c r="Y942" s="37"/>
      <c r="Z942" s="37"/>
      <c r="AA942" s="37"/>
      <c r="AB942" s="37"/>
      <c r="AC942" s="37"/>
      <c r="AD942" s="38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9">
        <f t="shared" si="436"/>
        <v>0</v>
      </c>
      <c r="AQ942" s="1"/>
    </row>
    <row r="943" ht="15.75" customHeight="1">
      <c r="A943" s="1"/>
      <c r="B943" s="35"/>
      <c r="C943" s="84"/>
      <c r="D943" s="35"/>
      <c r="E943" s="33"/>
      <c r="F943" s="41" t="s">
        <v>29</v>
      </c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8"/>
      <c r="T943" s="37"/>
      <c r="U943" s="38"/>
      <c r="V943" s="37"/>
      <c r="W943" s="37"/>
      <c r="X943" s="37"/>
      <c r="Y943" s="37"/>
      <c r="Z943" s="37"/>
      <c r="AA943" s="37"/>
      <c r="AB943" s="37"/>
      <c r="AC943" s="37"/>
      <c r="AD943" s="38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9">
        <f t="shared" si="436"/>
        <v>0</v>
      </c>
      <c r="AQ943" s="1"/>
    </row>
    <row r="944" ht="15.75" customHeight="1">
      <c r="A944" s="1"/>
      <c r="B944" s="42"/>
      <c r="C944" s="18"/>
      <c r="D944" s="42"/>
      <c r="E944" s="19"/>
      <c r="F944" s="43" t="s">
        <v>30</v>
      </c>
      <c r="G944" s="44"/>
      <c r="H944" s="34">
        <f t="shared" ref="H944:AN944" si="437">H939+H940-H941+H942-H943</f>
        <v>0</v>
      </c>
      <c r="I944" s="34">
        <f t="shared" si="437"/>
        <v>0</v>
      </c>
      <c r="J944" s="34">
        <f t="shared" si="437"/>
        <v>0</v>
      </c>
      <c r="K944" s="34">
        <f t="shared" si="437"/>
        <v>0</v>
      </c>
      <c r="L944" s="34">
        <f t="shared" si="437"/>
        <v>0</v>
      </c>
      <c r="M944" s="34">
        <f t="shared" si="437"/>
        <v>0</v>
      </c>
      <c r="N944" s="34">
        <f t="shared" si="437"/>
        <v>0</v>
      </c>
      <c r="O944" s="34">
        <f t="shared" si="437"/>
        <v>0</v>
      </c>
      <c r="P944" s="34">
        <f t="shared" si="437"/>
        <v>0</v>
      </c>
      <c r="Q944" s="34">
        <f t="shared" si="437"/>
        <v>0</v>
      </c>
      <c r="R944" s="34">
        <f t="shared" si="437"/>
        <v>0</v>
      </c>
      <c r="S944" s="34">
        <f t="shared" si="437"/>
        <v>0</v>
      </c>
      <c r="T944" s="34">
        <f t="shared" si="437"/>
        <v>0</v>
      </c>
      <c r="U944" s="34">
        <f t="shared" si="437"/>
        <v>0</v>
      </c>
      <c r="V944" s="34">
        <f t="shared" si="437"/>
        <v>0</v>
      </c>
      <c r="W944" s="34">
        <f t="shared" si="437"/>
        <v>0</v>
      </c>
      <c r="X944" s="34">
        <f t="shared" si="437"/>
        <v>0</v>
      </c>
      <c r="Y944" s="34">
        <f t="shared" si="437"/>
        <v>0</v>
      </c>
      <c r="Z944" s="34">
        <f t="shared" si="437"/>
        <v>0</v>
      </c>
      <c r="AA944" s="34">
        <f t="shared" si="437"/>
        <v>0</v>
      </c>
      <c r="AB944" s="34">
        <f t="shared" si="437"/>
        <v>0</v>
      </c>
      <c r="AC944" s="34">
        <f t="shared" si="437"/>
        <v>0</v>
      </c>
      <c r="AD944" s="34">
        <f t="shared" si="437"/>
        <v>0</v>
      </c>
      <c r="AE944" s="34">
        <f t="shared" si="437"/>
        <v>0</v>
      </c>
      <c r="AF944" s="34">
        <f t="shared" si="437"/>
        <v>0</v>
      </c>
      <c r="AG944" s="34">
        <f t="shared" si="437"/>
        <v>0</v>
      </c>
      <c r="AH944" s="34">
        <f t="shared" si="437"/>
        <v>0</v>
      </c>
      <c r="AI944" s="34">
        <f t="shared" si="437"/>
        <v>0</v>
      </c>
      <c r="AJ944" s="34">
        <f t="shared" si="437"/>
        <v>0</v>
      </c>
      <c r="AK944" s="34">
        <f t="shared" si="437"/>
        <v>0</v>
      </c>
      <c r="AL944" s="34">
        <f t="shared" si="437"/>
        <v>0</v>
      </c>
      <c r="AM944" s="34">
        <f t="shared" si="437"/>
        <v>0</v>
      </c>
      <c r="AN944" s="34">
        <f t="shared" si="437"/>
        <v>0</v>
      </c>
      <c r="AO944" s="34"/>
      <c r="AP944" s="45">
        <f>AO939</f>
        <v>0</v>
      </c>
      <c r="AQ944" s="1"/>
    </row>
    <row r="945" ht="15.75" customHeight="1">
      <c r="A945" s="1"/>
      <c r="B945" s="32"/>
      <c r="C945" s="12" t="s">
        <v>321</v>
      </c>
      <c r="D945" s="32" t="s">
        <v>322</v>
      </c>
      <c r="E945" s="32"/>
      <c r="F945" s="14" t="s">
        <v>23</v>
      </c>
      <c r="G945" s="44"/>
      <c r="H945" s="34">
        <v>1.0</v>
      </c>
      <c r="I945" s="34">
        <f t="shared" ref="I945:AO945" si="438">H950</f>
        <v>1</v>
      </c>
      <c r="J945" s="34">
        <f t="shared" si="438"/>
        <v>1</v>
      </c>
      <c r="K945" s="34">
        <f t="shared" si="438"/>
        <v>1</v>
      </c>
      <c r="L945" s="34">
        <f t="shared" si="438"/>
        <v>1</v>
      </c>
      <c r="M945" s="34">
        <f t="shared" si="438"/>
        <v>1</v>
      </c>
      <c r="N945" s="34">
        <f t="shared" si="438"/>
        <v>1</v>
      </c>
      <c r="O945" s="34">
        <f t="shared" si="438"/>
        <v>1</v>
      </c>
      <c r="P945" s="34">
        <f t="shared" si="438"/>
        <v>1</v>
      </c>
      <c r="Q945" s="34">
        <f t="shared" si="438"/>
        <v>1</v>
      </c>
      <c r="R945" s="34">
        <f t="shared" si="438"/>
        <v>1</v>
      </c>
      <c r="S945" s="34">
        <f t="shared" si="438"/>
        <v>1</v>
      </c>
      <c r="T945" s="34">
        <f t="shared" si="438"/>
        <v>1</v>
      </c>
      <c r="U945" s="34">
        <f t="shared" si="438"/>
        <v>1</v>
      </c>
      <c r="V945" s="34">
        <f t="shared" si="438"/>
        <v>1</v>
      </c>
      <c r="W945" s="34">
        <f t="shared" si="438"/>
        <v>1</v>
      </c>
      <c r="X945" s="34">
        <f t="shared" si="438"/>
        <v>1</v>
      </c>
      <c r="Y945" s="34">
        <f t="shared" si="438"/>
        <v>1</v>
      </c>
      <c r="Z945" s="34">
        <f t="shared" si="438"/>
        <v>1</v>
      </c>
      <c r="AA945" s="34">
        <f t="shared" si="438"/>
        <v>1</v>
      </c>
      <c r="AB945" s="34">
        <f t="shared" si="438"/>
        <v>1</v>
      </c>
      <c r="AC945" s="34">
        <f t="shared" si="438"/>
        <v>1</v>
      </c>
      <c r="AD945" s="34">
        <f t="shared" si="438"/>
        <v>1</v>
      </c>
      <c r="AE945" s="34">
        <f t="shared" si="438"/>
        <v>1</v>
      </c>
      <c r="AF945" s="34">
        <f t="shared" si="438"/>
        <v>1</v>
      </c>
      <c r="AG945" s="34">
        <f t="shared" si="438"/>
        <v>1</v>
      </c>
      <c r="AH945" s="34">
        <f t="shared" si="438"/>
        <v>1</v>
      </c>
      <c r="AI945" s="34">
        <f t="shared" si="438"/>
        <v>1</v>
      </c>
      <c r="AJ945" s="34">
        <f t="shared" si="438"/>
        <v>1</v>
      </c>
      <c r="AK945" s="34">
        <f t="shared" si="438"/>
        <v>1</v>
      </c>
      <c r="AL945" s="34">
        <f t="shared" si="438"/>
        <v>1</v>
      </c>
      <c r="AM945" s="34">
        <f t="shared" si="438"/>
        <v>1</v>
      </c>
      <c r="AN945" s="34">
        <f t="shared" si="438"/>
        <v>1</v>
      </c>
      <c r="AO945" s="34">
        <f t="shared" si="438"/>
        <v>1</v>
      </c>
      <c r="AP945" s="54"/>
      <c r="AQ945" s="1"/>
    </row>
    <row r="946" ht="15.75" customHeight="1">
      <c r="A946" s="1"/>
      <c r="B946" s="35"/>
      <c r="C946" s="84"/>
      <c r="D946" s="35"/>
      <c r="E946" s="33" t="s">
        <v>24</v>
      </c>
      <c r="F946" s="36" t="s">
        <v>25</v>
      </c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8"/>
      <c r="T946" s="37"/>
      <c r="U946" s="38"/>
      <c r="V946" s="37"/>
      <c r="W946" s="37"/>
      <c r="X946" s="37"/>
      <c r="Y946" s="37"/>
      <c r="Z946" s="37"/>
      <c r="AA946" s="37"/>
      <c r="AB946" s="37"/>
      <c r="AC946" s="37"/>
      <c r="AD946" s="38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9">
        <f t="shared" ref="AP946:AP949" si="439">SUM(H946:AO946)</f>
        <v>0</v>
      </c>
      <c r="AQ946" s="1"/>
    </row>
    <row r="947" ht="15.75" customHeight="1">
      <c r="A947" s="51"/>
      <c r="B947" s="35"/>
      <c r="C947" s="84"/>
      <c r="D947" s="35"/>
      <c r="E947" s="47"/>
      <c r="F947" s="40" t="s">
        <v>26</v>
      </c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8"/>
      <c r="T947" s="49"/>
      <c r="U947" s="48"/>
      <c r="V947" s="49"/>
      <c r="W947" s="49"/>
      <c r="X947" s="49"/>
      <c r="Y947" s="49"/>
      <c r="Z947" s="49"/>
      <c r="AA947" s="49"/>
      <c r="AB947" s="49"/>
      <c r="AC947" s="49"/>
      <c r="AD947" s="48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50">
        <f t="shared" si="439"/>
        <v>0</v>
      </c>
      <c r="AQ947" s="51"/>
    </row>
    <row r="948" ht="15.75" customHeight="1">
      <c r="A948" s="1"/>
      <c r="B948" s="35"/>
      <c r="C948" s="84"/>
      <c r="D948" s="35"/>
      <c r="E948" s="33" t="s">
        <v>27</v>
      </c>
      <c r="F948" s="41" t="s">
        <v>28</v>
      </c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8"/>
      <c r="T948" s="37"/>
      <c r="U948" s="38"/>
      <c r="V948" s="37"/>
      <c r="W948" s="37"/>
      <c r="X948" s="37"/>
      <c r="Y948" s="37"/>
      <c r="Z948" s="37"/>
      <c r="AA948" s="37"/>
      <c r="AB948" s="37"/>
      <c r="AC948" s="37"/>
      <c r="AD948" s="38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9">
        <f t="shared" si="439"/>
        <v>0</v>
      </c>
      <c r="AQ948" s="1"/>
    </row>
    <row r="949" ht="15.75" customHeight="1">
      <c r="A949" s="1"/>
      <c r="B949" s="35"/>
      <c r="C949" s="84"/>
      <c r="D949" s="35"/>
      <c r="E949" s="33"/>
      <c r="F949" s="41" t="s">
        <v>29</v>
      </c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8"/>
      <c r="T949" s="37"/>
      <c r="U949" s="38"/>
      <c r="V949" s="37"/>
      <c r="W949" s="37"/>
      <c r="X949" s="37"/>
      <c r="Y949" s="37"/>
      <c r="Z949" s="37"/>
      <c r="AA949" s="37"/>
      <c r="AB949" s="37"/>
      <c r="AC949" s="37"/>
      <c r="AD949" s="38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9">
        <f t="shared" si="439"/>
        <v>0</v>
      </c>
      <c r="AQ949" s="1"/>
    </row>
    <row r="950" ht="15.75" customHeight="1">
      <c r="A950" s="1"/>
      <c r="B950" s="42"/>
      <c r="C950" s="18"/>
      <c r="D950" s="42"/>
      <c r="E950" s="19"/>
      <c r="F950" s="43" t="s">
        <v>30</v>
      </c>
      <c r="G950" s="44"/>
      <c r="H950" s="34">
        <f t="shared" ref="H950:AN950" si="440">H945+H946-H947+H948-H949</f>
        <v>1</v>
      </c>
      <c r="I950" s="34">
        <f t="shared" si="440"/>
        <v>1</v>
      </c>
      <c r="J950" s="34">
        <f t="shared" si="440"/>
        <v>1</v>
      </c>
      <c r="K950" s="34">
        <f t="shared" si="440"/>
        <v>1</v>
      </c>
      <c r="L950" s="34">
        <f t="shared" si="440"/>
        <v>1</v>
      </c>
      <c r="M950" s="34">
        <f t="shared" si="440"/>
        <v>1</v>
      </c>
      <c r="N950" s="34">
        <f t="shared" si="440"/>
        <v>1</v>
      </c>
      <c r="O950" s="34">
        <f t="shared" si="440"/>
        <v>1</v>
      </c>
      <c r="P950" s="34">
        <f t="shared" si="440"/>
        <v>1</v>
      </c>
      <c r="Q950" s="34">
        <f t="shared" si="440"/>
        <v>1</v>
      </c>
      <c r="R950" s="34">
        <f t="shared" si="440"/>
        <v>1</v>
      </c>
      <c r="S950" s="34">
        <f t="shared" si="440"/>
        <v>1</v>
      </c>
      <c r="T950" s="34">
        <f t="shared" si="440"/>
        <v>1</v>
      </c>
      <c r="U950" s="34">
        <f t="shared" si="440"/>
        <v>1</v>
      </c>
      <c r="V950" s="34">
        <f t="shared" si="440"/>
        <v>1</v>
      </c>
      <c r="W950" s="34">
        <f t="shared" si="440"/>
        <v>1</v>
      </c>
      <c r="X950" s="34">
        <f t="shared" si="440"/>
        <v>1</v>
      </c>
      <c r="Y950" s="34">
        <f t="shared" si="440"/>
        <v>1</v>
      </c>
      <c r="Z950" s="34">
        <f t="shared" si="440"/>
        <v>1</v>
      </c>
      <c r="AA950" s="34">
        <f t="shared" si="440"/>
        <v>1</v>
      </c>
      <c r="AB950" s="34">
        <f t="shared" si="440"/>
        <v>1</v>
      </c>
      <c r="AC950" s="34">
        <f t="shared" si="440"/>
        <v>1</v>
      </c>
      <c r="AD950" s="34">
        <f t="shared" si="440"/>
        <v>1</v>
      </c>
      <c r="AE950" s="34">
        <f t="shared" si="440"/>
        <v>1</v>
      </c>
      <c r="AF950" s="34">
        <f t="shared" si="440"/>
        <v>1</v>
      </c>
      <c r="AG950" s="34">
        <f t="shared" si="440"/>
        <v>1</v>
      </c>
      <c r="AH950" s="34">
        <f t="shared" si="440"/>
        <v>1</v>
      </c>
      <c r="AI950" s="34">
        <f t="shared" si="440"/>
        <v>1</v>
      </c>
      <c r="AJ950" s="34">
        <f t="shared" si="440"/>
        <v>1</v>
      </c>
      <c r="AK950" s="34">
        <f t="shared" si="440"/>
        <v>1</v>
      </c>
      <c r="AL950" s="34">
        <f t="shared" si="440"/>
        <v>1</v>
      </c>
      <c r="AM950" s="34">
        <f t="shared" si="440"/>
        <v>1</v>
      </c>
      <c r="AN950" s="34">
        <f t="shared" si="440"/>
        <v>1</v>
      </c>
      <c r="AO950" s="34"/>
      <c r="AP950" s="45">
        <f>AO945</f>
        <v>1</v>
      </c>
      <c r="AQ950" s="1"/>
    </row>
    <row r="951" ht="15.75" customHeight="1">
      <c r="A951" s="1"/>
      <c r="B951" s="32"/>
      <c r="C951" s="12" t="s">
        <v>323</v>
      </c>
      <c r="D951" s="32" t="s">
        <v>324</v>
      </c>
      <c r="E951" s="32"/>
      <c r="F951" s="14" t="s">
        <v>23</v>
      </c>
      <c r="G951" s="44"/>
      <c r="H951" s="34">
        <v>0.0</v>
      </c>
      <c r="I951" s="34">
        <f t="shared" ref="I951:AO951" si="441">H956</f>
        <v>0</v>
      </c>
      <c r="J951" s="34">
        <f t="shared" si="441"/>
        <v>0</v>
      </c>
      <c r="K951" s="34">
        <f t="shared" si="441"/>
        <v>0</v>
      </c>
      <c r="L951" s="34">
        <f t="shared" si="441"/>
        <v>0</v>
      </c>
      <c r="M951" s="34">
        <f t="shared" si="441"/>
        <v>0</v>
      </c>
      <c r="N951" s="34">
        <f t="shared" si="441"/>
        <v>0</v>
      </c>
      <c r="O951" s="34">
        <f t="shared" si="441"/>
        <v>0</v>
      </c>
      <c r="P951" s="34">
        <f t="shared" si="441"/>
        <v>0</v>
      </c>
      <c r="Q951" s="34">
        <f t="shared" si="441"/>
        <v>0</v>
      </c>
      <c r="R951" s="34">
        <f t="shared" si="441"/>
        <v>0</v>
      </c>
      <c r="S951" s="34">
        <f t="shared" si="441"/>
        <v>0</v>
      </c>
      <c r="T951" s="34">
        <f t="shared" si="441"/>
        <v>0</v>
      </c>
      <c r="U951" s="34">
        <f t="shared" si="441"/>
        <v>0</v>
      </c>
      <c r="V951" s="34">
        <f t="shared" si="441"/>
        <v>0</v>
      </c>
      <c r="W951" s="34">
        <f t="shared" si="441"/>
        <v>0</v>
      </c>
      <c r="X951" s="34">
        <f t="shared" si="441"/>
        <v>0</v>
      </c>
      <c r="Y951" s="34">
        <f t="shared" si="441"/>
        <v>0</v>
      </c>
      <c r="Z951" s="34">
        <f t="shared" si="441"/>
        <v>0</v>
      </c>
      <c r="AA951" s="34">
        <f t="shared" si="441"/>
        <v>0</v>
      </c>
      <c r="AB951" s="34">
        <f t="shared" si="441"/>
        <v>0</v>
      </c>
      <c r="AC951" s="34">
        <f t="shared" si="441"/>
        <v>0</v>
      </c>
      <c r="AD951" s="34">
        <f t="shared" si="441"/>
        <v>0</v>
      </c>
      <c r="AE951" s="34">
        <f t="shared" si="441"/>
        <v>0</v>
      </c>
      <c r="AF951" s="34">
        <f t="shared" si="441"/>
        <v>0</v>
      </c>
      <c r="AG951" s="34">
        <f t="shared" si="441"/>
        <v>0</v>
      </c>
      <c r="AH951" s="34">
        <f t="shared" si="441"/>
        <v>0</v>
      </c>
      <c r="AI951" s="34">
        <f t="shared" si="441"/>
        <v>0</v>
      </c>
      <c r="AJ951" s="34">
        <f t="shared" si="441"/>
        <v>0</v>
      </c>
      <c r="AK951" s="34">
        <f t="shared" si="441"/>
        <v>0</v>
      </c>
      <c r="AL951" s="34">
        <f t="shared" si="441"/>
        <v>0</v>
      </c>
      <c r="AM951" s="34">
        <f t="shared" si="441"/>
        <v>0</v>
      </c>
      <c r="AN951" s="34">
        <f t="shared" si="441"/>
        <v>0</v>
      </c>
      <c r="AO951" s="34">
        <f t="shared" si="441"/>
        <v>0</v>
      </c>
      <c r="AP951" s="54"/>
      <c r="AQ951" s="1"/>
    </row>
    <row r="952" ht="15.75" customHeight="1">
      <c r="A952" s="1"/>
      <c r="B952" s="35"/>
      <c r="C952" s="84"/>
      <c r="D952" s="35"/>
      <c r="E952" s="33" t="s">
        <v>24</v>
      </c>
      <c r="F952" s="36" t="s">
        <v>25</v>
      </c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8"/>
      <c r="T952" s="37"/>
      <c r="U952" s="38"/>
      <c r="V952" s="37"/>
      <c r="W952" s="37"/>
      <c r="X952" s="37"/>
      <c r="Y952" s="37"/>
      <c r="Z952" s="37"/>
      <c r="AA952" s="37"/>
      <c r="AB952" s="37"/>
      <c r="AC952" s="37"/>
      <c r="AD952" s="38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9">
        <f t="shared" ref="AP952:AP955" si="442">SUM(H952:AO952)</f>
        <v>0</v>
      </c>
      <c r="AQ952" s="1"/>
    </row>
    <row r="953" ht="15.75" customHeight="1">
      <c r="A953" s="1"/>
      <c r="B953" s="35"/>
      <c r="C953" s="84"/>
      <c r="D953" s="35"/>
      <c r="E953" s="33"/>
      <c r="F953" s="40" t="s">
        <v>26</v>
      </c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8"/>
      <c r="T953" s="37"/>
      <c r="U953" s="38"/>
      <c r="V953" s="37"/>
      <c r="W953" s="37"/>
      <c r="X953" s="37"/>
      <c r="Y953" s="37"/>
      <c r="Z953" s="37"/>
      <c r="AA953" s="37"/>
      <c r="AB953" s="37"/>
      <c r="AC953" s="37"/>
      <c r="AD953" s="38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9">
        <f t="shared" si="442"/>
        <v>0</v>
      </c>
      <c r="AQ953" s="1"/>
    </row>
    <row r="954" ht="15.75" customHeight="1">
      <c r="A954" s="1"/>
      <c r="B954" s="35"/>
      <c r="C954" s="84"/>
      <c r="D954" s="35"/>
      <c r="E954" s="33" t="s">
        <v>27</v>
      </c>
      <c r="F954" s="41" t="s">
        <v>28</v>
      </c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8"/>
      <c r="T954" s="37"/>
      <c r="U954" s="38"/>
      <c r="V954" s="37"/>
      <c r="W954" s="37"/>
      <c r="X954" s="37"/>
      <c r="Y954" s="37"/>
      <c r="Z954" s="37"/>
      <c r="AA954" s="37"/>
      <c r="AB954" s="37"/>
      <c r="AC954" s="37"/>
      <c r="AD954" s="38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9">
        <f t="shared" si="442"/>
        <v>0</v>
      </c>
      <c r="AQ954" s="1"/>
    </row>
    <row r="955" ht="15.75" customHeight="1">
      <c r="A955" s="1"/>
      <c r="B955" s="35"/>
      <c r="C955" s="84"/>
      <c r="D955" s="35"/>
      <c r="E955" s="33"/>
      <c r="F955" s="41" t="s">
        <v>29</v>
      </c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8"/>
      <c r="T955" s="37"/>
      <c r="U955" s="38"/>
      <c r="V955" s="37"/>
      <c r="W955" s="37"/>
      <c r="X955" s="37"/>
      <c r="Y955" s="37"/>
      <c r="Z955" s="37"/>
      <c r="AA955" s="37"/>
      <c r="AB955" s="37"/>
      <c r="AC955" s="37"/>
      <c r="AD955" s="38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9">
        <f t="shared" si="442"/>
        <v>0</v>
      </c>
      <c r="AQ955" s="1"/>
    </row>
    <row r="956" ht="15.75" customHeight="1">
      <c r="A956" s="1"/>
      <c r="B956" s="42"/>
      <c r="C956" s="18"/>
      <c r="D956" s="42"/>
      <c r="E956" s="19"/>
      <c r="F956" s="43" t="s">
        <v>30</v>
      </c>
      <c r="G956" s="44"/>
      <c r="H956" s="34">
        <f t="shared" ref="H956:AN956" si="443">H951+H952-H953+H954-H955</f>
        <v>0</v>
      </c>
      <c r="I956" s="34">
        <f t="shared" si="443"/>
        <v>0</v>
      </c>
      <c r="J956" s="34">
        <f t="shared" si="443"/>
        <v>0</v>
      </c>
      <c r="K956" s="34">
        <f t="shared" si="443"/>
        <v>0</v>
      </c>
      <c r="L956" s="34">
        <f t="shared" si="443"/>
        <v>0</v>
      </c>
      <c r="M956" s="34">
        <f t="shared" si="443"/>
        <v>0</v>
      </c>
      <c r="N956" s="34">
        <f t="shared" si="443"/>
        <v>0</v>
      </c>
      <c r="O956" s="34">
        <f t="shared" si="443"/>
        <v>0</v>
      </c>
      <c r="P956" s="34">
        <f t="shared" si="443"/>
        <v>0</v>
      </c>
      <c r="Q956" s="34">
        <f t="shared" si="443"/>
        <v>0</v>
      </c>
      <c r="R956" s="34">
        <f t="shared" si="443"/>
        <v>0</v>
      </c>
      <c r="S956" s="34">
        <f t="shared" si="443"/>
        <v>0</v>
      </c>
      <c r="T956" s="34">
        <f t="shared" si="443"/>
        <v>0</v>
      </c>
      <c r="U956" s="34">
        <f t="shared" si="443"/>
        <v>0</v>
      </c>
      <c r="V956" s="34">
        <f t="shared" si="443"/>
        <v>0</v>
      </c>
      <c r="W956" s="34">
        <f t="shared" si="443"/>
        <v>0</v>
      </c>
      <c r="X956" s="34">
        <f t="shared" si="443"/>
        <v>0</v>
      </c>
      <c r="Y956" s="34">
        <f t="shared" si="443"/>
        <v>0</v>
      </c>
      <c r="Z956" s="34">
        <f t="shared" si="443"/>
        <v>0</v>
      </c>
      <c r="AA956" s="34">
        <f t="shared" si="443"/>
        <v>0</v>
      </c>
      <c r="AB956" s="34">
        <f t="shared" si="443"/>
        <v>0</v>
      </c>
      <c r="AC956" s="34">
        <f t="shared" si="443"/>
        <v>0</v>
      </c>
      <c r="AD956" s="34">
        <f t="shared" si="443"/>
        <v>0</v>
      </c>
      <c r="AE956" s="34">
        <f t="shared" si="443"/>
        <v>0</v>
      </c>
      <c r="AF956" s="34">
        <f t="shared" si="443"/>
        <v>0</v>
      </c>
      <c r="AG956" s="34">
        <f t="shared" si="443"/>
        <v>0</v>
      </c>
      <c r="AH956" s="34">
        <f t="shared" si="443"/>
        <v>0</v>
      </c>
      <c r="AI956" s="34">
        <f t="shared" si="443"/>
        <v>0</v>
      </c>
      <c r="AJ956" s="34">
        <f t="shared" si="443"/>
        <v>0</v>
      </c>
      <c r="AK956" s="34">
        <f t="shared" si="443"/>
        <v>0</v>
      </c>
      <c r="AL956" s="34">
        <f t="shared" si="443"/>
        <v>0</v>
      </c>
      <c r="AM956" s="34">
        <f t="shared" si="443"/>
        <v>0</v>
      </c>
      <c r="AN956" s="34">
        <f t="shared" si="443"/>
        <v>0</v>
      </c>
      <c r="AO956" s="34"/>
      <c r="AP956" s="45">
        <f>AO951</f>
        <v>0</v>
      </c>
      <c r="AQ956" s="1"/>
    </row>
    <row r="957" ht="15.75" customHeight="1">
      <c r="A957" s="1"/>
      <c r="B957" s="32"/>
      <c r="C957" s="12" t="s">
        <v>325</v>
      </c>
      <c r="D957" s="32" t="s">
        <v>326</v>
      </c>
      <c r="E957" s="32"/>
      <c r="F957" s="14" t="s">
        <v>23</v>
      </c>
      <c r="G957" s="44"/>
      <c r="H957" s="34">
        <v>0.0</v>
      </c>
      <c r="I957" s="34">
        <f t="shared" ref="I957:AO957" si="444">H962</f>
        <v>0</v>
      </c>
      <c r="J957" s="34">
        <f t="shared" si="444"/>
        <v>0</v>
      </c>
      <c r="K957" s="34">
        <f t="shared" si="444"/>
        <v>0</v>
      </c>
      <c r="L957" s="34">
        <f t="shared" si="444"/>
        <v>0</v>
      </c>
      <c r="M957" s="34">
        <f t="shared" si="444"/>
        <v>0</v>
      </c>
      <c r="N957" s="34">
        <f t="shared" si="444"/>
        <v>0</v>
      </c>
      <c r="O957" s="34">
        <f t="shared" si="444"/>
        <v>0</v>
      </c>
      <c r="P957" s="34">
        <f t="shared" si="444"/>
        <v>0</v>
      </c>
      <c r="Q957" s="34">
        <f t="shared" si="444"/>
        <v>0</v>
      </c>
      <c r="R957" s="34">
        <f t="shared" si="444"/>
        <v>0</v>
      </c>
      <c r="S957" s="34">
        <f t="shared" si="444"/>
        <v>0</v>
      </c>
      <c r="T957" s="34">
        <f t="shared" si="444"/>
        <v>0</v>
      </c>
      <c r="U957" s="34">
        <f t="shared" si="444"/>
        <v>0</v>
      </c>
      <c r="V957" s="34">
        <f t="shared" si="444"/>
        <v>0</v>
      </c>
      <c r="W957" s="34">
        <f t="shared" si="444"/>
        <v>0</v>
      </c>
      <c r="X957" s="34">
        <f t="shared" si="444"/>
        <v>0</v>
      </c>
      <c r="Y957" s="34">
        <f t="shared" si="444"/>
        <v>0</v>
      </c>
      <c r="Z957" s="34">
        <f t="shared" si="444"/>
        <v>0</v>
      </c>
      <c r="AA957" s="34">
        <f t="shared" si="444"/>
        <v>0</v>
      </c>
      <c r="AB957" s="34">
        <f t="shared" si="444"/>
        <v>0</v>
      </c>
      <c r="AC957" s="34">
        <f t="shared" si="444"/>
        <v>0</v>
      </c>
      <c r="AD957" s="34">
        <f t="shared" si="444"/>
        <v>0</v>
      </c>
      <c r="AE957" s="34">
        <f t="shared" si="444"/>
        <v>0</v>
      </c>
      <c r="AF957" s="34">
        <f t="shared" si="444"/>
        <v>0</v>
      </c>
      <c r="AG957" s="34">
        <f t="shared" si="444"/>
        <v>0</v>
      </c>
      <c r="AH957" s="34">
        <f t="shared" si="444"/>
        <v>0</v>
      </c>
      <c r="AI957" s="34">
        <f t="shared" si="444"/>
        <v>0</v>
      </c>
      <c r="AJ957" s="34">
        <f t="shared" si="444"/>
        <v>0</v>
      </c>
      <c r="AK957" s="34">
        <f t="shared" si="444"/>
        <v>0</v>
      </c>
      <c r="AL957" s="34">
        <f t="shared" si="444"/>
        <v>0</v>
      </c>
      <c r="AM957" s="34">
        <f t="shared" si="444"/>
        <v>0</v>
      </c>
      <c r="AN957" s="34">
        <f t="shared" si="444"/>
        <v>0</v>
      </c>
      <c r="AO957" s="34">
        <f t="shared" si="444"/>
        <v>0</v>
      </c>
      <c r="AP957" s="54"/>
      <c r="AQ957" s="1"/>
    </row>
    <row r="958" ht="15.75" customHeight="1">
      <c r="A958" s="1"/>
      <c r="B958" s="35"/>
      <c r="C958" s="84"/>
      <c r="D958" s="35"/>
      <c r="E958" s="33" t="s">
        <v>24</v>
      </c>
      <c r="F958" s="36" t="s">
        <v>25</v>
      </c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8"/>
      <c r="T958" s="37"/>
      <c r="U958" s="38"/>
      <c r="V958" s="37"/>
      <c r="W958" s="37"/>
      <c r="X958" s="37"/>
      <c r="Y958" s="37"/>
      <c r="Z958" s="37"/>
      <c r="AA958" s="37"/>
      <c r="AB958" s="37"/>
      <c r="AC958" s="37"/>
      <c r="AD958" s="38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9">
        <f t="shared" ref="AP958:AP961" si="445">SUM(H958:AO958)</f>
        <v>0</v>
      </c>
      <c r="AQ958" s="1"/>
    </row>
    <row r="959" ht="15.75" customHeight="1">
      <c r="A959" s="1"/>
      <c r="B959" s="35"/>
      <c r="C959" s="84"/>
      <c r="D959" s="35"/>
      <c r="E959" s="33"/>
      <c r="F959" s="40" t="s">
        <v>26</v>
      </c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8"/>
      <c r="T959" s="37"/>
      <c r="U959" s="38"/>
      <c r="V959" s="37"/>
      <c r="W959" s="37"/>
      <c r="X959" s="37"/>
      <c r="Y959" s="37"/>
      <c r="Z959" s="37"/>
      <c r="AA959" s="37"/>
      <c r="AB959" s="37"/>
      <c r="AC959" s="37"/>
      <c r="AD959" s="38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9">
        <f t="shared" si="445"/>
        <v>0</v>
      </c>
      <c r="AQ959" s="1"/>
    </row>
    <row r="960" ht="15.75" customHeight="1">
      <c r="A960" s="1"/>
      <c r="B960" s="35"/>
      <c r="C960" s="84"/>
      <c r="D960" s="35"/>
      <c r="E960" s="33" t="s">
        <v>27</v>
      </c>
      <c r="F960" s="41" t="s">
        <v>28</v>
      </c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8"/>
      <c r="T960" s="37"/>
      <c r="U960" s="38"/>
      <c r="V960" s="37"/>
      <c r="W960" s="37"/>
      <c r="X960" s="37"/>
      <c r="Y960" s="37"/>
      <c r="Z960" s="37"/>
      <c r="AA960" s="37"/>
      <c r="AB960" s="37"/>
      <c r="AC960" s="37"/>
      <c r="AD960" s="38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9">
        <f t="shared" si="445"/>
        <v>0</v>
      </c>
      <c r="AQ960" s="1"/>
    </row>
    <row r="961" ht="15.75" customHeight="1">
      <c r="A961" s="1"/>
      <c r="B961" s="35"/>
      <c r="C961" s="84"/>
      <c r="D961" s="35"/>
      <c r="E961" s="33"/>
      <c r="F961" s="41" t="s">
        <v>29</v>
      </c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8"/>
      <c r="T961" s="37"/>
      <c r="U961" s="38"/>
      <c r="V961" s="37"/>
      <c r="W961" s="37"/>
      <c r="X961" s="37"/>
      <c r="Y961" s="37"/>
      <c r="Z961" s="37"/>
      <c r="AA961" s="37"/>
      <c r="AB961" s="37"/>
      <c r="AC961" s="37"/>
      <c r="AD961" s="38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9">
        <f t="shared" si="445"/>
        <v>0</v>
      </c>
      <c r="AQ961" s="1"/>
    </row>
    <row r="962" ht="15.75" customHeight="1">
      <c r="A962" s="1"/>
      <c r="B962" s="42"/>
      <c r="C962" s="18"/>
      <c r="D962" s="42"/>
      <c r="E962" s="19"/>
      <c r="F962" s="43" t="s">
        <v>30</v>
      </c>
      <c r="G962" s="44"/>
      <c r="H962" s="34">
        <f t="shared" ref="H962:AN962" si="446">H957+H958-H959+H960-H961</f>
        <v>0</v>
      </c>
      <c r="I962" s="34">
        <f t="shared" si="446"/>
        <v>0</v>
      </c>
      <c r="J962" s="34">
        <f t="shared" si="446"/>
        <v>0</v>
      </c>
      <c r="K962" s="34">
        <f t="shared" si="446"/>
        <v>0</v>
      </c>
      <c r="L962" s="34">
        <f t="shared" si="446"/>
        <v>0</v>
      </c>
      <c r="M962" s="34">
        <f t="shared" si="446"/>
        <v>0</v>
      </c>
      <c r="N962" s="34">
        <f t="shared" si="446"/>
        <v>0</v>
      </c>
      <c r="O962" s="34">
        <f t="shared" si="446"/>
        <v>0</v>
      </c>
      <c r="P962" s="34">
        <f t="shared" si="446"/>
        <v>0</v>
      </c>
      <c r="Q962" s="34">
        <f t="shared" si="446"/>
        <v>0</v>
      </c>
      <c r="R962" s="34">
        <f t="shared" si="446"/>
        <v>0</v>
      </c>
      <c r="S962" s="34">
        <f t="shared" si="446"/>
        <v>0</v>
      </c>
      <c r="T962" s="34">
        <f t="shared" si="446"/>
        <v>0</v>
      </c>
      <c r="U962" s="34">
        <f t="shared" si="446"/>
        <v>0</v>
      </c>
      <c r="V962" s="34">
        <f t="shared" si="446"/>
        <v>0</v>
      </c>
      <c r="W962" s="34">
        <f t="shared" si="446"/>
        <v>0</v>
      </c>
      <c r="X962" s="34">
        <f t="shared" si="446"/>
        <v>0</v>
      </c>
      <c r="Y962" s="34">
        <f t="shared" si="446"/>
        <v>0</v>
      </c>
      <c r="Z962" s="34">
        <f t="shared" si="446"/>
        <v>0</v>
      </c>
      <c r="AA962" s="34">
        <f t="shared" si="446"/>
        <v>0</v>
      </c>
      <c r="AB962" s="34">
        <f t="shared" si="446"/>
        <v>0</v>
      </c>
      <c r="AC962" s="34">
        <f t="shared" si="446"/>
        <v>0</v>
      </c>
      <c r="AD962" s="34">
        <f t="shared" si="446"/>
        <v>0</v>
      </c>
      <c r="AE962" s="34">
        <f t="shared" si="446"/>
        <v>0</v>
      </c>
      <c r="AF962" s="34">
        <f t="shared" si="446"/>
        <v>0</v>
      </c>
      <c r="AG962" s="34">
        <f t="shared" si="446"/>
        <v>0</v>
      </c>
      <c r="AH962" s="34">
        <f t="shared" si="446"/>
        <v>0</v>
      </c>
      <c r="AI962" s="34">
        <f t="shared" si="446"/>
        <v>0</v>
      </c>
      <c r="AJ962" s="34">
        <f t="shared" si="446"/>
        <v>0</v>
      </c>
      <c r="AK962" s="34">
        <f t="shared" si="446"/>
        <v>0</v>
      </c>
      <c r="AL962" s="34">
        <f t="shared" si="446"/>
        <v>0</v>
      </c>
      <c r="AM962" s="34">
        <f t="shared" si="446"/>
        <v>0</v>
      </c>
      <c r="AN962" s="34">
        <f t="shared" si="446"/>
        <v>0</v>
      </c>
      <c r="AO962" s="34"/>
      <c r="AP962" s="45">
        <f>AO957</f>
        <v>0</v>
      </c>
      <c r="AQ962" s="1"/>
    </row>
    <row r="963" ht="15.75" customHeight="1">
      <c r="A963" s="1"/>
      <c r="B963" s="32"/>
      <c r="C963" s="12" t="s">
        <v>327</v>
      </c>
      <c r="D963" s="32" t="s">
        <v>328</v>
      </c>
      <c r="E963" s="32"/>
      <c r="F963" s="14" t="s">
        <v>23</v>
      </c>
      <c r="G963" s="44"/>
      <c r="H963" s="34">
        <v>0.0</v>
      </c>
      <c r="I963" s="34">
        <f t="shared" ref="I963:AO963" si="447">H968</f>
        <v>0</v>
      </c>
      <c r="J963" s="34">
        <f t="shared" si="447"/>
        <v>0</v>
      </c>
      <c r="K963" s="34">
        <f t="shared" si="447"/>
        <v>0</v>
      </c>
      <c r="L963" s="34">
        <f t="shared" si="447"/>
        <v>0</v>
      </c>
      <c r="M963" s="34">
        <f t="shared" si="447"/>
        <v>0</v>
      </c>
      <c r="N963" s="34">
        <f t="shared" si="447"/>
        <v>0</v>
      </c>
      <c r="O963" s="34">
        <f t="shared" si="447"/>
        <v>0</v>
      </c>
      <c r="P963" s="34">
        <f t="shared" si="447"/>
        <v>0</v>
      </c>
      <c r="Q963" s="34">
        <f t="shared" si="447"/>
        <v>0</v>
      </c>
      <c r="R963" s="34">
        <f t="shared" si="447"/>
        <v>0</v>
      </c>
      <c r="S963" s="34">
        <f t="shared" si="447"/>
        <v>0</v>
      </c>
      <c r="T963" s="34">
        <f t="shared" si="447"/>
        <v>0</v>
      </c>
      <c r="U963" s="34">
        <f t="shared" si="447"/>
        <v>0</v>
      </c>
      <c r="V963" s="34">
        <f t="shared" si="447"/>
        <v>0</v>
      </c>
      <c r="W963" s="34">
        <f t="shared" si="447"/>
        <v>0</v>
      </c>
      <c r="X963" s="34">
        <f t="shared" si="447"/>
        <v>0</v>
      </c>
      <c r="Y963" s="34">
        <f t="shared" si="447"/>
        <v>0</v>
      </c>
      <c r="Z963" s="34">
        <f t="shared" si="447"/>
        <v>0</v>
      </c>
      <c r="AA963" s="34">
        <f t="shared" si="447"/>
        <v>0</v>
      </c>
      <c r="AB963" s="34">
        <f t="shared" si="447"/>
        <v>0</v>
      </c>
      <c r="AC963" s="34">
        <f t="shared" si="447"/>
        <v>0</v>
      </c>
      <c r="AD963" s="34">
        <f t="shared" si="447"/>
        <v>0</v>
      </c>
      <c r="AE963" s="34">
        <f t="shared" si="447"/>
        <v>0</v>
      </c>
      <c r="AF963" s="34">
        <f t="shared" si="447"/>
        <v>0</v>
      </c>
      <c r="AG963" s="34">
        <f t="shared" si="447"/>
        <v>0</v>
      </c>
      <c r="AH963" s="34">
        <f t="shared" si="447"/>
        <v>0</v>
      </c>
      <c r="AI963" s="34">
        <f t="shared" si="447"/>
        <v>0</v>
      </c>
      <c r="AJ963" s="34">
        <f t="shared" si="447"/>
        <v>0</v>
      </c>
      <c r="AK963" s="34">
        <f t="shared" si="447"/>
        <v>0</v>
      </c>
      <c r="AL963" s="34">
        <f t="shared" si="447"/>
        <v>0</v>
      </c>
      <c r="AM963" s="34">
        <f t="shared" si="447"/>
        <v>0</v>
      </c>
      <c r="AN963" s="34">
        <f t="shared" si="447"/>
        <v>0</v>
      </c>
      <c r="AO963" s="34">
        <f t="shared" si="447"/>
        <v>0</v>
      </c>
      <c r="AP963" s="54"/>
      <c r="AQ963" s="1"/>
    </row>
    <row r="964" ht="15.75" customHeight="1">
      <c r="A964" s="1"/>
      <c r="B964" s="35"/>
      <c r="C964" s="84"/>
      <c r="D964" s="35"/>
      <c r="E964" s="33" t="s">
        <v>24</v>
      </c>
      <c r="F964" s="36" t="s">
        <v>25</v>
      </c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8"/>
      <c r="T964" s="37"/>
      <c r="U964" s="38"/>
      <c r="V964" s="37"/>
      <c r="W964" s="37"/>
      <c r="X964" s="37"/>
      <c r="Y964" s="37"/>
      <c r="Z964" s="37"/>
      <c r="AA964" s="37"/>
      <c r="AB964" s="37"/>
      <c r="AC964" s="37"/>
      <c r="AD964" s="38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9">
        <f t="shared" ref="AP964:AP967" si="448">SUM(H964:AO964)</f>
        <v>0</v>
      </c>
      <c r="AQ964" s="1"/>
    </row>
    <row r="965" ht="15.75" customHeight="1">
      <c r="A965" s="51"/>
      <c r="B965" s="35"/>
      <c r="C965" s="84"/>
      <c r="D965" s="35"/>
      <c r="E965" s="47"/>
      <c r="F965" s="40" t="s">
        <v>26</v>
      </c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8"/>
      <c r="T965" s="49"/>
      <c r="U965" s="48"/>
      <c r="V965" s="49"/>
      <c r="W965" s="49"/>
      <c r="X965" s="49"/>
      <c r="Y965" s="49"/>
      <c r="Z965" s="49"/>
      <c r="AA965" s="49"/>
      <c r="AB965" s="49"/>
      <c r="AC965" s="49"/>
      <c r="AD965" s="48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50">
        <f t="shared" si="448"/>
        <v>0</v>
      </c>
      <c r="AQ965" s="51"/>
    </row>
    <row r="966" ht="15.75" customHeight="1">
      <c r="A966" s="1"/>
      <c r="B966" s="35"/>
      <c r="C966" s="84"/>
      <c r="D966" s="35"/>
      <c r="E966" s="33" t="s">
        <v>27</v>
      </c>
      <c r="F966" s="41" t="s">
        <v>28</v>
      </c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8"/>
      <c r="T966" s="37"/>
      <c r="U966" s="38"/>
      <c r="V966" s="37"/>
      <c r="W966" s="37"/>
      <c r="X966" s="37"/>
      <c r="Y966" s="37"/>
      <c r="Z966" s="37"/>
      <c r="AA966" s="37"/>
      <c r="AB966" s="37"/>
      <c r="AC966" s="37"/>
      <c r="AD966" s="38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9">
        <f t="shared" si="448"/>
        <v>0</v>
      </c>
      <c r="AQ966" s="1"/>
    </row>
    <row r="967" ht="15.75" customHeight="1">
      <c r="A967" s="1"/>
      <c r="B967" s="35"/>
      <c r="C967" s="84"/>
      <c r="D967" s="35"/>
      <c r="E967" s="33"/>
      <c r="F967" s="41" t="s">
        <v>29</v>
      </c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8"/>
      <c r="T967" s="37"/>
      <c r="U967" s="38"/>
      <c r="V967" s="37"/>
      <c r="W967" s="37"/>
      <c r="X967" s="37"/>
      <c r="Y967" s="37"/>
      <c r="Z967" s="37"/>
      <c r="AA967" s="37"/>
      <c r="AB967" s="37"/>
      <c r="AC967" s="37"/>
      <c r="AD967" s="38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9">
        <f t="shared" si="448"/>
        <v>0</v>
      </c>
      <c r="AQ967" s="1"/>
    </row>
    <row r="968" ht="15.75" customHeight="1">
      <c r="A968" s="1"/>
      <c r="B968" s="42"/>
      <c r="C968" s="18"/>
      <c r="D968" s="42"/>
      <c r="E968" s="19"/>
      <c r="F968" s="43" t="s">
        <v>30</v>
      </c>
      <c r="G968" s="44"/>
      <c r="H968" s="34">
        <f t="shared" ref="H968:AN968" si="449">H963+H964-H965+H966-H967</f>
        <v>0</v>
      </c>
      <c r="I968" s="34">
        <f t="shared" si="449"/>
        <v>0</v>
      </c>
      <c r="J968" s="34">
        <f t="shared" si="449"/>
        <v>0</v>
      </c>
      <c r="K968" s="34">
        <f t="shared" si="449"/>
        <v>0</v>
      </c>
      <c r="L968" s="34">
        <f t="shared" si="449"/>
        <v>0</v>
      </c>
      <c r="M968" s="34">
        <f t="shared" si="449"/>
        <v>0</v>
      </c>
      <c r="N968" s="34">
        <f t="shared" si="449"/>
        <v>0</v>
      </c>
      <c r="O968" s="34">
        <f t="shared" si="449"/>
        <v>0</v>
      </c>
      <c r="P968" s="34">
        <f t="shared" si="449"/>
        <v>0</v>
      </c>
      <c r="Q968" s="34">
        <f t="shared" si="449"/>
        <v>0</v>
      </c>
      <c r="R968" s="34">
        <f t="shared" si="449"/>
        <v>0</v>
      </c>
      <c r="S968" s="34">
        <f t="shared" si="449"/>
        <v>0</v>
      </c>
      <c r="T968" s="34">
        <f t="shared" si="449"/>
        <v>0</v>
      </c>
      <c r="U968" s="34">
        <f t="shared" si="449"/>
        <v>0</v>
      </c>
      <c r="V968" s="34">
        <f t="shared" si="449"/>
        <v>0</v>
      </c>
      <c r="W968" s="34">
        <f t="shared" si="449"/>
        <v>0</v>
      </c>
      <c r="X968" s="34">
        <f t="shared" si="449"/>
        <v>0</v>
      </c>
      <c r="Y968" s="34">
        <f t="shared" si="449"/>
        <v>0</v>
      </c>
      <c r="Z968" s="34">
        <f t="shared" si="449"/>
        <v>0</v>
      </c>
      <c r="AA968" s="34">
        <f t="shared" si="449"/>
        <v>0</v>
      </c>
      <c r="AB968" s="34">
        <f t="shared" si="449"/>
        <v>0</v>
      </c>
      <c r="AC968" s="34">
        <f t="shared" si="449"/>
        <v>0</v>
      </c>
      <c r="AD968" s="34">
        <f t="shared" si="449"/>
        <v>0</v>
      </c>
      <c r="AE968" s="34">
        <f t="shared" si="449"/>
        <v>0</v>
      </c>
      <c r="AF968" s="34">
        <f t="shared" si="449"/>
        <v>0</v>
      </c>
      <c r="AG968" s="34">
        <f t="shared" si="449"/>
        <v>0</v>
      </c>
      <c r="AH968" s="34">
        <f t="shared" si="449"/>
        <v>0</v>
      </c>
      <c r="AI968" s="34">
        <f t="shared" si="449"/>
        <v>0</v>
      </c>
      <c r="AJ968" s="34">
        <f t="shared" si="449"/>
        <v>0</v>
      </c>
      <c r="AK968" s="34">
        <f t="shared" si="449"/>
        <v>0</v>
      </c>
      <c r="AL968" s="34">
        <f t="shared" si="449"/>
        <v>0</v>
      </c>
      <c r="AM968" s="34">
        <f t="shared" si="449"/>
        <v>0</v>
      </c>
      <c r="AN968" s="34">
        <f t="shared" si="449"/>
        <v>0</v>
      </c>
      <c r="AO968" s="34"/>
      <c r="AP968" s="45">
        <f>AO963</f>
        <v>0</v>
      </c>
      <c r="AQ968" s="1"/>
    </row>
    <row r="969" ht="15.75" customHeight="1">
      <c r="A969" s="1"/>
      <c r="B969" s="32"/>
      <c r="C969" s="12" t="s">
        <v>329</v>
      </c>
      <c r="D969" s="32" t="s">
        <v>330</v>
      </c>
      <c r="E969" s="32"/>
      <c r="F969" s="14" t="s">
        <v>23</v>
      </c>
      <c r="G969" s="44"/>
      <c r="H969" s="34">
        <v>0.0</v>
      </c>
      <c r="I969" s="34">
        <f t="shared" ref="I969:AO969" si="450">H974</f>
        <v>0</v>
      </c>
      <c r="J969" s="34">
        <f t="shared" si="450"/>
        <v>0</v>
      </c>
      <c r="K969" s="34">
        <f t="shared" si="450"/>
        <v>0</v>
      </c>
      <c r="L969" s="34">
        <f t="shared" si="450"/>
        <v>0</v>
      </c>
      <c r="M969" s="34">
        <f t="shared" si="450"/>
        <v>0</v>
      </c>
      <c r="N969" s="34">
        <f t="shared" si="450"/>
        <v>0</v>
      </c>
      <c r="O969" s="34">
        <f t="shared" si="450"/>
        <v>0</v>
      </c>
      <c r="P969" s="34">
        <f t="shared" si="450"/>
        <v>0</v>
      </c>
      <c r="Q969" s="34">
        <f t="shared" si="450"/>
        <v>0</v>
      </c>
      <c r="R969" s="34">
        <f t="shared" si="450"/>
        <v>0</v>
      </c>
      <c r="S969" s="34">
        <f t="shared" si="450"/>
        <v>0</v>
      </c>
      <c r="T969" s="34">
        <f t="shared" si="450"/>
        <v>0</v>
      </c>
      <c r="U969" s="34">
        <f t="shared" si="450"/>
        <v>0</v>
      </c>
      <c r="V969" s="34">
        <f t="shared" si="450"/>
        <v>0</v>
      </c>
      <c r="W969" s="34">
        <f t="shared" si="450"/>
        <v>0</v>
      </c>
      <c r="X969" s="34">
        <f t="shared" si="450"/>
        <v>0</v>
      </c>
      <c r="Y969" s="34">
        <f t="shared" si="450"/>
        <v>0</v>
      </c>
      <c r="Z969" s="34">
        <f t="shared" si="450"/>
        <v>0</v>
      </c>
      <c r="AA969" s="34">
        <f t="shared" si="450"/>
        <v>0</v>
      </c>
      <c r="AB969" s="34">
        <f t="shared" si="450"/>
        <v>0</v>
      </c>
      <c r="AC969" s="34">
        <f t="shared" si="450"/>
        <v>0</v>
      </c>
      <c r="AD969" s="34">
        <f t="shared" si="450"/>
        <v>0</v>
      </c>
      <c r="AE969" s="34">
        <f t="shared" si="450"/>
        <v>0</v>
      </c>
      <c r="AF969" s="34">
        <f t="shared" si="450"/>
        <v>0</v>
      </c>
      <c r="AG969" s="34">
        <f t="shared" si="450"/>
        <v>0</v>
      </c>
      <c r="AH969" s="34">
        <f t="shared" si="450"/>
        <v>0</v>
      </c>
      <c r="AI969" s="34">
        <f t="shared" si="450"/>
        <v>0</v>
      </c>
      <c r="AJ969" s="34">
        <f t="shared" si="450"/>
        <v>0</v>
      </c>
      <c r="AK969" s="34">
        <f t="shared" si="450"/>
        <v>0</v>
      </c>
      <c r="AL969" s="34">
        <f t="shared" si="450"/>
        <v>0</v>
      </c>
      <c r="AM969" s="34">
        <f t="shared" si="450"/>
        <v>0</v>
      </c>
      <c r="AN969" s="34">
        <f t="shared" si="450"/>
        <v>0</v>
      </c>
      <c r="AO969" s="34">
        <f t="shared" si="450"/>
        <v>0</v>
      </c>
      <c r="AP969" s="54"/>
      <c r="AQ969" s="1"/>
    </row>
    <row r="970" ht="15.75" customHeight="1">
      <c r="A970" s="1"/>
      <c r="B970" s="35"/>
      <c r="C970" s="84"/>
      <c r="D970" s="35"/>
      <c r="E970" s="33" t="s">
        <v>24</v>
      </c>
      <c r="F970" s="36" t="s">
        <v>25</v>
      </c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8"/>
      <c r="T970" s="37"/>
      <c r="U970" s="38"/>
      <c r="V970" s="37"/>
      <c r="W970" s="37"/>
      <c r="X970" s="37"/>
      <c r="Y970" s="37"/>
      <c r="Z970" s="37"/>
      <c r="AA970" s="37"/>
      <c r="AB970" s="37"/>
      <c r="AC970" s="37"/>
      <c r="AD970" s="38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9">
        <f t="shared" ref="AP970:AP973" si="451">SUM(H970:AO970)</f>
        <v>0</v>
      </c>
      <c r="AQ970" s="1"/>
    </row>
    <row r="971" ht="15.75" customHeight="1">
      <c r="A971" s="51"/>
      <c r="B971" s="35"/>
      <c r="C971" s="84"/>
      <c r="D971" s="35"/>
      <c r="E971" s="47"/>
      <c r="F971" s="40" t="s">
        <v>26</v>
      </c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8"/>
      <c r="T971" s="49"/>
      <c r="U971" s="48"/>
      <c r="V971" s="49"/>
      <c r="W971" s="49"/>
      <c r="X971" s="49"/>
      <c r="Y971" s="49"/>
      <c r="Z971" s="49"/>
      <c r="AA971" s="49"/>
      <c r="AB971" s="49"/>
      <c r="AC971" s="49"/>
      <c r="AD971" s="48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50">
        <f t="shared" si="451"/>
        <v>0</v>
      </c>
      <c r="AQ971" s="51"/>
    </row>
    <row r="972" ht="15.75" customHeight="1">
      <c r="A972" s="1"/>
      <c r="B972" s="35"/>
      <c r="C972" s="84"/>
      <c r="D972" s="35"/>
      <c r="E972" s="33" t="s">
        <v>27</v>
      </c>
      <c r="F972" s="41" t="s">
        <v>28</v>
      </c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8"/>
      <c r="T972" s="37"/>
      <c r="U972" s="38"/>
      <c r="V972" s="37"/>
      <c r="W972" s="37"/>
      <c r="X972" s="37"/>
      <c r="Y972" s="37"/>
      <c r="Z972" s="37"/>
      <c r="AA972" s="37"/>
      <c r="AB972" s="37"/>
      <c r="AC972" s="37"/>
      <c r="AD972" s="38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9">
        <f t="shared" si="451"/>
        <v>0</v>
      </c>
      <c r="AQ972" s="1"/>
    </row>
    <row r="973" ht="15.75" customHeight="1">
      <c r="A973" s="1"/>
      <c r="B973" s="35"/>
      <c r="C973" s="84"/>
      <c r="D973" s="35"/>
      <c r="E973" s="33"/>
      <c r="F973" s="41" t="s">
        <v>29</v>
      </c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8"/>
      <c r="T973" s="37"/>
      <c r="U973" s="38"/>
      <c r="V973" s="37"/>
      <c r="W973" s="37"/>
      <c r="X973" s="37"/>
      <c r="Y973" s="37"/>
      <c r="Z973" s="37"/>
      <c r="AA973" s="37"/>
      <c r="AB973" s="37"/>
      <c r="AC973" s="37"/>
      <c r="AD973" s="38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9">
        <f t="shared" si="451"/>
        <v>0</v>
      </c>
      <c r="AQ973" s="1"/>
    </row>
    <row r="974" ht="15.75" customHeight="1">
      <c r="A974" s="1"/>
      <c r="B974" s="42"/>
      <c r="C974" s="18"/>
      <c r="D974" s="42"/>
      <c r="E974" s="19"/>
      <c r="F974" s="43" t="s">
        <v>30</v>
      </c>
      <c r="G974" s="44"/>
      <c r="H974" s="34">
        <f t="shared" ref="H974:AN974" si="452">H969+H970-H971+H972-H973</f>
        <v>0</v>
      </c>
      <c r="I974" s="34">
        <f t="shared" si="452"/>
        <v>0</v>
      </c>
      <c r="J974" s="34">
        <f t="shared" si="452"/>
        <v>0</v>
      </c>
      <c r="K974" s="34">
        <f t="shared" si="452"/>
        <v>0</v>
      </c>
      <c r="L974" s="34">
        <f t="shared" si="452"/>
        <v>0</v>
      </c>
      <c r="M974" s="34">
        <f t="shared" si="452"/>
        <v>0</v>
      </c>
      <c r="N974" s="34">
        <f t="shared" si="452"/>
        <v>0</v>
      </c>
      <c r="O974" s="34">
        <f t="shared" si="452"/>
        <v>0</v>
      </c>
      <c r="P974" s="34">
        <f t="shared" si="452"/>
        <v>0</v>
      </c>
      <c r="Q974" s="34">
        <f t="shared" si="452"/>
        <v>0</v>
      </c>
      <c r="R974" s="34">
        <f t="shared" si="452"/>
        <v>0</v>
      </c>
      <c r="S974" s="34">
        <f t="shared" si="452"/>
        <v>0</v>
      </c>
      <c r="T974" s="34">
        <f t="shared" si="452"/>
        <v>0</v>
      </c>
      <c r="U974" s="34">
        <f t="shared" si="452"/>
        <v>0</v>
      </c>
      <c r="V974" s="34">
        <f t="shared" si="452"/>
        <v>0</v>
      </c>
      <c r="W974" s="34">
        <f t="shared" si="452"/>
        <v>0</v>
      </c>
      <c r="X974" s="34">
        <f t="shared" si="452"/>
        <v>0</v>
      </c>
      <c r="Y974" s="34">
        <f t="shared" si="452"/>
        <v>0</v>
      </c>
      <c r="Z974" s="34">
        <f t="shared" si="452"/>
        <v>0</v>
      </c>
      <c r="AA974" s="34">
        <f t="shared" si="452"/>
        <v>0</v>
      </c>
      <c r="AB974" s="34">
        <f t="shared" si="452"/>
        <v>0</v>
      </c>
      <c r="AC974" s="34">
        <f t="shared" si="452"/>
        <v>0</v>
      </c>
      <c r="AD974" s="34">
        <f t="shared" si="452"/>
        <v>0</v>
      </c>
      <c r="AE974" s="34">
        <f t="shared" si="452"/>
        <v>0</v>
      </c>
      <c r="AF974" s="34">
        <f t="shared" si="452"/>
        <v>0</v>
      </c>
      <c r="AG974" s="34">
        <f t="shared" si="452"/>
        <v>0</v>
      </c>
      <c r="AH974" s="34">
        <f t="shared" si="452"/>
        <v>0</v>
      </c>
      <c r="AI974" s="34">
        <f t="shared" si="452"/>
        <v>0</v>
      </c>
      <c r="AJ974" s="34">
        <f t="shared" si="452"/>
        <v>0</v>
      </c>
      <c r="AK974" s="34">
        <f t="shared" si="452"/>
        <v>0</v>
      </c>
      <c r="AL974" s="34">
        <f t="shared" si="452"/>
        <v>0</v>
      </c>
      <c r="AM974" s="34">
        <f t="shared" si="452"/>
        <v>0</v>
      </c>
      <c r="AN974" s="34">
        <f t="shared" si="452"/>
        <v>0</v>
      </c>
      <c r="AO974" s="34"/>
      <c r="AP974" s="45">
        <f>AO969</f>
        <v>0</v>
      </c>
      <c r="AQ974" s="1"/>
    </row>
    <row r="975" ht="15.0" customHeight="1">
      <c r="A975" s="1"/>
      <c r="B975" s="32"/>
      <c r="C975" s="32" t="s">
        <v>331</v>
      </c>
      <c r="D975" s="32" t="s">
        <v>332</v>
      </c>
      <c r="E975" s="13"/>
      <c r="F975" s="14" t="s">
        <v>23</v>
      </c>
      <c r="G975" s="44"/>
      <c r="H975" s="21">
        <v>100.0</v>
      </c>
      <c r="I975" s="21">
        <f t="shared" ref="I975:AO975" si="453">H982</f>
        <v>100</v>
      </c>
      <c r="J975" s="21">
        <f t="shared" si="453"/>
        <v>100</v>
      </c>
      <c r="K975" s="21">
        <f t="shared" si="453"/>
        <v>100</v>
      </c>
      <c r="L975" s="21">
        <f t="shared" si="453"/>
        <v>100</v>
      </c>
      <c r="M975" s="21">
        <f t="shared" si="453"/>
        <v>28</v>
      </c>
      <c r="N975" s="21">
        <f t="shared" si="453"/>
        <v>28</v>
      </c>
      <c r="O975" s="21">
        <f t="shared" si="453"/>
        <v>28</v>
      </c>
      <c r="P975" s="21">
        <f t="shared" si="453"/>
        <v>28</v>
      </c>
      <c r="Q975" s="21">
        <f t="shared" si="453"/>
        <v>28</v>
      </c>
      <c r="R975" s="21">
        <f t="shared" si="453"/>
        <v>28</v>
      </c>
      <c r="S975" s="21">
        <f t="shared" si="453"/>
        <v>28</v>
      </c>
      <c r="T975" s="21">
        <f t="shared" si="453"/>
        <v>28</v>
      </c>
      <c r="U975" s="21">
        <f t="shared" si="453"/>
        <v>28</v>
      </c>
      <c r="V975" s="21">
        <f t="shared" si="453"/>
        <v>28</v>
      </c>
      <c r="W975" s="21">
        <f t="shared" si="453"/>
        <v>28</v>
      </c>
      <c r="X975" s="21">
        <f t="shared" si="453"/>
        <v>28</v>
      </c>
      <c r="Y975" s="21">
        <f t="shared" si="453"/>
        <v>28</v>
      </c>
      <c r="Z975" s="21">
        <f t="shared" si="453"/>
        <v>28</v>
      </c>
      <c r="AA975" s="21">
        <f t="shared" si="453"/>
        <v>28</v>
      </c>
      <c r="AB975" s="21">
        <f t="shared" si="453"/>
        <v>28</v>
      </c>
      <c r="AC975" s="21">
        <f t="shared" si="453"/>
        <v>28</v>
      </c>
      <c r="AD975" s="21">
        <f t="shared" si="453"/>
        <v>28</v>
      </c>
      <c r="AE975" s="21">
        <f t="shared" si="453"/>
        <v>28</v>
      </c>
      <c r="AF975" s="21">
        <f t="shared" si="453"/>
        <v>28</v>
      </c>
      <c r="AG975" s="21">
        <f t="shared" si="453"/>
        <v>28</v>
      </c>
      <c r="AH975" s="21">
        <f t="shared" si="453"/>
        <v>28</v>
      </c>
      <c r="AI975" s="21">
        <f t="shared" si="453"/>
        <v>28</v>
      </c>
      <c r="AJ975" s="21">
        <f t="shared" si="453"/>
        <v>28</v>
      </c>
      <c r="AK975" s="21">
        <f t="shared" si="453"/>
        <v>28</v>
      </c>
      <c r="AL975" s="21">
        <f t="shared" si="453"/>
        <v>28</v>
      </c>
      <c r="AM975" s="21">
        <f t="shared" si="453"/>
        <v>28</v>
      </c>
      <c r="AN975" s="21">
        <f t="shared" si="453"/>
        <v>28</v>
      </c>
      <c r="AO975" s="21">
        <f t="shared" si="453"/>
        <v>28</v>
      </c>
      <c r="AP975" s="54"/>
      <c r="AQ975" s="1"/>
    </row>
    <row r="976" ht="15.0" customHeight="1">
      <c r="A976" s="1"/>
      <c r="B976" s="35"/>
      <c r="C976" s="35"/>
      <c r="D976" s="35"/>
      <c r="E976" s="33" t="s">
        <v>24</v>
      </c>
      <c r="F976" s="36" t="s">
        <v>25</v>
      </c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8"/>
      <c r="T976" s="37"/>
      <c r="U976" s="38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9">
        <f t="shared" ref="AP976:AP981" si="454">SUM(H976:AO976)</f>
        <v>0</v>
      </c>
      <c r="AQ976" s="1"/>
    </row>
    <row r="977" ht="15.0" customHeight="1">
      <c r="A977" s="1"/>
      <c r="B977" s="35"/>
      <c r="C977" s="35"/>
      <c r="D977" s="35"/>
      <c r="E977" s="33" t="s">
        <v>333</v>
      </c>
      <c r="F977" s="36" t="s">
        <v>334</v>
      </c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8"/>
      <c r="T977" s="37"/>
      <c r="U977" s="38"/>
      <c r="V977" s="37"/>
      <c r="W977" s="37"/>
      <c r="X977" s="37"/>
      <c r="Y977" s="37"/>
      <c r="Z977" s="37"/>
      <c r="AA977" s="37"/>
      <c r="AB977" s="37"/>
      <c r="AC977" s="37"/>
      <c r="AD977" s="38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9">
        <f t="shared" si="454"/>
        <v>0</v>
      </c>
      <c r="AQ977" s="1"/>
    </row>
    <row r="978" ht="15.0" customHeight="1">
      <c r="A978" s="1"/>
      <c r="B978" s="35"/>
      <c r="C978" s="35"/>
      <c r="D978" s="35"/>
      <c r="E978" s="33" t="s">
        <v>335</v>
      </c>
      <c r="F978" s="36" t="s">
        <v>334</v>
      </c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8"/>
      <c r="T978" s="37"/>
      <c r="U978" s="38"/>
      <c r="V978" s="37"/>
      <c r="W978" s="37"/>
      <c r="X978" s="37"/>
      <c r="Y978" s="37"/>
      <c r="Z978" s="37"/>
      <c r="AA978" s="37"/>
      <c r="AB978" s="37"/>
      <c r="AC978" s="37"/>
      <c r="AD978" s="38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9">
        <f t="shared" si="454"/>
        <v>0</v>
      </c>
      <c r="AQ978" s="1"/>
    </row>
    <row r="979" ht="15.0" customHeight="1">
      <c r="A979" s="51"/>
      <c r="B979" s="35"/>
      <c r="C979" s="35"/>
      <c r="D979" s="35"/>
      <c r="E979" s="47"/>
      <c r="F979" s="40" t="s">
        <v>26</v>
      </c>
      <c r="G979" s="49"/>
      <c r="H979" s="49"/>
      <c r="I979" s="49"/>
      <c r="J979" s="49"/>
      <c r="K979" s="49"/>
      <c r="L979" s="49">
        <v>72.0</v>
      </c>
      <c r="M979" s="49"/>
      <c r="N979" s="49"/>
      <c r="O979" s="49"/>
      <c r="P979" s="49"/>
      <c r="Q979" s="49"/>
      <c r="R979" s="49"/>
      <c r="S979" s="48"/>
      <c r="T979" s="49"/>
      <c r="U979" s="48"/>
      <c r="V979" s="49"/>
      <c r="W979" s="49"/>
      <c r="X979" s="49"/>
      <c r="Y979" s="49"/>
      <c r="Z979" s="49"/>
      <c r="AA979" s="49"/>
      <c r="AB979" s="49"/>
      <c r="AC979" s="49"/>
      <c r="AD979" s="48"/>
      <c r="AE979" s="49"/>
      <c r="AF979" s="48"/>
      <c r="AG979" s="49"/>
      <c r="AH979" s="49"/>
      <c r="AI979" s="49"/>
      <c r="AJ979" s="49"/>
      <c r="AK979" s="49"/>
      <c r="AL979" s="49"/>
      <c r="AM979" s="49"/>
      <c r="AN979" s="49"/>
      <c r="AO979" s="49"/>
      <c r="AP979" s="50">
        <f t="shared" si="454"/>
        <v>72</v>
      </c>
      <c r="AQ979" s="51"/>
    </row>
    <row r="980" ht="15.0" customHeight="1">
      <c r="A980" s="1"/>
      <c r="B980" s="35"/>
      <c r="C980" s="35"/>
      <c r="D980" s="35"/>
      <c r="E980" s="33" t="s">
        <v>27</v>
      </c>
      <c r="F980" s="41" t="s">
        <v>28</v>
      </c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8"/>
      <c r="T980" s="37"/>
      <c r="U980" s="38"/>
      <c r="V980" s="37"/>
      <c r="W980" s="37"/>
      <c r="X980" s="37"/>
      <c r="Y980" s="37"/>
      <c r="Z980" s="37"/>
      <c r="AA980" s="37"/>
      <c r="AB980" s="37"/>
      <c r="AC980" s="37"/>
      <c r="AD980" s="38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9">
        <f t="shared" si="454"/>
        <v>0</v>
      </c>
      <c r="AQ980" s="1"/>
    </row>
    <row r="981" ht="15.0" customHeight="1">
      <c r="A981" s="1"/>
      <c r="B981" s="35"/>
      <c r="C981" s="35"/>
      <c r="D981" s="35"/>
      <c r="E981" s="33"/>
      <c r="F981" s="41" t="s">
        <v>29</v>
      </c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8"/>
      <c r="T981" s="37"/>
      <c r="U981" s="38"/>
      <c r="V981" s="37"/>
      <c r="W981" s="37"/>
      <c r="X981" s="37"/>
      <c r="Y981" s="37"/>
      <c r="Z981" s="37"/>
      <c r="AA981" s="37"/>
      <c r="AB981" s="37"/>
      <c r="AC981" s="37"/>
      <c r="AD981" s="38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9">
        <f t="shared" si="454"/>
        <v>0</v>
      </c>
      <c r="AQ981" s="1"/>
    </row>
    <row r="982" ht="15.75" customHeight="1">
      <c r="A982" s="1"/>
      <c r="B982" s="42"/>
      <c r="C982" s="42"/>
      <c r="D982" s="42"/>
      <c r="E982" s="52"/>
      <c r="F982" s="43" t="s">
        <v>30</v>
      </c>
      <c r="G982" s="44"/>
      <c r="H982" s="34">
        <f t="shared" ref="H982:AN982" si="455">H975+H976+H977+H978-H979+H980-H981</f>
        <v>100</v>
      </c>
      <c r="I982" s="34">
        <f t="shared" si="455"/>
        <v>100</v>
      </c>
      <c r="J982" s="34">
        <f t="shared" si="455"/>
        <v>100</v>
      </c>
      <c r="K982" s="34">
        <f t="shared" si="455"/>
        <v>100</v>
      </c>
      <c r="L982" s="34">
        <f t="shared" si="455"/>
        <v>28</v>
      </c>
      <c r="M982" s="34">
        <f t="shared" si="455"/>
        <v>28</v>
      </c>
      <c r="N982" s="34">
        <f t="shared" si="455"/>
        <v>28</v>
      </c>
      <c r="O982" s="34">
        <f t="shared" si="455"/>
        <v>28</v>
      </c>
      <c r="P982" s="34">
        <f t="shared" si="455"/>
        <v>28</v>
      </c>
      <c r="Q982" s="34">
        <f t="shared" si="455"/>
        <v>28</v>
      </c>
      <c r="R982" s="34">
        <f t="shared" si="455"/>
        <v>28</v>
      </c>
      <c r="S982" s="34">
        <f t="shared" si="455"/>
        <v>28</v>
      </c>
      <c r="T982" s="34">
        <f t="shared" si="455"/>
        <v>28</v>
      </c>
      <c r="U982" s="34">
        <f t="shared" si="455"/>
        <v>28</v>
      </c>
      <c r="V982" s="34">
        <f t="shared" si="455"/>
        <v>28</v>
      </c>
      <c r="W982" s="34">
        <f t="shared" si="455"/>
        <v>28</v>
      </c>
      <c r="X982" s="34">
        <f t="shared" si="455"/>
        <v>28</v>
      </c>
      <c r="Y982" s="34">
        <f t="shared" si="455"/>
        <v>28</v>
      </c>
      <c r="Z982" s="34">
        <f t="shared" si="455"/>
        <v>28</v>
      </c>
      <c r="AA982" s="34">
        <f t="shared" si="455"/>
        <v>28</v>
      </c>
      <c r="AB982" s="34">
        <f t="shared" si="455"/>
        <v>28</v>
      </c>
      <c r="AC982" s="34">
        <f t="shared" si="455"/>
        <v>28</v>
      </c>
      <c r="AD982" s="34">
        <f t="shared" si="455"/>
        <v>28</v>
      </c>
      <c r="AE982" s="34">
        <f t="shared" si="455"/>
        <v>28</v>
      </c>
      <c r="AF982" s="34">
        <f t="shared" si="455"/>
        <v>28</v>
      </c>
      <c r="AG982" s="34">
        <f t="shared" si="455"/>
        <v>28</v>
      </c>
      <c r="AH982" s="34">
        <f t="shared" si="455"/>
        <v>28</v>
      </c>
      <c r="AI982" s="34">
        <f t="shared" si="455"/>
        <v>28</v>
      </c>
      <c r="AJ982" s="34">
        <f t="shared" si="455"/>
        <v>28</v>
      </c>
      <c r="AK982" s="34">
        <f t="shared" si="455"/>
        <v>28</v>
      </c>
      <c r="AL982" s="34">
        <f t="shared" si="455"/>
        <v>28</v>
      </c>
      <c r="AM982" s="34">
        <f t="shared" si="455"/>
        <v>28</v>
      </c>
      <c r="AN982" s="34">
        <f t="shared" si="455"/>
        <v>28</v>
      </c>
      <c r="AO982" s="34"/>
      <c r="AP982" s="45">
        <f>AO975</f>
        <v>28</v>
      </c>
      <c r="AQ982" s="1"/>
    </row>
    <row r="983" ht="15.75" customHeight="1">
      <c r="A983" s="1"/>
      <c r="B983" s="32"/>
      <c r="C983" s="32" t="s">
        <v>336</v>
      </c>
      <c r="D983" s="32" t="s">
        <v>337</v>
      </c>
      <c r="E983" s="13"/>
      <c r="F983" s="14" t="s">
        <v>23</v>
      </c>
      <c r="G983" s="44"/>
      <c r="H983" s="21">
        <v>27.0</v>
      </c>
      <c r="I983" s="21">
        <f t="shared" ref="I983:AO983" si="456">H990</f>
        <v>27</v>
      </c>
      <c r="J983" s="21">
        <f t="shared" si="456"/>
        <v>27</v>
      </c>
      <c r="K983" s="21">
        <f t="shared" si="456"/>
        <v>31</v>
      </c>
      <c r="L983" s="21">
        <f t="shared" si="456"/>
        <v>31</v>
      </c>
      <c r="M983" s="21">
        <f t="shared" si="456"/>
        <v>31</v>
      </c>
      <c r="N983" s="21">
        <f t="shared" si="456"/>
        <v>31</v>
      </c>
      <c r="O983" s="21">
        <f t="shared" si="456"/>
        <v>31</v>
      </c>
      <c r="P983" s="21">
        <f t="shared" si="456"/>
        <v>31</v>
      </c>
      <c r="Q983" s="21">
        <f t="shared" si="456"/>
        <v>31</v>
      </c>
      <c r="R983" s="21">
        <f t="shared" si="456"/>
        <v>47</v>
      </c>
      <c r="S983" s="21">
        <f t="shared" si="456"/>
        <v>17</v>
      </c>
      <c r="T983" s="21">
        <f t="shared" si="456"/>
        <v>17</v>
      </c>
      <c r="U983" s="21">
        <f t="shared" si="456"/>
        <v>17</v>
      </c>
      <c r="V983" s="21">
        <f t="shared" si="456"/>
        <v>17</v>
      </c>
      <c r="W983" s="21">
        <f t="shared" si="456"/>
        <v>17</v>
      </c>
      <c r="X983" s="21">
        <f t="shared" si="456"/>
        <v>17</v>
      </c>
      <c r="Y983" s="21">
        <f t="shared" si="456"/>
        <v>17</v>
      </c>
      <c r="Z983" s="21">
        <f t="shared" si="456"/>
        <v>17</v>
      </c>
      <c r="AA983" s="21">
        <f t="shared" si="456"/>
        <v>17</v>
      </c>
      <c r="AB983" s="21">
        <f t="shared" si="456"/>
        <v>17</v>
      </c>
      <c r="AC983" s="21">
        <f t="shared" si="456"/>
        <v>17</v>
      </c>
      <c r="AD983" s="21">
        <f t="shared" si="456"/>
        <v>17</v>
      </c>
      <c r="AE983" s="21">
        <f t="shared" si="456"/>
        <v>17</v>
      </c>
      <c r="AF983" s="21">
        <f t="shared" si="456"/>
        <v>17</v>
      </c>
      <c r="AG983" s="21">
        <f t="shared" si="456"/>
        <v>17</v>
      </c>
      <c r="AH983" s="21">
        <f t="shared" si="456"/>
        <v>17</v>
      </c>
      <c r="AI983" s="21">
        <f t="shared" si="456"/>
        <v>17</v>
      </c>
      <c r="AJ983" s="21">
        <f t="shared" si="456"/>
        <v>17</v>
      </c>
      <c r="AK983" s="21">
        <f t="shared" si="456"/>
        <v>17</v>
      </c>
      <c r="AL983" s="21">
        <f t="shared" si="456"/>
        <v>17</v>
      </c>
      <c r="AM983" s="21">
        <f t="shared" si="456"/>
        <v>17</v>
      </c>
      <c r="AN983" s="21">
        <f t="shared" si="456"/>
        <v>17</v>
      </c>
      <c r="AO983" s="21">
        <f t="shared" si="456"/>
        <v>17</v>
      </c>
      <c r="AP983" s="54"/>
      <c r="AQ983" s="1"/>
    </row>
    <row r="984" ht="15.75" customHeight="1">
      <c r="A984" s="1"/>
      <c r="B984" s="35"/>
      <c r="C984" s="35"/>
      <c r="D984" s="35"/>
      <c r="E984" s="33" t="s">
        <v>24</v>
      </c>
      <c r="F984" s="36" t="s">
        <v>25</v>
      </c>
      <c r="G984" s="37"/>
      <c r="H984" s="37"/>
      <c r="I984" s="37"/>
      <c r="J984" s="37">
        <v>4.0</v>
      </c>
      <c r="K984" s="37"/>
      <c r="L984" s="37"/>
      <c r="M984" s="37"/>
      <c r="N984" s="37"/>
      <c r="O984" s="37"/>
      <c r="P984" s="37"/>
      <c r="Q984" s="37">
        <v>16.0</v>
      </c>
      <c r="R984" s="37"/>
      <c r="S984" s="38"/>
      <c r="T984" s="37"/>
      <c r="U984" s="38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9">
        <f t="shared" ref="AP984:AP989" si="457">SUM(H984:AO984)</f>
        <v>20</v>
      </c>
      <c r="AQ984" s="1"/>
    </row>
    <row r="985" ht="15.75" customHeight="1">
      <c r="A985" s="1"/>
      <c r="B985" s="35"/>
      <c r="C985" s="35"/>
      <c r="D985" s="35"/>
      <c r="E985" s="33" t="s">
        <v>333</v>
      </c>
      <c r="F985" s="36" t="s">
        <v>334</v>
      </c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8"/>
      <c r="T985" s="37"/>
      <c r="U985" s="38"/>
      <c r="V985" s="37"/>
      <c r="W985" s="37"/>
      <c r="X985" s="37"/>
      <c r="Y985" s="37"/>
      <c r="Z985" s="37"/>
      <c r="AA985" s="37"/>
      <c r="AB985" s="37"/>
      <c r="AC985" s="37"/>
      <c r="AD985" s="38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9">
        <f t="shared" si="457"/>
        <v>0</v>
      </c>
      <c r="AQ985" s="1"/>
    </row>
    <row r="986" ht="15.75" customHeight="1">
      <c r="A986" s="1"/>
      <c r="B986" s="35"/>
      <c r="C986" s="35"/>
      <c r="D986" s="35"/>
      <c r="E986" s="33" t="s">
        <v>227</v>
      </c>
      <c r="F986" s="36" t="s">
        <v>334</v>
      </c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8"/>
      <c r="T986" s="37"/>
      <c r="U986" s="38"/>
      <c r="V986" s="37"/>
      <c r="W986" s="37"/>
      <c r="X986" s="37"/>
      <c r="Y986" s="37"/>
      <c r="Z986" s="37"/>
      <c r="AA986" s="37"/>
      <c r="AB986" s="37"/>
      <c r="AC986" s="37"/>
      <c r="AD986" s="38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9">
        <f t="shared" si="457"/>
        <v>0</v>
      </c>
      <c r="AQ986" s="1"/>
    </row>
    <row r="987" ht="15.75" customHeight="1">
      <c r="A987" s="51"/>
      <c r="B987" s="35"/>
      <c r="C987" s="35"/>
      <c r="D987" s="35"/>
      <c r="E987" s="47"/>
      <c r="F987" s="40" t="s">
        <v>26</v>
      </c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>
        <v>30.0</v>
      </c>
      <c r="S987" s="48"/>
      <c r="T987" s="49"/>
      <c r="U987" s="48"/>
      <c r="V987" s="49"/>
      <c r="W987" s="49"/>
      <c r="X987" s="49"/>
      <c r="Y987" s="49"/>
      <c r="Z987" s="49"/>
      <c r="AA987" s="49"/>
      <c r="AB987" s="49"/>
      <c r="AC987" s="49"/>
      <c r="AD987" s="48"/>
      <c r="AE987" s="49"/>
      <c r="AF987" s="48"/>
      <c r="AG987" s="49"/>
      <c r="AH987" s="49"/>
      <c r="AI987" s="49"/>
      <c r="AJ987" s="49"/>
      <c r="AK987" s="49"/>
      <c r="AL987" s="49"/>
      <c r="AM987" s="49"/>
      <c r="AN987" s="49"/>
      <c r="AO987" s="49"/>
      <c r="AP987" s="50">
        <f t="shared" si="457"/>
        <v>30</v>
      </c>
      <c r="AQ987" s="51"/>
    </row>
    <row r="988" ht="15.75" customHeight="1">
      <c r="A988" s="1"/>
      <c r="B988" s="35"/>
      <c r="C988" s="35"/>
      <c r="D988" s="35"/>
      <c r="E988" s="33" t="s">
        <v>27</v>
      </c>
      <c r="F988" s="41" t="s">
        <v>28</v>
      </c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8"/>
      <c r="T988" s="37"/>
      <c r="U988" s="38"/>
      <c r="V988" s="37"/>
      <c r="W988" s="37"/>
      <c r="X988" s="37"/>
      <c r="Y988" s="37"/>
      <c r="Z988" s="37"/>
      <c r="AA988" s="37"/>
      <c r="AB988" s="37"/>
      <c r="AC988" s="37"/>
      <c r="AD988" s="38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9">
        <f t="shared" si="457"/>
        <v>0</v>
      </c>
      <c r="AQ988" s="1"/>
    </row>
    <row r="989" ht="15.75" customHeight="1">
      <c r="A989" s="1"/>
      <c r="B989" s="35"/>
      <c r="C989" s="35"/>
      <c r="D989" s="35"/>
      <c r="E989" s="33"/>
      <c r="F989" s="41" t="s">
        <v>29</v>
      </c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8"/>
      <c r="T989" s="37"/>
      <c r="U989" s="38"/>
      <c r="V989" s="37"/>
      <c r="W989" s="37"/>
      <c r="X989" s="37"/>
      <c r="Y989" s="37"/>
      <c r="Z989" s="37"/>
      <c r="AA989" s="37"/>
      <c r="AB989" s="37"/>
      <c r="AC989" s="37"/>
      <c r="AD989" s="38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9">
        <f t="shared" si="457"/>
        <v>0</v>
      </c>
      <c r="AQ989" s="1"/>
    </row>
    <row r="990" ht="15.75" customHeight="1">
      <c r="A990" s="1"/>
      <c r="B990" s="42"/>
      <c r="C990" s="42"/>
      <c r="D990" s="42"/>
      <c r="E990" s="52"/>
      <c r="F990" s="43" t="s">
        <v>30</v>
      </c>
      <c r="G990" s="44"/>
      <c r="H990" s="34">
        <f t="shared" ref="H990:AN990" si="458">H983+H984+H985+H986-H987+H988-H989</f>
        <v>27</v>
      </c>
      <c r="I990" s="34">
        <f t="shared" si="458"/>
        <v>27</v>
      </c>
      <c r="J990" s="34">
        <f t="shared" si="458"/>
        <v>31</v>
      </c>
      <c r="K990" s="34">
        <f t="shared" si="458"/>
        <v>31</v>
      </c>
      <c r="L990" s="34">
        <f t="shared" si="458"/>
        <v>31</v>
      </c>
      <c r="M990" s="34">
        <f t="shared" si="458"/>
        <v>31</v>
      </c>
      <c r="N990" s="34">
        <f t="shared" si="458"/>
        <v>31</v>
      </c>
      <c r="O990" s="34">
        <f t="shared" si="458"/>
        <v>31</v>
      </c>
      <c r="P990" s="34">
        <f t="shared" si="458"/>
        <v>31</v>
      </c>
      <c r="Q990" s="34">
        <f t="shared" si="458"/>
        <v>47</v>
      </c>
      <c r="R990" s="34">
        <f t="shared" si="458"/>
        <v>17</v>
      </c>
      <c r="S990" s="34">
        <f t="shared" si="458"/>
        <v>17</v>
      </c>
      <c r="T990" s="34">
        <f t="shared" si="458"/>
        <v>17</v>
      </c>
      <c r="U990" s="34">
        <f t="shared" si="458"/>
        <v>17</v>
      </c>
      <c r="V990" s="34">
        <f t="shared" si="458"/>
        <v>17</v>
      </c>
      <c r="W990" s="34">
        <f t="shared" si="458"/>
        <v>17</v>
      </c>
      <c r="X990" s="34">
        <f t="shared" si="458"/>
        <v>17</v>
      </c>
      <c r="Y990" s="34">
        <f t="shared" si="458"/>
        <v>17</v>
      </c>
      <c r="Z990" s="34">
        <f t="shared" si="458"/>
        <v>17</v>
      </c>
      <c r="AA990" s="34">
        <f t="shared" si="458"/>
        <v>17</v>
      </c>
      <c r="AB990" s="34">
        <f t="shared" si="458"/>
        <v>17</v>
      </c>
      <c r="AC990" s="34">
        <f t="shared" si="458"/>
        <v>17</v>
      </c>
      <c r="AD990" s="34">
        <f t="shared" si="458"/>
        <v>17</v>
      </c>
      <c r="AE990" s="34">
        <f t="shared" si="458"/>
        <v>17</v>
      </c>
      <c r="AF990" s="34">
        <f t="shared" si="458"/>
        <v>17</v>
      </c>
      <c r="AG990" s="34">
        <f t="shared" si="458"/>
        <v>17</v>
      </c>
      <c r="AH990" s="34">
        <f t="shared" si="458"/>
        <v>17</v>
      </c>
      <c r="AI990" s="34">
        <f t="shared" si="458"/>
        <v>17</v>
      </c>
      <c r="AJ990" s="34">
        <f t="shared" si="458"/>
        <v>17</v>
      </c>
      <c r="AK990" s="34">
        <f t="shared" si="458"/>
        <v>17</v>
      </c>
      <c r="AL990" s="34">
        <f t="shared" si="458"/>
        <v>17</v>
      </c>
      <c r="AM990" s="34">
        <f t="shared" si="458"/>
        <v>17</v>
      </c>
      <c r="AN990" s="34">
        <f t="shared" si="458"/>
        <v>17</v>
      </c>
      <c r="AO990" s="34"/>
      <c r="AP990" s="45">
        <f>AO983</f>
        <v>17</v>
      </c>
      <c r="AQ990" s="1"/>
    </row>
    <row r="991" ht="15.75" customHeight="1">
      <c r="A991" s="1"/>
      <c r="B991" s="32"/>
      <c r="C991" s="32" t="s">
        <v>338</v>
      </c>
      <c r="D991" s="32" t="s">
        <v>339</v>
      </c>
      <c r="E991" s="13"/>
      <c r="F991" s="14" t="s">
        <v>23</v>
      </c>
      <c r="G991" s="44"/>
      <c r="H991" s="21" t="str">
        <f t="shared" ref="H991:AO991" si="459">G998</f>
        <v/>
      </c>
      <c r="I991" s="21">
        <f t="shared" si="459"/>
        <v>0</v>
      </c>
      <c r="J991" s="21">
        <f t="shared" si="459"/>
        <v>0</v>
      </c>
      <c r="K991" s="21">
        <f t="shared" si="459"/>
        <v>0</v>
      </c>
      <c r="L991" s="21">
        <f t="shared" si="459"/>
        <v>0</v>
      </c>
      <c r="M991" s="21">
        <f t="shared" si="459"/>
        <v>0</v>
      </c>
      <c r="N991" s="21">
        <f t="shared" si="459"/>
        <v>0</v>
      </c>
      <c r="O991" s="21">
        <f t="shared" si="459"/>
        <v>0</v>
      </c>
      <c r="P991" s="21">
        <f t="shared" si="459"/>
        <v>0</v>
      </c>
      <c r="Q991" s="21">
        <f t="shared" si="459"/>
        <v>0</v>
      </c>
      <c r="R991" s="21">
        <f t="shared" si="459"/>
        <v>0</v>
      </c>
      <c r="S991" s="21">
        <f t="shared" si="459"/>
        <v>0</v>
      </c>
      <c r="T991" s="21">
        <f t="shared" si="459"/>
        <v>0</v>
      </c>
      <c r="U991" s="21">
        <f t="shared" si="459"/>
        <v>0</v>
      </c>
      <c r="V991" s="21">
        <f t="shared" si="459"/>
        <v>0</v>
      </c>
      <c r="W991" s="21">
        <f t="shared" si="459"/>
        <v>0</v>
      </c>
      <c r="X991" s="21">
        <f t="shared" si="459"/>
        <v>0</v>
      </c>
      <c r="Y991" s="21">
        <f t="shared" si="459"/>
        <v>0</v>
      </c>
      <c r="Z991" s="21">
        <f t="shared" si="459"/>
        <v>0</v>
      </c>
      <c r="AA991" s="21">
        <f t="shared" si="459"/>
        <v>0</v>
      </c>
      <c r="AB991" s="21">
        <f t="shared" si="459"/>
        <v>0</v>
      </c>
      <c r="AC991" s="21">
        <f t="shared" si="459"/>
        <v>0</v>
      </c>
      <c r="AD991" s="21">
        <f t="shared" si="459"/>
        <v>0</v>
      </c>
      <c r="AE991" s="21">
        <f t="shared" si="459"/>
        <v>0</v>
      </c>
      <c r="AF991" s="21">
        <f t="shared" si="459"/>
        <v>0</v>
      </c>
      <c r="AG991" s="21">
        <f t="shared" si="459"/>
        <v>0</v>
      </c>
      <c r="AH991" s="21">
        <f t="shared" si="459"/>
        <v>0</v>
      </c>
      <c r="AI991" s="21">
        <f t="shared" si="459"/>
        <v>0</v>
      </c>
      <c r="AJ991" s="21">
        <f t="shared" si="459"/>
        <v>0</v>
      </c>
      <c r="AK991" s="21">
        <f t="shared" si="459"/>
        <v>0</v>
      </c>
      <c r="AL991" s="21">
        <f t="shared" si="459"/>
        <v>0</v>
      </c>
      <c r="AM991" s="21">
        <f t="shared" si="459"/>
        <v>0</v>
      </c>
      <c r="AN991" s="21">
        <f t="shared" si="459"/>
        <v>0</v>
      </c>
      <c r="AO991" s="21">
        <f t="shared" si="459"/>
        <v>0</v>
      </c>
      <c r="AP991" s="54"/>
      <c r="AQ991" s="1"/>
    </row>
    <row r="992" ht="15.75" customHeight="1">
      <c r="A992" s="1"/>
      <c r="B992" s="35"/>
      <c r="C992" s="35"/>
      <c r="D992" s="35"/>
      <c r="E992" s="33" t="s">
        <v>24</v>
      </c>
      <c r="F992" s="36" t="s">
        <v>25</v>
      </c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8"/>
      <c r="T992" s="37"/>
      <c r="U992" s="38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9">
        <f t="shared" ref="AP992:AP997" si="460">SUM(H992:AO992)</f>
        <v>0</v>
      </c>
      <c r="AQ992" s="1"/>
    </row>
    <row r="993" ht="15.75" customHeight="1">
      <c r="A993" s="1"/>
      <c r="B993" s="35"/>
      <c r="C993" s="35"/>
      <c r="D993" s="35"/>
      <c r="E993" s="33" t="s">
        <v>333</v>
      </c>
      <c r="F993" s="36" t="s">
        <v>334</v>
      </c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8"/>
      <c r="T993" s="37"/>
      <c r="U993" s="38"/>
      <c r="V993" s="37"/>
      <c r="W993" s="37"/>
      <c r="X993" s="37"/>
      <c r="Y993" s="37"/>
      <c r="Z993" s="37"/>
      <c r="AA993" s="37"/>
      <c r="AB993" s="37"/>
      <c r="AC993" s="37"/>
      <c r="AD993" s="38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9">
        <f t="shared" si="460"/>
        <v>0</v>
      </c>
      <c r="AQ993" s="1"/>
    </row>
    <row r="994" ht="15.75" customHeight="1">
      <c r="A994" s="1"/>
      <c r="B994" s="35"/>
      <c r="C994" s="35"/>
      <c r="D994" s="35"/>
      <c r="E994" s="33" t="s">
        <v>227</v>
      </c>
      <c r="F994" s="36" t="s">
        <v>334</v>
      </c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8"/>
      <c r="T994" s="37"/>
      <c r="U994" s="38"/>
      <c r="V994" s="37"/>
      <c r="W994" s="37"/>
      <c r="X994" s="37"/>
      <c r="Y994" s="37"/>
      <c r="Z994" s="37"/>
      <c r="AA994" s="37"/>
      <c r="AB994" s="37"/>
      <c r="AC994" s="37"/>
      <c r="AD994" s="38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9">
        <f t="shared" si="460"/>
        <v>0</v>
      </c>
      <c r="AQ994" s="1"/>
    </row>
    <row r="995" ht="15.75" customHeight="1">
      <c r="A995" s="51"/>
      <c r="B995" s="35"/>
      <c r="C995" s="35"/>
      <c r="D995" s="35"/>
      <c r="E995" s="47"/>
      <c r="F995" s="40" t="s">
        <v>26</v>
      </c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8"/>
      <c r="T995" s="49"/>
      <c r="U995" s="48"/>
      <c r="V995" s="49"/>
      <c r="W995" s="49"/>
      <c r="X995" s="49"/>
      <c r="Y995" s="49"/>
      <c r="Z995" s="49"/>
      <c r="AA995" s="49"/>
      <c r="AB995" s="49"/>
      <c r="AC995" s="49"/>
      <c r="AD995" s="48"/>
      <c r="AE995" s="49"/>
      <c r="AF995" s="48"/>
      <c r="AG995" s="49"/>
      <c r="AH995" s="49"/>
      <c r="AI995" s="49"/>
      <c r="AJ995" s="49"/>
      <c r="AK995" s="49"/>
      <c r="AL995" s="49"/>
      <c r="AM995" s="49"/>
      <c r="AN995" s="49"/>
      <c r="AO995" s="49"/>
      <c r="AP995" s="50">
        <f t="shared" si="460"/>
        <v>0</v>
      </c>
      <c r="AQ995" s="51"/>
    </row>
    <row r="996" ht="15.75" customHeight="1">
      <c r="A996" s="1"/>
      <c r="B996" s="35"/>
      <c r="C996" s="35"/>
      <c r="D996" s="35"/>
      <c r="E996" s="33" t="s">
        <v>27</v>
      </c>
      <c r="F996" s="41" t="s">
        <v>28</v>
      </c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8"/>
      <c r="T996" s="37"/>
      <c r="U996" s="38"/>
      <c r="V996" s="37"/>
      <c r="W996" s="37"/>
      <c r="X996" s="37"/>
      <c r="Y996" s="37"/>
      <c r="Z996" s="37"/>
      <c r="AA996" s="37"/>
      <c r="AB996" s="37"/>
      <c r="AC996" s="37"/>
      <c r="AD996" s="38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9">
        <f t="shared" si="460"/>
        <v>0</v>
      </c>
      <c r="AQ996" s="1"/>
    </row>
    <row r="997" ht="15.75" customHeight="1">
      <c r="A997" s="1"/>
      <c r="B997" s="35"/>
      <c r="C997" s="35"/>
      <c r="D997" s="35"/>
      <c r="E997" s="33"/>
      <c r="F997" s="41" t="s">
        <v>29</v>
      </c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8"/>
      <c r="T997" s="37"/>
      <c r="U997" s="38"/>
      <c r="V997" s="37"/>
      <c r="W997" s="37"/>
      <c r="X997" s="37"/>
      <c r="Y997" s="37"/>
      <c r="Z997" s="37"/>
      <c r="AA997" s="37"/>
      <c r="AB997" s="37"/>
      <c r="AC997" s="37"/>
      <c r="AD997" s="38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9">
        <f t="shared" si="460"/>
        <v>0</v>
      </c>
      <c r="AQ997" s="1"/>
    </row>
    <row r="998" ht="15.75" customHeight="1">
      <c r="A998" s="1"/>
      <c r="B998" s="42"/>
      <c r="C998" s="42"/>
      <c r="D998" s="42"/>
      <c r="E998" s="52"/>
      <c r="F998" s="43" t="s">
        <v>30</v>
      </c>
      <c r="G998" s="44"/>
      <c r="H998" s="34">
        <f t="shared" ref="H998:AN998" si="461">H991+H992+H993+H994-H995+H996-H997</f>
        <v>0</v>
      </c>
      <c r="I998" s="34">
        <f t="shared" si="461"/>
        <v>0</v>
      </c>
      <c r="J998" s="34">
        <f t="shared" si="461"/>
        <v>0</v>
      </c>
      <c r="K998" s="34">
        <f t="shared" si="461"/>
        <v>0</v>
      </c>
      <c r="L998" s="34">
        <f t="shared" si="461"/>
        <v>0</v>
      </c>
      <c r="M998" s="34">
        <f t="shared" si="461"/>
        <v>0</v>
      </c>
      <c r="N998" s="34">
        <f t="shared" si="461"/>
        <v>0</v>
      </c>
      <c r="O998" s="34">
        <f t="shared" si="461"/>
        <v>0</v>
      </c>
      <c r="P998" s="34">
        <f t="shared" si="461"/>
        <v>0</v>
      </c>
      <c r="Q998" s="34">
        <f t="shared" si="461"/>
        <v>0</v>
      </c>
      <c r="R998" s="34">
        <f t="shared" si="461"/>
        <v>0</v>
      </c>
      <c r="S998" s="34">
        <f t="shared" si="461"/>
        <v>0</v>
      </c>
      <c r="T998" s="34">
        <f t="shared" si="461"/>
        <v>0</v>
      </c>
      <c r="U998" s="34">
        <f t="shared" si="461"/>
        <v>0</v>
      </c>
      <c r="V998" s="34">
        <f t="shared" si="461"/>
        <v>0</v>
      </c>
      <c r="W998" s="34">
        <f t="shared" si="461"/>
        <v>0</v>
      </c>
      <c r="X998" s="34">
        <f t="shared" si="461"/>
        <v>0</v>
      </c>
      <c r="Y998" s="34">
        <f t="shared" si="461"/>
        <v>0</v>
      </c>
      <c r="Z998" s="34">
        <f t="shared" si="461"/>
        <v>0</v>
      </c>
      <c r="AA998" s="34">
        <f t="shared" si="461"/>
        <v>0</v>
      </c>
      <c r="AB998" s="34">
        <f t="shared" si="461"/>
        <v>0</v>
      </c>
      <c r="AC998" s="34">
        <f t="shared" si="461"/>
        <v>0</v>
      </c>
      <c r="AD998" s="34">
        <f t="shared" si="461"/>
        <v>0</v>
      </c>
      <c r="AE998" s="34">
        <f t="shared" si="461"/>
        <v>0</v>
      </c>
      <c r="AF998" s="34">
        <f t="shared" si="461"/>
        <v>0</v>
      </c>
      <c r="AG998" s="34">
        <f t="shared" si="461"/>
        <v>0</v>
      </c>
      <c r="AH998" s="34">
        <f t="shared" si="461"/>
        <v>0</v>
      </c>
      <c r="AI998" s="34">
        <f t="shared" si="461"/>
        <v>0</v>
      </c>
      <c r="AJ998" s="34">
        <f t="shared" si="461"/>
        <v>0</v>
      </c>
      <c r="AK998" s="34">
        <f t="shared" si="461"/>
        <v>0</v>
      </c>
      <c r="AL998" s="34">
        <f t="shared" si="461"/>
        <v>0</v>
      </c>
      <c r="AM998" s="34">
        <f t="shared" si="461"/>
        <v>0</v>
      </c>
      <c r="AN998" s="34">
        <f t="shared" si="461"/>
        <v>0</v>
      </c>
      <c r="AO998" s="34"/>
      <c r="AP998" s="45">
        <f>AO991</f>
        <v>0</v>
      </c>
      <c r="AQ998" s="1"/>
    </row>
    <row r="999" ht="15.75" customHeight="1">
      <c r="A999" s="1"/>
      <c r="B999" s="32"/>
      <c r="C999" s="32" t="s">
        <v>340</v>
      </c>
      <c r="D999" s="32" t="s">
        <v>341</v>
      </c>
      <c r="E999" s="13"/>
      <c r="F999" s="14" t="s">
        <v>23</v>
      </c>
      <c r="G999" s="44"/>
      <c r="H999" s="34" t="str">
        <f t="shared" ref="H999:AO999" si="462">G1004</f>
        <v/>
      </c>
      <c r="I999" s="34">
        <f t="shared" si="462"/>
        <v>0</v>
      </c>
      <c r="J999" s="34">
        <f t="shared" si="462"/>
        <v>0</v>
      </c>
      <c r="K999" s="34">
        <f t="shared" si="462"/>
        <v>0</v>
      </c>
      <c r="L999" s="34">
        <f t="shared" si="462"/>
        <v>0</v>
      </c>
      <c r="M999" s="34">
        <f t="shared" si="462"/>
        <v>0</v>
      </c>
      <c r="N999" s="34">
        <f t="shared" si="462"/>
        <v>0</v>
      </c>
      <c r="O999" s="34">
        <f t="shared" si="462"/>
        <v>0</v>
      </c>
      <c r="P999" s="34">
        <f t="shared" si="462"/>
        <v>0</v>
      </c>
      <c r="Q999" s="34">
        <f t="shared" si="462"/>
        <v>0</v>
      </c>
      <c r="R999" s="34">
        <f t="shared" si="462"/>
        <v>0</v>
      </c>
      <c r="S999" s="34">
        <f t="shared" si="462"/>
        <v>0</v>
      </c>
      <c r="T999" s="34">
        <f t="shared" si="462"/>
        <v>0</v>
      </c>
      <c r="U999" s="34">
        <f t="shared" si="462"/>
        <v>0</v>
      </c>
      <c r="V999" s="34">
        <f t="shared" si="462"/>
        <v>0</v>
      </c>
      <c r="W999" s="34">
        <f t="shared" si="462"/>
        <v>0</v>
      </c>
      <c r="X999" s="34">
        <f t="shared" si="462"/>
        <v>0</v>
      </c>
      <c r="Y999" s="34">
        <f t="shared" si="462"/>
        <v>0</v>
      </c>
      <c r="Z999" s="34">
        <f t="shared" si="462"/>
        <v>0</v>
      </c>
      <c r="AA999" s="34">
        <f t="shared" si="462"/>
        <v>0</v>
      </c>
      <c r="AB999" s="34">
        <f t="shared" si="462"/>
        <v>0</v>
      </c>
      <c r="AC999" s="34">
        <f t="shared" si="462"/>
        <v>0</v>
      </c>
      <c r="AD999" s="34">
        <f t="shared" si="462"/>
        <v>0</v>
      </c>
      <c r="AE999" s="34">
        <f t="shared" si="462"/>
        <v>0</v>
      </c>
      <c r="AF999" s="34">
        <f t="shared" si="462"/>
        <v>0</v>
      </c>
      <c r="AG999" s="34">
        <f t="shared" si="462"/>
        <v>0</v>
      </c>
      <c r="AH999" s="34">
        <f t="shared" si="462"/>
        <v>0</v>
      </c>
      <c r="AI999" s="34">
        <f t="shared" si="462"/>
        <v>0</v>
      </c>
      <c r="AJ999" s="34">
        <f t="shared" si="462"/>
        <v>0</v>
      </c>
      <c r="AK999" s="34">
        <f t="shared" si="462"/>
        <v>0</v>
      </c>
      <c r="AL999" s="34">
        <f t="shared" si="462"/>
        <v>0</v>
      </c>
      <c r="AM999" s="34">
        <f t="shared" si="462"/>
        <v>0</v>
      </c>
      <c r="AN999" s="34">
        <f t="shared" si="462"/>
        <v>0</v>
      </c>
      <c r="AO999" s="34">
        <f t="shared" si="462"/>
        <v>0</v>
      </c>
      <c r="AP999" s="54"/>
      <c r="AQ999" s="1"/>
    </row>
    <row r="1000" ht="15.75" customHeight="1">
      <c r="A1000" s="1"/>
      <c r="B1000" s="35"/>
      <c r="C1000" s="35"/>
      <c r="D1000" s="35"/>
      <c r="E1000" s="33" t="s">
        <v>24</v>
      </c>
      <c r="F1000" s="36" t="s">
        <v>25</v>
      </c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8"/>
      <c r="T1000" s="37"/>
      <c r="U1000" s="38"/>
      <c r="V1000" s="37"/>
      <c r="W1000" s="37"/>
      <c r="X1000" s="37"/>
      <c r="Y1000" s="37"/>
      <c r="Z1000" s="37"/>
      <c r="AA1000" s="37"/>
      <c r="AB1000" s="37"/>
      <c r="AC1000" s="37"/>
      <c r="AD1000" s="38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9">
        <f t="shared" ref="AP1000:AP1003" si="463">SUM(H1000:AO1000)</f>
        <v>0</v>
      </c>
      <c r="AQ1000" s="1"/>
    </row>
    <row r="1001" ht="15.75" customHeight="1">
      <c r="A1001" s="1"/>
      <c r="B1001" s="35"/>
      <c r="C1001" s="35"/>
      <c r="D1001" s="35"/>
      <c r="E1001" s="33"/>
      <c r="F1001" s="40" t="s">
        <v>26</v>
      </c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8"/>
      <c r="T1001" s="37"/>
      <c r="U1001" s="38"/>
      <c r="V1001" s="37"/>
      <c r="W1001" s="37"/>
      <c r="X1001" s="37"/>
      <c r="Y1001" s="37"/>
      <c r="Z1001" s="37"/>
      <c r="AA1001" s="37"/>
      <c r="AB1001" s="37"/>
      <c r="AC1001" s="37"/>
      <c r="AD1001" s="38"/>
      <c r="AE1001" s="37"/>
      <c r="AF1001" s="37"/>
      <c r="AG1001" s="37"/>
      <c r="AH1001" s="37"/>
      <c r="AI1001" s="37"/>
      <c r="AJ1001" s="37"/>
      <c r="AK1001" s="37"/>
      <c r="AL1001" s="37"/>
      <c r="AM1001" s="37"/>
      <c r="AN1001" s="37"/>
      <c r="AO1001" s="37"/>
      <c r="AP1001" s="39">
        <f t="shared" si="463"/>
        <v>0</v>
      </c>
      <c r="AQ1001" s="1"/>
    </row>
    <row r="1002" ht="15.75" customHeight="1">
      <c r="A1002" s="1"/>
      <c r="B1002" s="35"/>
      <c r="C1002" s="35"/>
      <c r="D1002" s="35"/>
      <c r="E1002" s="33" t="s">
        <v>27</v>
      </c>
      <c r="F1002" s="41" t="s">
        <v>28</v>
      </c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8"/>
      <c r="T1002" s="37"/>
      <c r="U1002" s="38"/>
      <c r="V1002" s="37"/>
      <c r="W1002" s="37"/>
      <c r="X1002" s="37"/>
      <c r="Y1002" s="37"/>
      <c r="Z1002" s="37"/>
      <c r="AA1002" s="37"/>
      <c r="AB1002" s="37"/>
      <c r="AC1002" s="37"/>
      <c r="AD1002" s="38"/>
      <c r="AE1002" s="37"/>
      <c r="AF1002" s="37"/>
      <c r="AG1002" s="37"/>
      <c r="AH1002" s="37"/>
      <c r="AI1002" s="37"/>
      <c r="AJ1002" s="37"/>
      <c r="AK1002" s="37"/>
      <c r="AL1002" s="37"/>
      <c r="AM1002" s="37"/>
      <c r="AN1002" s="37"/>
      <c r="AO1002" s="37"/>
      <c r="AP1002" s="39">
        <f t="shared" si="463"/>
        <v>0</v>
      </c>
      <c r="AQ1002" s="1"/>
    </row>
    <row r="1003" ht="15.75" customHeight="1">
      <c r="A1003" s="1"/>
      <c r="B1003" s="35"/>
      <c r="C1003" s="35"/>
      <c r="D1003" s="35"/>
      <c r="E1003" s="33"/>
      <c r="F1003" s="41" t="s">
        <v>29</v>
      </c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8"/>
      <c r="T1003" s="37"/>
      <c r="U1003" s="38"/>
      <c r="V1003" s="37"/>
      <c r="W1003" s="37"/>
      <c r="X1003" s="37"/>
      <c r="Y1003" s="37"/>
      <c r="Z1003" s="37"/>
      <c r="AA1003" s="37"/>
      <c r="AB1003" s="37"/>
      <c r="AC1003" s="37"/>
      <c r="AD1003" s="38"/>
      <c r="AE1003" s="37"/>
      <c r="AF1003" s="37"/>
      <c r="AG1003" s="37"/>
      <c r="AH1003" s="37"/>
      <c r="AI1003" s="37"/>
      <c r="AJ1003" s="37"/>
      <c r="AK1003" s="37"/>
      <c r="AL1003" s="37"/>
      <c r="AM1003" s="37"/>
      <c r="AN1003" s="37"/>
      <c r="AO1003" s="37"/>
      <c r="AP1003" s="39">
        <f t="shared" si="463"/>
        <v>0</v>
      </c>
      <c r="AQ1003" s="1"/>
    </row>
    <row r="1004" ht="15.75" customHeight="1">
      <c r="A1004" s="1"/>
      <c r="B1004" s="42"/>
      <c r="C1004" s="42"/>
      <c r="D1004" s="42"/>
      <c r="E1004" s="52"/>
      <c r="F1004" s="43" t="s">
        <v>30</v>
      </c>
      <c r="G1004" s="44"/>
      <c r="H1004" s="34">
        <f t="shared" ref="H1004:AN1004" si="464">H999+H1000-H1001+H1002-H1003</f>
        <v>0</v>
      </c>
      <c r="I1004" s="34">
        <f t="shared" si="464"/>
        <v>0</v>
      </c>
      <c r="J1004" s="34">
        <f t="shared" si="464"/>
        <v>0</v>
      </c>
      <c r="K1004" s="34">
        <f t="shared" si="464"/>
        <v>0</v>
      </c>
      <c r="L1004" s="34">
        <f t="shared" si="464"/>
        <v>0</v>
      </c>
      <c r="M1004" s="34">
        <f t="shared" si="464"/>
        <v>0</v>
      </c>
      <c r="N1004" s="34">
        <f t="shared" si="464"/>
        <v>0</v>
      </c>
      <c r="O1004" s="34">
        <f t="shared" si="464"/>
        <v>0</v>
      </c>
      <c r="P1004" s="34">
        <f t="shared" si="464"/>
        <v>0</v>
      </c>
      <c r="Q1004" s="34">
        <f t="shared" si="464"/>
        <v>0</v>
      </c>
      <c r="R1004" s="34">
        <f t="shared" si="464"/>
        <v>0</v>
      </c>
      <c r="S1004" s="34">
        <f t="shared" si="464"/>
        <v>0</v>
      </c>
      <c r="T1004" s="34">
        <f t="shared" si="464"/>
        <v>0</v>
      </c>
      <c r="U1004" s="34">
        <f t="shared" si="464"/>
        <v>0</v>
      </c>
      <c r="V1004" s="34">
        <f t="shared" si="464"/>
        <v>0</v>
      </c>
      <c r="W1004" s="34">
        <f t="shared" si="464"/>
        <v>0</v>
      </c>
      <c r="X1004" s="34">
        <f t="shared" si="464"/>
        <v>0</v>
      </c>
      <c r="Y1004" s="34">
        <f t="shared" si="464"/>
        <v>0</v>
      </c>
      <c r="Z1004" s="34">
        <f t="shared" si="464"/>
        <v>0</v>
      </c>
      <c r="AA1004" s="34">
        <f t="shared" si="464"/>
        <v>0</v>
      </c>
      <c r="AB1004" s="34">
        <f t="shared" si="464"/>
        <v>0</v>
      </c>
      <c r="AC1004" s="34">
        <f t="shared" si="464"/>
        <v>0</v>
      </c>
      <c r="AD1004" s="34">
        <f t="shared" si="464"/>
        <v>0</v>
      </c>
      <c r="AE1004" s="34">
        <f t="shared" si="464"/>
        <v>0</v>
      </c>
      <c r="AF1004" s="34">
        <f t="shared" si="464"/>
        <v>0</v>
      </c>
      <c r="AG1004" s="34">
        <f t="shared" si="464"/>
        <v>0</v>
      </c>
      <c r="AH1004" s="34">
        <f t="shared" si="464"/>
        <v>0</v>
      </c>
      <c r="AI1004" s="34">
        <f t="shared" si="464"/>
        <v>0</v>
      </c>
      <c r="AJ1004" s="34">
        <f t="shared" si="464"/>
        <v>0</v>
      </c>
      <c r="AK1004" s="34">
        <f t="shared" si="464"/>
        <v>0</v>
      </c>
      <c r="AL1004" s="34">
        <f t="shared" si="464"/>
        <v>0</v>
      </c>
      <c r="AM1004" s="34">
        <f t="shared" si="464"/>
        <v>0</v>
      </c>
      <c r="AN1004" s="34">
        <f t="shared" si="464"/>
        <v>0</v>
      </c>
      <c r="AO1004" s="34"/>
      <c r="AP1004" s="45">
        <f>AO999</f>
        <v>0</v>
      </c>
      <c r="AQ1004" s="1"/>
    </row>
    <row r="1005" ht="15.75" customHeight="1">
      <c r="A1005" s="1"/>
      <c r="B1005" s="32"/>
      <c r="C1005" s="32" t="s">
        <v>342</v>
      </c>
      <c r="D1005" s="32" t="s">
        <v>343</v>
      </c>
      <c r="E1005" s="13"/>
      <c r="F1005" s="14" t="s">
        <v>23</v>
      </c>
      <c r="G1005" s="44"/>
      <c r="H1005" s="34" t="str">
        <f t="shared" ref="H1005:AO1005" si="465">G1010</f>
        <v/>
      </c>
      <c r="I1005" s="34">
        <f t="shared" si="465"/>
        <v>0</v>
      </c>
      <c r="J1005" s="34">
        <f t="shared" si="465"/>
        <v>0</v>
      </c>
      <c r="K1005" s="34">
        <f t="shared" si="465"/>
        <v>0</v>
      </c>
      <c r="L1005" s="34">
        <f t="shared" si="465"/>
        <v>0</v>
      </c>
      <c r="M1005" s="34">
        <f t="shared" si="465"/>
        <v>0</v>
      </c>
      <c r="N1005" s="34">
        <f t="shared" si="465"/>
        <v>0</v>
      </c>
      <c r="O1005" s="34">
        <f t="shared" si="465"/>
        <v>0</v>
      </c>
      <c r="P1005" s="34">
        <f t="shared" si="465"/>
        <v>0</v>
      </c>
      <c r="Q1005" s="34">
        <f t="shared" si="465"/>
        <v>0</v>
      </c>
      <c r="R1005" s="34">
        <f t="shared" si="465"/>
        <v>0</v>
      </c>
      <c r="S1005" s="34">
        <f t="shared" si="465"/>
        <v>0</v>
      </c>
      <c r="T1005" s="34">
        <f t="shared" si="465"/>
        <v>0</v>
      </c>
      <c r="U1005" s="34">
        <f t="shared" si="465"/>
        <v>0</v>
      </c>
      <c r="V1005" s="34">
        <f t="shared" si="465"/>
        <v>0</v>
      </c>
      <c r="W1005" s="34">
        <f t="shared" si="465"/>
        <v>0</v>
      </c>
      <c r="X1005" s="34">
        <f t="shared" si="465"/>
        <v>0</v>
      </c>
      <c r="Y1005" s="34">
        <f t="shared" si="465"/>
        <v>0</v>
      </c>
      <c r="Z1005" s="34">
        <f t="shared" si="465"/>
        <v>0</v>
      </c>
      <c r="AA1005" s="34">
        <f t="shared" si="465"/>
        <v>0</v>
      </c>
      <c r="AB1005" s="34">
        <f t="shared" si="465"/>
        <v>0</v>
      </c>
      <c r="AC1005" s="34">
        <f t="shared" si="465"/>
        <v>0</v>
      </c>
      <c r="AD1005" s="34">
        <f t="shared" si="465"/>
        <v>0</v>
      </c>
      <c r="AE1005" s="34">
        <f t="shared" si="465"/>
        <v>0</v>
      </c>
      <c r="AF1005" s="34">
        <f t="shared" si="465"/>
        <v>0</v>
      </c>
      <c r="AG1005" s="34">
        <f t="shared" si="465"/>
        <v>0</v>
      </c>
      <c r="AH1005" s="34">
        <f t="shared" si="465"/>
        <v>0</v>
      </c>
      <c r="AI1005" s="34">
        <f t="shared" si="465"/>
        <v>0</v>
      </c>
      <c r="AJ1005" s="34">
        <f t="shared" si="465"/>
        <v>0</v>
      </c>
      <c r="AK1005" s="34">
        <f t="shared" si="465"/>
        <v>0</v>
      </c>
      <c r="AL1005" s="34">
        <f t="shared" si="465"/>
        <v>0</v>
      </c>
      <c r="AM1005" s="34">
        <f t="shared" si="465"/>
        <v>0</v>
      </c>
      <c r="AN1005" s="34">
        <f t="shared" si="465"/>
        <v>0</v>
      </c>
      <c r="AO1005" s="34">
        <f t="shared" si="465"/>
        <v>0</v>
      </c>
      <c r="AP1005" s="54"/>
      <c r="AQ1005" s="1"/>
    </row>
    <row r="1006" ht="15.75" customHeight="1">
      <c r="A1006" s="1"/>
      <c r="B1006" s="35"/>
      <c r="C1006" s="35"/>
      <c r="D1006" s="35"/>
      <c r="E1006" s="33" t="s">
        <v>24</v>
      </c>
      <c r="F1006" s="36" t="s">
        <v>25</v>
      </c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8"/>
      <c r="T1006" s="37"/>
      <c r="U1006" s="38"/>
      <c r="V1006" s="37"/>
      <c r="W1006" s="37"/>
      <c r="X1006" s="37"/>
      <c r="Y1006" s="37"/>
      <c r="Z1006" s="37"/>
      <c r="AA1006" s="37"/>
      <c r="AB1006" s="37"/>
      <c r="AC1006" s="37"/>
      <c r="AD1006" s="38"/>
      <c r="AE1006" s="37"/>
      <c r="AF1006" s="37"/>
      <c r="AG1006" s="37"/>
      <c r="AH1006" s="37"/>
      <c r="AI1006" s="37"/>
      <c r="AJ1006" s="37"/>
      <c r="AK1006" s="37"/>
      <c r="AL1006" s="37"/>
      <c r="AM1006" s="37"/>
      <c r="AN1006" s="37"/>
      <c r="AO1006" s="37"/>
      <c r="AP1006" s="39">
        <f t="shared" ref="AP1006:AP1009" si="466">SUM(H1006:AO1006)</f>
        <v>0</v>
      </c>
      <c r="AQ1006" s="1"/>
    </row>
    <row r="1007" ht="15.75" customHeight="1">
      <c r="A1007" s="1"/>
      <c r="B1007" s="35"/>
      <c r="C1007" s="35"/>
      <c r="D1007" s="35"/>
      <c r="E1007" s="33"/>
      <c r="F1007" s="40" t="s">
        <v>26</v>
      </c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8"/>
      <c r="T1007" s="37"/>
      <c r="U1007" s="38"/>
      <c r="V1007" s="37"/>
      <c r="W1007" s="37"/>
      <c r="X1007" s="37"/>
      <c r="Y1007" s="37"/>
      <c r="Z1007" s="37"/>
      <c r="AA1007" s="37"/>
      <c r="AB1007" s="37"/>
      <c r="AC1007" s="37"/>
      <c r="AD1007" s="38"/>
      <c r="AE1007" s="37"/>
      <c r="AF1007" s="37"/>
      <c r="AG1007" s="37"/>
      <c r="AH1007" s="37"/>
      <c r="AI1007" s="37"/>
      <c r="AJ1007" s="37"/>
      <c r="AK1007" s="37"/>
      <c r="AL1007" s="37"/>
      <c r="AM1007" s="37"/>
      <c r="AN1007" s="37"/>
      <c r="AO1007" s="37"/>
      <c r="AP1007" s="39">
        <f t="shared" si="466"/>
        <v>0</v>
      </c>
      <c r="AQ1007" s="1"/>
    </row>
    <row r="1008" ht="15.75" customHeight="1">
      <c r="A1008" s="1"/>
      <c r="B1008" s="35"/>
      <c r="C1008" s="35"/>
      <c r="D1008" s="35"/>
      <c r="E1008" s="33" t="s">
        <v>27</v>
      </c>
      <c r="F1008" s="41" t="s">
        <v>28</v>
      </c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8"/>
      <c r="T1008" s="37"/>
      <c r="U1008" s="38"/>
      <c r="V1008" s="37"/>
      <c r="W1008" s="37"/>
      <c r="X1008" s="37"/>
      <c r="Y1008" s="37"/>
      <c r="Z1008" s="37"/>
      <c r="AA1008" s="37"/>
      <c r="AB1008" s="37"/>
      <c r="AC1008" s="37"/>
      <c r="AD1008" s="38"/>
      <c r="AE1008" s="37"/>
      <c r="AF1008" s="37"/>
      <c r="AG1008" s="37"/>
      <c r="AH1008" s="37"/>
      <c r="AI1008" s="37"/>
      <c r="AJ1008" s="37"/>
      <c r="AK1008" s="37"/>
      <c r="AL1008" s="37"/>
      <c r="AM1008" s="37"/>
      <c r="AN1008" s="37"/>
      <c r="AO1008" s="37"/>
      <c r="AP1008" s="39">
        <f t="shared" si="466"/>
        <v>0</v>
      </c>
      <c r="AQ1008" s="1"/>
    </row>
    <row r="1009" ht="15.75" customHeight="1">
      <c r="A1009" s="1"/>
      <c r="B1009" s="35"/>
      <c r="C1009" s="35"/>
      <c r="D1009" s="35"/>
      <c r="E1009" s="33"/>
      <c r="F1009" s="41" t="s">
        <v>29</v>
      </c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8"/>
      <c r="T1009" s="37"/>
      <c r="U1009" s="38"/>
      <c r="V1009" s="37"/>
      <c r="W1009" s="37"/>
      <c r="X1009" s="37"/>
      <c r="Y1009" s="37"/>
      <c r="Z1009" s="37"/>
      <c r="AA1009" s="37"/>
      <c r="AB1009" s="37"/>
      <c r="AC1009" s="37"/>
      <c r="AD1009" s="38"/>
      <c r="AE1009" s="37"/>
      <c r="AF1009" s="37"/>
      <c r="AG1009" s="37"/>
      <c r="AH1009" s="37"/>
      <c r="AI1009" s="37"/>
      <c r="AJ1009" s="37"/>
      <c r="AK1009" s="37"/>
      <c r="AL1009" s="37"/>
      <c r="AM1009" s="37"/>
      <c r="AN1009" s="37"/>
      <c r="AO1009" s="37"/>
      <c r="AP1009" s="39">
        <f t="shared" si="466"/>
        <v>0</v>
      </c>
      <c r="AQ1009" s="1"/>
    </row>
    <row r="1010" ht="15.75" customHeight="1">
      <c r="A1010" s="1"/>
      <c r="B1010" s="42"/>
      <c r="C1010" s="42"/>
      <c r="D1010" s="42"/>
      <c r="E1010" s="52"/>
      <c r="F1010" s="43" t="s">
        <v>30</v>
      </c>
      <c r="G1010" s="44"/>
      <c r="H1010" s="34">
        <f t="shared" ref="H1010:AN1010" si="467">H1005+H1006-H1007+H1008-H1009</f>
        <v>0</v>
      </c>
      <c r="I1010" s="34">
        <f t="shared" si="467"/>
        <v>0</v>
      </c>
      <c r="J1010" s="34">
        <f t="shared" si="467"/>
        <v>0</v>
      </c>
      <c r="K1010" s="34">
        <f t="shared" si="467"/>
        <v>0</v>
      </c>
      <c r="L1010" s="34">
        <f t="shared" si="467"/>
        <v>0</v>
      </c>
      <c r="M1010" s="34">
        <f t="shared" si="467"/>
        <v>0</v>
      </c>
      <c r="N1010" s="34">
        <f t="shared" si="467"/>
        <v>0</v>
      </c>
      <c r="O1010" s="34">
        <f t="shared" si="467"/>
        <v>0</v>
      </c>
      <c r="P1010" s="34">
        <f t="shared" si="467"/>
        <v>0</v>
      </c>
      <c r="Q1010" s="34">
        <f t="shared" si="467"/>
        <v>0</v>
      </c>
      <c r="R1010" s="34">
        <f t="shared" si="467"/>
        <v>0</v>
      </c>
      <c r="S1010" s="34">
        <f t="shared" si="467"/>
        <v>0</v>
      </c>
      <c r="T1010" s="34">
        <f t="shared" si="467"/>
        <v>0</v>
      </c>
      <c r="U1010" s="34">
        <f t="shared" si="467"/>
        <v>0</v>
      </c>
      <c r="V1010" s="34">
        <f t="shared" si="467"/>
        <v>0</v>
      </c>
      <c r="W1010" s="34">
        <f t="shared" si="467"/>
        <v>0</v>
      </c>
      <c r="X1010" s="34">
        <f t="shared" si="467"/>
        <v>0</v>
      </c>
      <c r="Y1010" s="34">
        <f t="shared" si="467"/>
        <v>0</v>
      </c>
      <c r="Z1010" s="34">
        <f t="shared" si="467"/>
        <v>0</v>
      </c>
      <c r="AA1010" s="34">
        <f t="shared" si="467"/>
        <v>0</v>
      </c>
      <c r="AB1010" s="34">
        <f t="shared" si="467"/>
        <v>0</v>
      </c>
      <c r="AC1010" s="34">
        <f t="shared" si="467"/>
        <v>0</v>
      </c>
      <c r="AD1010" s="34">
        <f t="shared" si="467"/>
        <v>0</v>
      </c>
      <c r="AE1010" s="34">
        <f t="shared" si="467"/>
        <v>0</v>
      </c>
      <c r="AF1010" s="34">
        <f t="shared" si="467"/>
        <v>0</v>
      </c>
      <c r="AG1010" s="34">
        <f t="shared" si="467"/>
        <v>0</v>
      </c>
      <c r="AH1010" s="34">
        <f t="shared" si="467"/>
        <v>0</v>
      </c>
      <c r="AI1010" s="34">
        <f t="shared" si="467"/>
        <v>0</v>
      </c>
      <c r="AJ1010" s="34">
        <f t="shared" si="467"/>
        <v>0</v>
      </c>
      <c r="AK1010" s="34">
        <f t="shared" si="467"/>
        <v>0</v>
      </c>
      <c r="AL1010" s="34">
        <f t="shared" si="467"/>
        <v>0</v>
      </c>
      <c r="AM1010" s="34">
        <f t="shared" si="467"/>
        <v>0</v>
      </c>
      <c r="AN1010" s="34">
        <f t="shared" si="467"/>
        <v>0</v>
      </c>
      <c r="AO1010" s="34"/>
      <c r="AP1010" s="45">
        <f>AO1005</f>
        <v>0</v>
      </c>
      <c r="AQ1010" s="1"/>
    </row>
    <row r="1011" ht="15.75" customHeight="1">
      <c r="A1011" s="1"/>
      <c r="B1011" s="32"/>
      <c r="C1011" s="32" t="s">
        <v>344</v>
      </c>
      <c r="D1011" s="32" t="s">
        <v>345</v>
      </c>
      <c r="E1011" s="13"/>
      <c r="F1011" s="14" t="s">
        <v>23</v>
      </c>
      <c r="G1011" s="44"/>
      <c r="H1011" s="34" t="str">
        <f t="shared" ref="H1011:AO1011" si="468">G1016</f>
        <v/>
      </c>
      <c r="I1011" s="34">
        <f t="shared" si="468"/>
        <v>0</v>
      </c>
      <c r="J1011" s="34">
        <f t="shared" si="468"/>
        <v>0</v>
      </c>
      <c r="K1011" s="34">
        <f t="shared" si="468"/>
        <v>0</v>
      </c>
      <c r="L1011" s="34">
        <f t="shared" si="468"/>
        <v>0</v>
      </c>
      <c r="M1011" s="34">
        <f t="shared" si="468"/>
        <v>0</v>
      </c>
      <c r="N1011" s="34">
        <f t="shared" si="468"/>
        <v>0</v>
      </c>
      <c r="O1011" s="34">
        <f t="shared" si="468"/>
        <v>0</v>
      </c>
      <c r="P1011" s="34">
        <f t="shared" si="468"/>
        <v>0</v>
      </c>
      <c r="Q1011" s="34">
        <f t="shared" si="468"/>
        <v>35</v>
      </c>
      <c r="R1011" s="34">
        <f t="shared" si="468"/>
        <v>35</v>
      </c>
      <c r="S1011" s="34">
        <f t="shared" si="468"/>
        <v>35</v>
      </c>
      <c r="T1011" s="34">
        <f t="shared" si="468"/>
        <v>35</v>
      </c>
      <c r="U1011" s="34">
        <f t="shared" si="468"/>
        <v>35</v>
      </c>
      <c r="V1011" s="34">
        <f t="shared" si="468"/>
        <v>35</v>
      </c>
      <c r="W1011" s="34">
        <f t="shared" si="468"/>
        <v>35</v>
      </c>
      <c r="X1011" s="34">
        <f t="shared" si="468"/>
        <v>35</v>
      </c>
      <c r="Y1011" s="34">
        <f t="shared" si="468"/>
        <v>-30</v>
      </c>
      <c r="Z1011" s="34">
        <f t="shared" si="468"/>
        <v>-30</v>
      </c>
      <c r="AA1011" s="34">
        <f t="shared" si="468"/>
        <v>-30</v>
      </c>
      <c r="AB1011" s="34">
        <f t="shared" si="468"/>
        <v>-30</v>
      </c>
      <c r="AC1011" s="34">
        <f t="shared" si="468"/>
        <v>-30</v>
      </c>
      <c r="AD1011" s="34">
        <f t="shared" si="468"/>
        <v>-30</v>
      </c>
      <c r="AE1011" s="34">
        <f t="shared" si="468"/>
        <v>-30</v>
      </c>
      <c r="AF1011" s="34">
        <f t="shared" si="468"/>
        <v>-30</v>
      </c>
      <c r="AG1011" s="34">
        <f t="shared" si="468"/>
        <v>-30</v>
      </c>
      <c r="AH1011" s="34">
        <f t="shared" si="468"/>
        <v>-30</v>
      </c>
      <c r="AI1011" s="34">
        <f t="shared" si="468"/>
        <v>-30</v>
      </c>
      <c r="AJ1011" s="34">
        <f t="shared" si="468"/>
        <v>-30</v>
      </c>
      <c r="AK1011" s="34">
        <f t="shared" si="468"/>
        <v>-30</v>
      </c>
      <c r="AL1011" s="34">
        <f t="shared" si="468"/>
        <v>-30</v>
      </c>
      <c r="AM1011" s="34">
        <f t="shared" si="468"/>
        <v>-30</v>
      </c>
      <c r="AN1011" s="34">
        <f t="shared" si="468"/>
        <v>-30</v>
      </c>
      <c r="AO1011" s="34">
        <f t="shared" si="468"/>
        <v>-30</v>
      </c>
      <c r="AP1011" s="54"/>
      <c r="AQ1011" s="1"/>
    </row>
    <row r="1012" ht="15.75" customHeight="1">
      <c r="A1012" s="1"/>
      <c r="B1012" s="35"/>
      <c r="C1012" s="35"/>
      <c r="D1012" s="35"/>
      <c r="E1012" s="33" t="s">
        <v>24</v>
      </c>
      <c r="F1012" s="36" t="s">
        <v>25</v>
      </c>
      <c r="G1012" s="37"/>
      <c r="H1012" s="37"/>
      <c r="I1012" s="37"/>
      <c r="J1012" s="37"/>
      <c r="K1012" s="37"/>
      <c r="L1012" s="37"/>
      <c r="M1012" s="37"/>
      <c r="N1012" s="37"/>
      <c r="O1012" s="37"/>
      <c r="P1012" s="37">
        <v>35.0</v>
      </c>
      <c r="Q1012" s="37"/>
      <c r="R1012" s="37"/>
      <c r="S1012" s="38"/>
      <c r="T1012" s="37"/>
      <c r="U1012" s="38"/>
      <c r="V1012" s="37"/>
      <c r="W1012" s="37"/>
      <c r="X1012" s="37"/>
      <c r="Y1012" s="37"/>
      <c r="Z1012" s="37"/>
      <c r="AA1012" s="37"/>
      <c r="AB1012" s="37"/>
      <c r="AC1012" s="37"/>
      <c r="AD1012" s="38"/>
      <c r="AE1012" s="37"/>
      <c r="AF1012" s="37"/>
      <c r="AG1012" s="37"/>
      <c r="AH1012" s="37"/>
      <c r="AI1012" s="37"/>
      <c r="AJ1012" s="37"/>
      <c r="AK1012" s="37"/>
      <c r="AL1012" s="37"/>
      <c r="AM1012" s="37"/>
      <c r="AN1012" s="37"/>
      <c r="AO1012" s="37"/>
      <c r="AP1012" s="39">
        <f t="shared" ref="AP1012:AP1015" si="469">SUM(H1012:AO1012)</f>
        <v>35</v>
      </c>
      <c r="AQ1012" s="1"/>
    </row>
    <row r="1013" ht="15.75" customHeight="1">
      <c r="A1013" s="1"/>
      <c r="B1013" s="35"/>
      <c r="C1013" s="35"/>
      <c r="D1013" s="35"/>
      <c r="E1013" s="33"/>
      <c r="F1013" s="40" t="s">
        <v>26</v>
      </c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8"/>
      <c r="T1013" s="37"/>
      <c r="U1013" s="38"/>
      <c r="V1013" s="37"/>
      <c r="W1013" s="37"/>
      <c r="X1013" s="37">
        <v>65.0</v>
      </c>
      <c r="Y1013" s="37"/>
      <c r="Z1013" s="37"/>
      <c r="AA1013" s="37"/>
      <c r="AB1013" s="37"/>
      <c r="AC1013" s="37"/>
      <c r="AD1013" s="38"/>
      <c r="AE1013" s="37"/>
      <c r="AF1013" s="37"/>
      <c r="AG1013" s="37"/>
      <c r="AH1013" s="37"/>
      <c r="AI1013" s="37"/>
      <c r="AJ1013" s="37"/>
      <c r="AK1013" s="37"/>
      <c r="AL1013" s="37"/>
      <c r="AM1013" s="37"/>
      <c r="AN1013" s="37"/>
      <c r="AO1013" s="38"/>
      <c r="AP1013" s="39">
        <f t="shared" si="469"/>
        <v>65</v>
      </c>
      <c r="AQ1013" s="1"/>
    </row>
    <row r="1014" ht="15.75" customHeight="1">
      <c r="A1014" s="1"/>
      <c r="B1014" s="35"/>
      <c r="C1014" s="35"/>
      <c r="D1014" s="35"/>
      <c r="E1014" s="33" t="s">
        <v>27</v>
      </c>
      <c r="F1014" s="41" t="s">
        <v>28</v>
      </c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8"/>
      <c r="T1014" s="37"/>
      <c r="U1014" s="38"/>
      <c r="V1014" s="37"/>
      <c r="W1014" s="37"/>
      <c r="X1014" s="37"/>
      <c r="Y1014" s="37"/>
      <c r="Z1014" s="37"/>
      <c r="AA1014" s="37"/>
      <c r="AB1014" s="37"/>
      <c r="AC1014" s="37"/>
      <c r="AD1014" s="38"/>
      <c r="AE1014" s="37"/>
      <c r="AF1014" s="37"/>
      <c r="AG1014" s="37"/>
      <c r="AH1014" s="37"/>
      <c r="AI1014" s="37"/>
      <c r="AJ1014" s="37"/>
      <c r="AK1014" s="37"/>
      <c r="AL1014" s="37"/>
      <c r="AM1014" s="37"/>
      <c r="AN1014" s="37"/>
      <c r="AO1014" s="37"/>
      <c r="AP1014" s="39">
        <f t="shared" si="469"/>
        <v>0</v>
      </c>
      <c r="AQ1014" s="1"/>
    </row>
    <row r="1015" ht="15.75" customHeight="1">
      <c r="A1015" s="1"/>
      <c r="B1015" s="35"/>
      <c r="C1015" s="35"/>
      <c r="D1015" s="35"/>
      <c r="E1015" s="33"/>
      <c r="F1015" s="41" t="s">
        <v>29</v>
      </c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8"/>
      <c r="T1015" s="37"/>
      <c r="U1015" s="38"/>
      <c r="V1015" s="37"/>
      <c r="W1015" s="37"/>
      <c r="X1015" s="37"/>
      <c r="Y1015" s="37"/>
      <c r="Z1015" s="37"/>
      <c r="AA1015" s="37"/>
      <c r="AB1015" s="37"/>
      <c r="AC1015" s="37"/>
      <c r="AD1015" s="38"/>
      <c r="AE1015" s="37"/>
      <c r="AF1015" s="37"/>
      <c r="AG1015" s="37"/>
      <c r="AH1015" s="37"/>
      <c r="AI1015" s="37"/>
      <c r="AJ1015" s="37"/>
      <c r="AK1015" s="37"/>
      <c r="AL1015" s="37"/>
      <c r="AM1015" s="37"/>
      <c r="AN1015" s="37"/>
      <c r="AO1015" s="37"/>
      <c r="AP1015" s="39">
        <f t="shared" si="469"/>
        <v>0</v>
      </c>
      <c r="AQ1015" s="1"/>
    </row>
    <row r="1016" ht="15.75" customHeight="1">
      <c r="A1016" s="1"/>
      <c r="B1016" s="42"/>
      <c r="C1016" s="42"/>
      <c r="D1016" s="42"/>
      <c r="E1016" s="52"/>
      <c r="F1016" s="43" t="s">
        <v>30</v>
      </c>
      <c r="G1016" s="44"/>
      <c r="H1016" s="34">
        <f t="shared" ref="H1016:AN1016" si="470">H1011+H1012-H1013+H1014-H1015</f>
        <v>0</v>
      </c>
      <c r="I1016" s="34">
        <f t="shared" si="470"/>
        <v>0</v>
      </c>
      <c r="J1016" s="34">
        <f t="shared" si="470"/>
        <v>0</v>
      </c>
      <c r="K1016" s="34">
        <f t="shared" si="470"/>
        <v>0</v>
      </c>
      <c r="L1016" s="34">
        <f t="shared" si="470"/>
        <v>0</v>
      </c>
      <c r="M1016" s="34">
        <f t="shared" si="470"/>
        <v>0</v>
      </c>
      <c r="N1016" s="34">
        <f t="shared" si="470"/>
        <v>0</v>
      </c>
      <c r="O1016" s="34">
        <f t="shared" si="470"/>
        <v>0</v>
      </c>
      <c r="P1016" s="34">
        <f t="shared" si="470"/>
        <v>35</v>
      </c>
      <c r="Q1016" s="34">
        <f t="shared" si="470"/>
        <v>35</v>
      </c>
      <c r="R1016" s="34">
        <f t="shared" si="470"/>
        <v>35</v>
      </c>
      <c r="S1016" s="34">
        <f t="shared" si="470"/>
        <v>35</v>
      </c>
      <c r="T1016" s="34">
        <f t="shared" si="470"/>
        <v>35</v>
      </c>
      <c r="U1016" s="34">
        <f t="shared" si="470"/>
        <v>35</v>
      </c>
      <c r="V1016" s="34">
        <f t="shared" si="470"/>
        <v>35</v>
      </c>
      <c r="W1016" s="34">
        <f t="shared" si="470"/>
        <v>35</v>
      </c>
      <c r="X1016" s="34">
        <f t="shared" si="470"/>
        <v>-30</v>
      </c>
      <c r="Y1016" s="34">
        <f t="shared" si="470"/>
        <v>-30</v>
      </c>
      <c r="Z1016" s="34">
        <f t="shared" si="470"/>
        <v>-30</v>
      </c>
      <c r="AA1016" s="34">
        <f t="shared" si="470"/>
        <v>-30</v>
      </c>
      <c r="AB1016" s="34">
        <f t="shared" si="470"/>
        <v>-30</v>
      </c>
      <c r="AC1016" s="34">
        <f t="shared" si="470"/>
        <v>-30</v>
      </c>
      <c r="AD1016" s="34">
        <f t="shared" si="470"/>
        <v>-30</v>
      </c>
      <c r="AE1016" s="34">
        <f t="shared" si="470"/>
        <v>-30</v>
      </c>
      <c r="AF1016" s="34">
        <f t="shared" si="470"/>
        <v>-30</v>
      </c>
      <c r="AG1016" s="34">
        <f t="shared" si="470"/>
        <v>-30</v>
      </c>
      <c r="AH1016" s="34">
        <f t="shared" si="470"/>
        <v>-30</v>
      </c>
      <c r="AI1016" s="34">
        <f t="shared" si="470"/>
        <v>-30</v>
      </c>
      <c r="AJ1016" s="34">
        <f t="shared" si="470"/>
        <v>-30</v>
      </c>
      <c r="AK1016" s="34">
        <f t="shared" si="470"/>
        <v>-30</v>
      </c>
      <c r="AL1016" s="34">
        <f t="shared" si="470"/>
        <v>-30</v>
      </c>
      <c r="AM1016" s="34">
        <f t="shared" si="470"/>
        <v>-30</v>
      </c>
      <c r="AN1016" s="34">
        <f t="shared" si="470"/>
        <v>-30</v>
      </c>
      <c r="AO1016" s="34"/>
      <c r="AP1016" s="45">
        <f>AO1011</f>
        <v>-30</v>
      </c>
      <c r="AQ1016" s="1"/>
    </row>
    <row r="1017" ht="15.75" customHeight="1">
      <c r="A1017" s="1"/>
      <c r="B1017" s="32"/>
      <c r="C1017" s="32" t="s">
        <v>346</v>
      </c>
      <c r="D1017" s="32" t="s">
        <v>158</v>
      </c>
      <c r="E1017" s="13"/>
      <c r="F1017" s="14" t="s">
        <v>23</v>
      </c>
      <c r="G1017" s="44"/>
      <c r="H1017" s="34" t="str">
        <f t="shared" ref="H1017:AO1017" si="471">G1022</f>
        <v/>
      </c>
      <c r="I1017" s="34">
        <f t="shared" si="471"/>
        <v>0</v>
      </c>
      <c r="J1017" s="34">
        <f t="shared" si="471"/>
        <v>0</v>
      </c>
      <c r="K1017" s="34">
        <f t="shared" si="471"/>
        <v>0</v>
      </c>
      <c r="L1017" s="34">
        <f t="shared" si="471"/>
        <v>0</v>
      </c>
      <c r="M1017" s="34">
        <f t="shared" si="471"/>
        <v>0</v>
      </c>
      <c r="N1017" s="34">
        <f t="shared" si="471"/>
        <v>0</v>
      </c>
      <c r="O1017" s="34">
        <f t="shared" si="471"/>
        <v>0</v>
      </c>
      <c r="P1017" s="34">
        <f t="shared" si="471"/>
        <v>0</v>
      </c>
      <c r="Q1017" s="34">
        <f t="shared" si="471"/>
        <v>35</v>
      </c>
      <c r="R1017" s="34">
        <f t="shared" si="471"/>
        <v>35</v>
      </c>
      <c r="S1017" s="34">
        <f t="shared" si="471"/>
        <v>0</v>
      </c>
      <c r="T1017" s="34">
        <f t="shared" si="471"/>
        <v>49</v>
      </c>
      <c r="U1017" s="34">
        <f t="shared" si="471"/>
        <v>49</v>
      </c>
      <c r="V1017" s="34">
        <f t="shared" si="471"/>
        <v>49</v>
      </c>
      <c r="W1017" s="34">
        <f t="shared" si="471"/>
        <v>64</v>
      </c>
      <c r="X1017" s="34">
        <f t="shared" si="471"/>
        <v>64</v>
      </c>
      <c r="Y1017" s="34">
        <f t="shared" si="471"/>
        <v>64</v>
      </c>
      <c r="Z1017" s="34">
        <f t="shared" si="471"/>
        <v>64</v>
      </c>
      <c r="AA1017" s="34">
        <f t="shared" si="471"/>
        <v>164</v>
      </c>
      <c r="AB1017" s="34">
        <f t="shared" si="471"/>
        <v>164</v>
      </c>
      <c r="AC1017" s="34">
        <f t="shared" si="471"/>
        <v>164</v>
      </c>
      <c r="AD1017" s="34">
        <f t="shared" si="471"/>
        <v>164</v>
      </c>
      <c r="AE1017" s="34">
        <f t="shared" si="471"/>
        <v>164</v>
      </c>
      <c r="AF1017" s="34">
        <f t="shared" si="471"/>
        <v>164</v>
      </c>
      <c r="AG1017" s="34">
        <f t="shared" si="471"/>
        <v>164</v>
      </c>
      <c r="AH1017" s="34">
        <f t="shared" si="471"/>
        <v>164</v>
      </c>
      <c r="AI1017" s="34">
        <f t="shared" si="471"/>
        <v>164</v>
      </c>
      <c r="AJ1017" s="34">
        <f t="shared" si="471"/>
        <v>164</v>
      </c>
      <c r="AK1017" s="34">
        <f t="shared" si="471"/>
        <v>164</v>
      </c>
      <c r="AL1017" s="34">
        <f t="shared" si="471"/>
        <v>164</v>
      </c>
      <c r="AM1017" s="34">
        <f t="shared" si="471"/>
        <v>164</v>
      </c>
      <c r="AN1017" s="34">
        <f t="shared" si="471"/>
        <v>164</v>
      </c>
      <c r="AO1017" s="34">
        <f t="shared" si="471"/>
        <v>164</v>
      </c>
      <c r="AP1017" s="54"/>
      <c r="AQ1017" s="1"/>
    </row>
    <row r="1018" ht="15.75" customHeight="1">
      <c r="A1018" s="1"/>
      <c r="B1018" s="35"/>
      <c r="C1018" s="35"/>
      <c r="D1018" s="35"/>
      <c r="E1018" s="33" t="s">
        <v>24</v>
      </c>
      <c r="F1018" s="36" t="s">
        <v>25</v>
      </c>
      <c r="G1018" s="37"/>
      <c r="H1018" s="37"/>
      <c r="I1018" s="37"/>
      <c r="J1018" s="37"/>
      <c r="K1018" s="37"/>
      <c r="L1018" s="37"/>
      <c r="M1018" s="37"/>
      <c r="N1018" s="37"/>
      <c r="O1018" s="37"/>
      <c r="P1018" s="37">
        <v>35.0</v>
      </c>
      <c r="Q1018" s="37"/>
      <c r="R1018" s="37"/>
      <c r="S1018" s="38">
        <v>49.0</v>
      </c>
      <c r="T1018" s="37"/>
      <c r="U1018" s="38"/>
      <c r="V1018" s="37">
        <v>15.0</v>
      </c>
      <c r="W1018" s="37"/>
      <c r="X1018" s="37"/>
      <c r="Y1018" s="37"/>
      <c r="Z1018" s="37">
        <v>100.0</v>
      </c>
      <c r="AA1018" s="37"/>
      <c r="AB1018" s="37"/>
      <c r="AC1018" s="37"/>
      <c r="AD1018" s="38"/>
      <c r="AE1018" s="37"/>
      <c r="AF1018" s="37"/>
      <c r="AG1018" s="37"/>
      <c r="AH1018" s="37"/>
      <c r="AI1018" s="37"/>
      <c r="AJ1018" s="37"/>
      <c r="AK1018" s="37"/>
      <c r="AL1018" s="37"/>
      <c r="AM1018" s="37"/>
      <c r="AN1018" s="37"/>
      <c r="AO1018" s="37"/>
      <c r="AP1018" s="39">
        <f t="shared" ref="AP1018:AP1021" si="472">SUM(H1018:AO1018)</f>
        <v>199</v>
      </c>
      <c r="AQ1018" s="1"/>
    </row>
    <row r="1019" ht="15.75" customHeight="1">
      <c r="A1019" s="1"/>
      <c r="B1019" s="35"/>
      <c r="C1019" s="35"/>
      <c r="D1019" s="35"/>
      <c r="E1019" s="33"/>
      <c r="F1019" s="40" t="s">
        <v>26</v>
      </c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>
        <v>35.0</v>
      </c>
      <c r="S1019" s="38"/>
      <c r="T1019" s="37"/>
      <c r="U1019" s="38"/>
      <c r="V1019" s="37"/>
      <c r="W1019" s="37"/>
      <c r="X1019" s="37"/>
      <c r="Y1019" s="37"/>
      <c r="Z1019" s="37"/>
      <c r="AA1019" s="37"/>
      <c r="AB1019" s="37"/>
      <c r="AC1019" s="37"/>
      <c r="AD1019" s="38"/>
      <c r="AE1019" s="37"/>
      <c r="AF1019" s="37"/>
      <c r="AG1019" s="37"/>
      <c r="AH1019" s="37"/>
      <c r="AI1019" s="37"/>
      <c r="AJ1019" s="37"/>
      <c r="AK1019" s="37"/>
      <c r="AL1019" s="37"/>
      <c r="AM1019" s="37"/>
      <c r="AN1019" s="37"/>
      <c r="AO1019" s="38"/>
      <c r="AP1019" s="39">
        <f t="shared" si="472"/>
        <v>35</v>
      </c>
      <c r="AQ1019" s="1"/>
    </row>
    <row r="1020" ht="15.75" customHeight="1">
      <c r="A1020" s="1"/>
      <c r="B1020" s="35"/>
      <c r="C1020" s="35"/>
      <c r="D1020" s="35"/>
      <c r="E1020" s="33" t="s">
        <v>27</v>
      </c>
      <c r="F1020" s="41" t="s">
        <v>28</v>
      </c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8"/>
      <c r="T1020" s="37"/>
      <c r="U1020" s="38"/>
      <c r="V1020" s="37"/>
      <c r="W1020" s="37"/>
      <c r="X1020" s="37"/>
      <c r="Y1020" s="37"/>
      <c r="Z1020" s="37"/>
      <c r="AA1020" s="37"/>
      <c r="AB1020" s="37"/>
      <c r="AC1020" s="37"/>
      <c r="AD1020" s="38"/>
      <c r="AE1020" s="37"/>
      <c r="AF1020" s="37"/>
      <c r="AG1020" s="37"/>
      <c r="AH1020" s="37"/>
      <c r="AI1020" s="37"/>
      <c r="AJ1020" s="37"/>
      <c r="AK1020" s="37"/>
      <c r="AL1020" s="37"/>
      <c r="AM1020" s="37"/>
      <c r="AN1020" s="37"/>
      <c r="AO1020" s="37"/>
      <c r="AP1020" s="39">
        <f t="shared" si="472"/>
        <v>0</v>
      </c>
      <c r="AQ1020" s="1"/>
    </row>
    <row r="1021" ht="15.75" customHeight="1">
      <c r="A1021" s="1"/>
      <c r="B1021" s="35"/>
      <c r="C1021" s="35"/>
      <c r="D1021" s="35"/>
      <c r="E1021" s="33"/>
      <c r="F1021" s="41" t="s">
        <v>29</v>
      </c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8"/>
      <c r="T1021" s="37"/>
      <c r="U1021" s="38"/>
      <c r="V1021" s="37"/>
      <c r="W1021" s="37"/>
      <c r="X1021" s="37"/>
      <c r="Y1021" s="37"/>
      <c r="Z1021" s="37"/>
      <c r="AA1021" s="37"/>
      <c r="AB1021" s="37"/>
      <c r="AC1021" s="37"/>
      <c r="AD1021" s="38"/>
      <c r="AE1021" s="37"/>
      <c r="AF1021" s="37"/>
      <c r="AG1021" s="37"/>
      <c r="AH1021" s="37"/>
      <c r="AI1021" s="37"/>
      <c r="AJ1021" s="37"/>
      <c r="AK1021" s="37"/>
      <c r="AL1021" s="37"/>
      <c r="AM1021" s="37"/>
      <c r="AN1021" s="37"/>
      <c r="AO1021" s="37"/>
      <c r="AP1021" s="39">
        <f t="shared" si="472"/>
        <v>0</v>
      </c>
      <c r="AQ1021" s="1"/>
    </row>
    <row r="1022" ht="15.75" customHeight="1">
      <c r="A1022" s="1"/>
      <c r="B1022" s="42"/>
      <c r="C1022" s="42"/>
      <c r="D1022" s="42"/>
      <c r="E1022" s="52"/>
      <c r="F1022" s="43" t="s">
        <v>30</v>
      </c>
      <c r="G1022" s="44"/>
      <c r="H1022" s="34">
        <f t="shared" ref="H1022:AN1022" si="473">H1017+H1018-H1019+H1020-H1021</f>
        <v>0</v>
      </c>
      <c r="I1022" s="34">
        <f t="shared" si="473"/>
        <v>0</v>
      </c>
      <c r="J1022" s="34">
        <f t="shared" si="473"/>
        <v>0</v>
      </c>
      <c r="K1022" s="34">
        <f t="shared" si="473"/>
        <v>0</v>
      </c>
      <c r="L1022" s="34">
        <f t="shared" si="473"/>
        <v>0</v>
      </c>
      <c r="M1022" s="34">
        <f t="shared" si="473"/>
        <v>0</v>
      </c>
      <c r="N1022" s="34">
        <f t="shared" si="473"/>
        <v>0</v>
      </c>
      <c r="O1022" s="34">
        <f t="shared" si="473"/>
        <v>0</v>
      </c>
      <c r="P1022" s="34">
        <f t="shared" si="473"/>
        <v>35</v>
      </c>
      <c r="Q1022" s="34">
        <f t="shared" si="473"/>
        <v>35</v>
      </c>
      <c r="R1022" s="34">
        <f t="shared" si="473"/>
        <v>0</v>
      </c>
      <c r="S1022" s="34">
        <f t="shared" si="473"/>
        <v>49</v>
      </c>
      <c r="T1022" s="34">
        <f t="shared" si="473"/>
        <v>49</v>
      </c>
      <c r="U1022" s="34">
        <f t="shared" si="473"/>
        <v>49</v>
      </c>
      <c r="V1022" s="34">
        <f t="shared" si="473"/>
        <v>64</v>
      </c>
      <c r="W1022" s="34">
        <f t="shared" si="473"/>
        <v>64</v>
      </c>
      <c r="X1022" s="34">
        <f t="shared" si="473"/>
        <v>64</v>
      </c>
      <c r="Y1022" s="34">
        <f t="shared" si="473"/>
        <v>64</v>
      </c>
      <c r="Z1022" s="34">
        <f t="shared" si="473"/>
        <v>164</v>
      </c>
      <c r="AA1022" s="34">
        <f t="shared" si="473"/>
        <v>164</v>
      </c>
      <c r="AB1022" s="34">
        <f t="shared" si="473"/>
        <v>164</v>
      </c>
      <c r="AC1022" s="34">
        <f t="shared" si="473"/>
        <v>164</v>
      </c>
      <c r="AD1022" s="34">
        <f t="shared" si="473"/>
        <v>164</v>
      </c>
      <c r="AE1022" s="34">
        <f t="shared" si="473"/>
        <v>164</v>
      </c>
      <c r="AF1022" s="34">
        <f t="shared" si="473"/>
        <v>164</v>
      </c>
      <c r="AG1022" s="34">
        <f t="shared" si="473"/>
        <v>164</v>
      </c>
      <c r="AH1022" s="34">
        <f t="shared" si="473"/>
        <v>164</v>
      </c>
      <c r="AI1022" s="34">
        <f t="shared" si="473"/>
        <v>164</v>
      </c>
      <c r="AJ1022" s="34">
        <f t="shared" si="473"/>
        <v>164</v>
      </c>
      <c r="AK1022" s="34">
        <f t="shared" si="473"/>
        <v>164</v>
      </c>
      <c r="AL1022" s="34">
        <f t="shared" si="473"/>
        <v>164</v>
      </c>
      <c r="AM1022" s="34">
        <f t="shared" si="473"/>
        <v>164</v>
      </c>
      <c r="AN1022" s="34">
        <f t="shared" si="473"/>
        <v>164</v>
      </c>
      <c r="AO1022" s="34"/>
      <c r="AP1022" s="45">
        <f>AO1017</f>
        <v>164</v>
      </c>
      <c r="AQ1022" s="1"/>
    </row>
    <row r="1023" ht="15.75" customHeight="1">
      <c r="A1023" s="1"/>
      <c r="B1023" s="56"/>
      <c r="C1023" s="32" t="s">
        <v>347</v>
      </c>
      <c r="D1023" s="57" t="s">
        <v>348</v>
      </c>
      <c r="E1023" s="13"/>
      <c r="F1023" s="41" t="s">
        <v>23</v>
      </c>
      <c r="G1023" s="44"/>
      <c r="H1023" s="34" t="str">
        <f t="shared" ref="H1023:AO1023" si="474">G1028</f>
        <v/>
      </c>
      <c r="I1023" s="34">
        <f t="shared" si="474"/>
        <v>0</v>
      </c>
      <c r="J1023" s="34">
        <f t="shared" si="474"/>
        <v>0</v>
      </c>
      <c r="K1023" s="34">
        <f t="shared" si="474"/>
        <v>0</v>
      </c>
      <c r="L1023" s="34">
        <f t="shared" si="474"/>
        <v>0</v>
      </c>
      <c r="M1023" s="34">
        <f t="shared" si="474"/>
        <v>0</v>
      </c>
      <c r="N1023" s="34">
        <f t="shared" si="474"/>
        <v>0</v>
      </c>
      <c r="O1023" s="34">
        <f t="shared" si="474"/>
        <v>0</v>
      </c>
      <c r="P1023" s="34">
        <f t="shared" si="474"/>
        <v>0</v>
      </c>
      <c r="Q1023" s="34">
        <f t="shared" si="474"/>
        <v>0</v>
      </c>
      <c r="R1023" s="34">
        <f t="shared" si="474"/>
        <v>0</v>
      </c>
      <c r="S1023" s="34">
        <f t="shared" si="474"/>
        <v>0</v>
      </c>
      <c r="T1023" s="34">
        <f t="shared" si="474"/>
        <v>0</v>
      </c>
      <c r="U1023" s="34">
        <f t="shared" si="474"/>
        <v>0</v>
      </c>
      <c r="V1023" s="34">
        <f t="shared" si="474"/>
        <v>0</v>
      </c>
      <c r="W1023" s="34">
        <f t="shared" si="474"/>
        <v>0</v>
      </c>
      <c r="X1023" s="34">
        <f t="shared" si="474"/>
        <v>0</v>
      </c>
      <c r="Y1023" s="34">
        <f t="shared" si="474"/>
        <v>0</v>
      </c>
      <c r="Z1023" s="34">
        <f t="shared" si="474"/>
        <v>0</v>
      </c>
      <c r="AA1023" s="34">
        <f t="shared" si="474"/>
        <v>0</v>
      </c>
      <c r="AB1023" s="34">
        <f t="shared" si="474"/>
        <v>0</v>
      </c>
      <c r="AC1023" s="34">
        <f t="shared" si="474"/>
        <v>0</v>
      </c>
      <c r="AD1023" s="34">
        <f t="shared" si="474"/>
        <v>0</v>
      </c>
      <c r="AE1023" s="34">
        <f t="shared" si="474"/>
        <v>0</v>
      </c>
      <c r="AF1023" s="34">
        <f t="shared" si="474"/>
        <v>0</v>
      </c>
      <c r="AG1023" s="34">
        <f t="shared" si="474"/>
        <v>0</v>
      </c>
      <c r="AH1023" s="34">
        <f t="shared" si="474"/>
        <v>0</v>
      </c>
      <c r="AI1023" s="34">
        <f t="shared" si="474"/>
        <v>0</v>
      </c>
      <c r="AJ1023" s="34">
        <f t="shared" si="474"/>
        <v>0</v>
      </c>
      <c r="AK1023" s="34">
        <f t="shared" si="474"/>
        <v>0</v>
      </c>
      <c r="AL1023" s="34">
        <f t="shared" si="474"/>
        <v>0</v>
      </c>
      <c r="AM1023" s="34">
        <f t="shared" si="474"/>
        <v>0</v>
      </c>
      <c r="AN1023" s="34">
        <f t="shared" si="474"/>
        <v>0</v>
      </c>
      <c r="AO1023" s="34">
        <f t="shared" si="474"/>
        <v>0</v>
      </c>
      <c r="AP1023" s="54"/>
      <c r="AQ1023" s="1"/>
    </row>
    <row r="1024" ht="15.75" customHeight="1">
      <c r="A1024" s="1"/>
      <c r="B1024" s="58"/>
      <c r="C1024" s="35"/>
      <c r="D1024" s="35"/>
      <c r="E1024" s="33" t="s">
        <v>24</v>
      </c>
      <c r="F1024" s="59" t="s">
        <v>25</v>
      </c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8"/>
      <c r="T1024" s="37"/>
      <c r="U1024" s="38"/>
      <c r="V1024" s="37"/>
      <c r="W1024" s="37"/>
      <c r="X1024" s="37"/>
      <c r="Y1024" s="37"/>
      <c r="Z1024" s="37"/>
      <c r="AA1024" s="37"/>
      <c r="AB1024" s="37"/>
      <c r="AC1024" s="37"/>
      <c r="AD1024" s="38"/>
      <c r="AE1024" s="37"/>
      <c r="AF1024" s="37"/>
      <c r="AG1024" s="37"/>
      <c r="AH1024" s="37"/>
      <c r="AI1024" s="37"/>
      <c r="AJ1024" s="37"/>
      <c r="AK1024" s="37"/>
      <c r="AL1024" s="37"/>
      <c r="AM1024" s="37"/>
      <c r="AN1024" s="37"/>
      <c r="AO1024" s="37"/>
      <c r="AP1024" s="39">
        <f t="shared" ref="AP1024:AP1027" si="475">SUM(H1024:AO1024)</f>
        <v>0</v>
      </c>
      <c r="AQ1024" s="1"/>
    </row>
    <row r="1025" ht="15.75" customHeight="1">
      <c r="A1025" s="1"/>
      <c r="B1025" s="58"/>
      <c r="C1025" s="35"/>
      <c r="D1025" s="35"/>
      <c r="E1025" s="33"/>
      <c r="F1025" s="60" t="s">
        <v>26</v>
      </c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8"/>
      <c r="T1025" s="37"/>
      <c r="U1025" s="38"/>
      <c r="V1025" s="37"/>
      <c r="W1025" s="37"/>
      <c r="X1025" s="37"/>
      <c r="Y1025" s="37"/>
      <c r="Z1025" s="37"/>
      <c r="AA1025" s="37"/>
      <c r="AB1025" s="37"/>
      <c r="AC1025" s="37"/>
      <c r="AD1025" s="38"/>
      <c r="AE1025" s="37"/>
      <c r="AF1025" s="37"/>
      <c r="AG1025" s="37"/>
      <c r="AH1025" s="37"/>
      <c r="AI1025" s="37"/>
      <c r="AJ1025" s="37"/>
      <c r="AK1025" s="37"/>
      <c r="AL1025" s="37"/>
      <c r="AM1025" s="37"/>
      <c r="AN1025" s="37"/>
      <c r="AO1025" s="37"/>
      <c r="AP1025" s="39">
        <f t="shared" si="475"/>
        <v>0</v>
      </c>
      <c r="AQ1025" s="1"/>
    </row>
    <row r="1026" ht="15.75" customHeight="1">
      <c r="A1026" s="1"/>
      <c r="B1026" s="58"/>
      <c r="C1026" s="35"/>
      <c r="D1026" s="35"/>
      <c r="E1026" s="33" t="s">
        <v>27</v>
      </c>
      <c r="F1026" s="41" t="s">
        <v>28</v>
      </c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8"/>
      <c r="T1026" s="37"/>
      <c r="U1026" s="38"/>
      <c r="V1026" s="37"/>
      <c r="W1026" s="37"/>
      <c r="X1026" s="37"/>
      <c r="Y1026" s="37"/>
      <c r="Z1026" s="37"/>
      <c r="AA1026" s="37"/>
      <c r="AB1026" s="37"/>
      <c r="AC1026" s="37"/>
      <c r="AD1026" s="38"/>
      <c r="AE1026" s="37"/>
      <c r="AF1026" s="37"/>
      <c r="AG1026" s="37"/>
      <c r="AH1026" s="37"/>
      <c r="AI1026" s="37"/>
      <c r="AJ1026" s="37"/>
      <c r="AK1026" s="37"/>
      <c r="AL1026" s="37"/>
      <c r="AM1026" s="37"/>
      <c r="AN1026" s="37"/>
      <c r="AO1026" s="37"/>
      <c r="AP1026" s="39">
        <f t="shared" si="475"/>
        <v>0</v>
      </c>
      <c r="AQ1026" s="1"/>
    </row>
    <row r="1027" ht="15.75" customHeight="1">
      <c r="A1027" s="1"/>
      <c r="B1027" s="58"/>
      <c r="C1027" s="35"/>
      <c r="D1027" s="35"/>
      <c r="E1027" s="33"/>
      <c r="F1027" s="41" t="s">
        <v>29</v>
      </c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8"/>
      <c r="T1027" s="37"/>
      <c r="U1027" s="38"/>
      <c r="V1027" s="37"/>
      <c r="W1027" s="37"/>
      <c r="X1027" s="37"/>
      <c r="Y1027" s="37"/>
      <c r="Z1027" s="37"/>
      <c r="AA1027" s="37"/>
      <c r="AB1027" s="37"/>
      <c r="AC1027" s="37"/>
      <c r="AD1027" s="38"/>
      <c r="AE1027" s="37"/>
      <c r="AF1027" s="37"/>
      <c r="AG1027" s="37"/>
      <c r="AH1027" s="37"/>
      <c r="AI1027" s="37"/>
      <c r="AJ1027" s="37"/>
      <c r="AK1027" s="37"/>
      <c r="AL1027" s="37"/>
      <c r="AM1027" s="37"/>
      <c r="AN1027" s="37"/>
      <c r="AO1027" s="37"/>
      <c r="AP1027" s="39">
        <f t="shared" si="475"/>
        <v>0</v>
      </c>
      <c r="AQ1027" s="1"/>
    </row>
    <row r="1028" ht="15.75" customHeight="1">
      <c r="A1028" s="1"/>
      <c r="B1028" s="61"/>
      <c r="C1028" s="42"/>
      <c r="D1028" s="42"/>
      <c r="E1028" s="52"/>
      <c r="F1028" s="62" t="s">
        <v>30</v>
      </c>
      <c r="G1028" s="44"/>
      <c r="H1028" s="34">
        <f t="shared" ref="H1028:AN1028" si="476">H1023+H1024-H1025+H1026-H1027</f>
        <v>0</v>
      </c>
      <c r="I1028" s="34">
        <f t="shared" si="476"/>
        <v>0</v>
      </c>
      <c r="J1028" s="34">
        <f t="shared" si="476"/>
        <v>0</v>
      </c>
      <c r="K1028" s="34">
        <f t="shared" si="476"/>
        <v>0</v>
      </c>
      <c r="L1028" s="34">
        <f t="shared" si="476"/>
        <v>0</v>
      </c>
      <c r="M1028" s="34">
        <f t="shared" si="476"/>
        <v>0</v>
      </c>
      <c r="N1028" s="34">
        <f t="shared" si="476"/>
        <v>0</v>
      </c>
      <c r="O1028" s="34">
        <f t="shared" si="476"/>
        <v>0</v>
      </c>
      <c r="P1028" s="34">
        <f t="shared" si="476"/>
        <v>0</v>
      </c>
      <c r="Q1028" s="34">
        <f t="shared" si="476"/>
        <v>0</v>
      </c>
      <c r="R1028" s="34">
        <f t="shared" si="476"/>
        <v>0</v>
      </c>
      <c r="S1028" s="34">
        <f t="shared" si="476"/>
        <v>0</v>
      </c>
      <c r="T1028" s="34">
        <f t="shared" si="476"/>
        <v>0</v>
      </c>
      <c r="U1028" s="34">
        <f t="shared" si="476"/>
        <v>0</v>
      </c>
      <c r="V1028" s="34">
        <f t="shared" si="476"/>
        <v>0</v>
      </c>
      <c r="W1028" s="34">
        <f t="shared" si="476"/>
        <v>0</v>
      </c>
      <c r="X1028" s="34">
        <f t="shared" si="476"/>
        <v>0</v>
      </c>
      <c r="Y1028" s="34">
        <f t="shared" si="476"/>
        <v>0</v>
      </c>
      <c r="Z1028" s="34">
        <f t="shared" si="476"/>
        <v>0</v>
      </c>
      <c r="AA1028" s="34">
        <f t="shared" si="476"/>
        <v>0</v>
      </c>
      <c r="AB1028" s="34">
        <f t="shared" si="476"/>
        <v>0</v>
      </c>
      <c r="AC1028" s="34">
        <f t="shared" si="476"/>
        <v>0</v>
      </c>
      <c r="AD1028" s="34">
        <f t="shared" si="476"/>
        <v>0</v>
      </c>
      <c r="AE1028" s="34">
        <f t="shared" si="476"/>
        <v>0</v>
      </c>
      <c r="AF1028" s="34">
        <f t="shared" si="476"/>
        <v>0</v>
      </c>
      <c r="AG1028" s="34">
        <f t="shared" si="476"/>
        <v>0</v>
      </c>
      <c r="AH1028" s="34">
        <f t="shared" si="476"/>
        <v>0</v>
      </c>
      <c r="AI1028" s="34">
        <f t="shared" si="476"/>
        <v>0</v>
      </c>
      <c r="AJ1028" s="34">
        <f t="shared" si="476"/>
        <v>0</v>
      </c>
      <c r="AK1028" s="34">
        <f t="shared" si="476"/>
        <v>0</v>
      </c>
      <c r="AL1028" s="34">
        <f t="shared" si="476"/>
        <v>0</v>
      </c>
      <c r="AM1028" s="34">
        <f t="shared" si="476"/>
        <v>0</v>
      </c>
      <c r="AN1028" s="34">
        <f t="shared" si="476"/>
        <v>0</v>
      </c>
      <c r="AO1028" s="34"/>
      <c r="AP1028" s="45">
        <f>AO1023</f>
        <v>0</v>
      </c>
      <c r="AQ1028" s="1"/>
    </row>
    <row r="1029" ht="15.75" customHeight="1">
      <c r="A1029" s="1"/>
      <c r="B1029" s="56"/>
      <c r="C1029" s="32" t="s">
        <v>349</v>
      </c>
      <c r="D1029" s="57" t="s">
        <v>350</v>
      </c>
      <c r="E1029" s="13"/>
      <c r="F1029" s="41" t="s">
        <v>23</v>
      </c>
      <c r="G1029" s="44"/>
      <c r="H1029" s="34">
        <v>0.0</v>
      </c>
      <c r="I1029" s="34">
        <f t="shared" ref="I1029:AO1029" si="477">H1034</f>
        <v>0</v>
      </c>
      <c r="J1029" s="34">
        <f t="shared" si="477"/>
        <v>0</v>
      </c>
      <c r="K1029" s="34">
        <f t="shared" si="477"/>
        <v>0</v>
      </c>
      <c r="L1029" s="34">
        <f t="shared" si="477"/>
        <v>0</v>
      </c>
      <c r="M1029" s="34">
        <f t="shared" si="477"/>
        <v>0</v>
      </c>
      <c r="N1029" s="34">
        <f t="shared" si="477"/>
        <v>0</v>
      </c>
      <c r="O1029" s="34">
        <f t="shared" si="477"/>
        <v>0</v>
      </c>
      <c r="P1029" s="34">
        <f t="shared" si="477"/>
        <v>0</v>
      </c>
      <c r="Q1029" s="34">
        <f t="shared" si="477"/>
        <v>0</v>
      </c>
      <c r="R1029" s="34">
        <f t="shared" si="477"/>
        <v>0</v>
      </c>
      <c r="S1029" s="34">
        <f t="shared" si="477"/>
        <v>0</v>
      </c>
      <c r="T1029" s="34">
        <f t="shared" si="477"/>
        <v>0</v>
      </c>
      <c r="U1029" s="34">
        <f t="shared" si="477"/>
        <v>0</v>
      </c>
      <c r="V1029" s="34">
        <f t="shared" si="477"/>
        <v>0</v>
      </c>
      <c r="W1029" s="34">
        <f t="shared" si="477"/>
        <v>0</v>
      </c>
      <c r="X1029" s="34">
        <f t="shared" si="477"/>
        <v>0</v>
      </c>
      <c r="Y1029" s="34">
        <f t="shared" si="477"/>
        <v>0</v>
      </c>
      <c r="Z1029" s="34">
        <f t="shared" si="477"/>
        <v>0</v>
      </c>
      <c r="AA1029" s="34">
        <f t="shared" si="477"/>
        <v>0</v>
      </c>
      <c r="AB1029" s="34">
        <f t="shared" si="477"/>
        <v>0</v>
      </c>
      <c r="AC1029" s="34">
        <f t="shared" si="477"/>
        <v>0</v>
      </c>
      <c r="AD1029" s="34">
        <f t="shared" si="477"/>
        <v>0</v>
      </c>
      <c r="AE1029" s="34">
        <f t="shared" si="477"/>
        <v>0</v>
      </c>
      <c r="AF1029" s="34">
        <f t="shared" si="477"/>
        <v>0</v>
      </c>
      <c r="AG1029" s="34">
        <f t="shared" si="477"/>
        <v>0</v>
      </c>
      <c r="AH1029" s="34">
        <f t="shared" si="477"/>
        <v>0</v>
      </c>
      <c r="AI1029" s="34">
        <f t="shared" si="477"/>
        <v>0</v>
      </c>
      <c r="AJ1029" s="34">
        <f t="shared" si="477"/>
        <v>0</v>
      </c>
      <c r="AK1029" s="34">
        <f t="shared" si="477"/>
        <v>0</v>
      </c>
      <c r="AL1029" s="34">
        <f t="shared" si="477"/>
        <v>0</v>
      </c>
      <c r="AM1029" s="34">
        <f t="shared" si="477"/>
        <v>0</v>
      </c>
      <c r="AN1029" s="34">
        <f t="shared" si="477"/>
        <v>0</v>
      </c>
      <c r="AO1029" s="34">
        <f t="shared" si="477"/>
        <v>0</v>
      </c>
      <c r="AP1029" s="54"/>
      <c r="AQ1029" s="1"/>
    </row>
    <row r="1030" ht="15.75" customHeight="1">
      <c r="A1030" s="1"/>
      <c r="B1030" s="58"/>
      <c r="C1030" s="35"/>
      <c r="D1030" s="35"/>
      <c r="E1030" s="33" t="s">
        <v>24</v>
      </c>
      <c r="F1030" s="59" t="s">
        <v>25</v>
      </c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8"/>
      <c r="T1030" s="37"/>
      <c r="U1030" s="38"/>
      <c r="V1030" s="37"/>
      <c r="W1030" s="37"/>
      <c r="X1030" s="37"/>
      <c r="Y1030" s="37"/>
      <c r="Z1030" s="37"/>
      <c r="AA1030" s="37"/>
      <c r="AB1030" s="37"/>
      <c r="AC1030" s="37"/>
      <c r="AD1030" s="38"/>
      <c r="AE1030" s="37"/>
      <c r="AF1030" s="37"/>
      <c r="AG1030" s="37"/>
      <c r="AH1030" s="37"/>
      <c r="AI1030" s="37"/>
      <c r="AJ1030" s="37"/>
      <c r="AK1030" s="37"/>
      <c r="AL1030" s="37"/>
      <c r="AM1030" s="37"/>
      <c r="AN1030" s="37"/>
      <c r="AO1030" s="37"/>
      <c r="AP1030" s="39">
        <f t="shared" ref="AP1030:AP1033" si="478">SUM(H1030:AO1030)</f>
        <v>0</v>
      </c>
      <c r="AQ1030" s="1"/>
    </row>
    <row r="1031" ht="15.75" customHeight="1">
      <c r="A1031" s="1"/>
      <c r="B1031" s="58"/>
      <c r="C1031" s="35"/>
      <c r="D1031" s="35"/>
      <c r="E1031" s="33"/>
      <c r="F1031" s="60" t="s">
        <v>26</v>
      </c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8"/>
      <c r="T1031" s="37"/>
      <c r="U1031" s="38"/>
      <c r="V1031" s="37"/>
      <c r="W1031" s="37"/>
      <c r="X1031" s="37"/>
      <c r="Y1031" s="37"/>
      <c r="Z1031" s="37"/>
      <c r="AA1031" s="37"/>
      <c r="AB1031" s="37"/>
      <c r="AC1031" s="37"/>
      <c r="AD1031" s="38"/>
      <c r="AE1031" s="37"/>
      <c r="AF1031" s="37"/>
      <c r="AG1031" s="37"/>
      <c r="AH1031" s="37"/>
      <c r="AI1031" s="37"/>
      <c r="AJ1031" s="37"/>
      <c r="AK1031" s="37"/>
      <c r="AL1031" s="37"/>
      <c r="AM1031" s="37"/>
      <c r="AN1031" s="37"/>
      <c r="AO1031" s="37"/>
      <c r="AP1031" s="39">
        <f t="shared" si="478"/>
        <v>0</v>
      </c>
      <c r="AQ1031" s="1"/>
    </row>
    <row r="1032" ht="15.75" customHeight="1">
      <c r="A1032" s="1"/>
      <c r="B1032" s="58"/>
      <c r="C1032" s="35"/>
      <c r="D1032" s="35"/>
      <c r="E1032" s="33" t="s">
        <v>27</v>
      </c>
      <c r="F1032" s="41" t="s">
        <v>28</v>
      </c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8"/>
      <c r="T1032" s="37"/>
      <c r="U1032" s="38"/>
      <c r="V1032" s="37"/>
      <c r="W1032" s="37"/>
      <c r="X1032" s="37"/>
      <c r="Y1032" s="37"/>
      <c r="Z1032" s="37"/>
      <c r="AA1032" s="37"/>
      <c r="AB1032" s="37"/>
      <c r="AC1032" s="37"/>
      <c r="AD1032" s="38"/>
      <c r="AE1032" s="37"/>
      <c r="AF1032" s="37"/>
      <c r="AG1032" s="37"/>
      <c r="AH1032" s="37"/>
      <c r="AI1032" s="37"/>
      <c r="AJ1032" s="37"/>
      <c r="AK1032" s="37"/>
      <c r="AL1032" s="37"/>
      <c r="AM1032" s="37"/>
      <c r="AN1032" s="37"/>
      <c r="AO1032" s="37"/>
      <c r="AP1032" s="39">
        <f t="shared" si="478"/>
        <v>0</v>
      </c>
      <c r="AQ1032" s="1"/>
    </row>
    <row r="1033" ht="15.75" customHeight="1">
      <c r="A1033" s="1"/>
      <c r="B1033" s="58"/>
      <c r="C1033" s="35"/>
      <c r="D1033" s="35"/>
      <c r="E1033" s="33"/>
      <c r="F1033" s="41" t="s">
        <v>29</v>
      </c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8"/>
      <c r="T1033" s="37"/>
      <c r="U1033" s="38"/>
      <c r="V1033" s="37"/>
      <c r="W1033" s="37"/>
      <c r="X1033" s="37"/>
      <c r="Y1033" s="37"/>
      <c r="Z1033" s="37"/>
      <c r="AA1033" s="37"/>
      <c r="AB1033" s="37"/>
      <c r="AC1033" s="37"/>
      <c r="AD1033" s="38"/>
      <c r="AE1033" s="37"/>
      <c r="AF1033" s="37"/>
      <c r="AG1033" s="37"/>
      <c r="AH1033" s="37"/>
      <c r="AI1033" s="37"/>
      <c r="AJ1033" s="37"/>
      <c r="AK1033" s="37"/>
      <c r="AL1033" s="37"/>
      <c r="AM1033" s="37"/>
      <c r="AN1033" s="37"/>
      <c r="AO1033" s="37"/>
      <c r="AP1033" s="39">
        <f t="shared" si="478"/>
        <v>0</v>
      </c>
      <c r="AQ1033" s="1"/>
    </row>
    <row r="1034" ht="15.75" customHeight="1">
      <c r="A1034" s="1"/>
      <c r="B1034" s="61"/>
      <c r="C1034" s="42"/>
      <c r="D1034" s="42"/>
      <c r="E1034" s="52"/>
      <c r="F1034" s="62" t="s">
        <v>30</v>
      </c>
      <c r="G1034" s="44"/>
      <c r="H1034" s="34">
        <f t="shared" ref="H1034:AN1034" si="479">H1029+H1030-H1031+H1032-H1033</f>
        <v>0</v>
      </c>
      <c r="I1034" s="34">
        <f t="shared" si="479"/>
        <v>0</v>
      </c>
      <c r="J1034" s="34">
        <f t="shared" si="479"/>
        <v>0</v>
      </c>
      <c r="K1034" s="34">
        <f t="shared" si="479"/>
        <v>0</v>
      </c>
      <c r="L1034" s="34">
        <f t="shared" si="479"/>
        <v>0</v>
      </c>
      <c r="M1034" s="34">
        <f t="shared" si="479"/>
        <v>0</v>
      </c>
      <c r="N1034" s="34">
        <f t="shared" si="479"/>
        <v>0</v>
      </c>
      <c r="O1034" s="34">
        <f t="shared" si="479"/>
        <v>0</v>
      </c>
      <c r="P1034" s="34">
        <f t="shared" si="479"/>
        <v>0</v>
      </c>
      <c r="Q1034" s="34">
        <f t="shared" si="479"/>
        <v>0</v>
      </c>
      <c r="R1034" s="34">
        <f t="shared" si="479"/>
        <v>0</v>
      </c>
      <c r="S1034" s="34">
        <f t="shared" si="479"/>
        <v>0</v>
      </c>
      <c r="T1034" s="34">
        <f t="shared" si="479"/>
        <v>0</v>
      </c>
      <c r="U1034" s="34">
        <f t="shared" si="479"/>
        <v>0</v>
      </c>
      <c r="V1034" s="34">
        <f t="shared" si="479"/>
        <v>0</v>
      </c>
      <c r="W1034" s="34">
        <f t="shared" si="479"/>
        <v>0</v>
      </c>
      <c r="X1034" s="34">
        <f t="shared" si="479"/>
        <v>0</v>
      </c>
      <c r="Y1034" s="34">
        <f t="shared" si="479"/>
        <v>0</v>
      </c>
      <c r="Z1034" s="34">
        <f t="shared" si="479"/>
        <v>0</v>
      </c>
      <c r="AA1034" s="34">
        <f t="shared" si="479"/>
        <v>0</v>
      </c>
      <c r="AB1034" s="34">
        <f t="shared" si="479"/>
        <v>0</v>
      </c>
      <c r="AC1034" s="34">
        <f t="shared" si="479"/>
        <v>0</v>
      </c>
      <c r="AD1034" s="34">
        <f t="shared" si="479"/>
        <v>0</v>
      </c>
      <c r="AE1034" s="34">
        <f t="shared" si="479"/>
        <v>0</v>
      </c>
      <c r="AF1034" s="34">
        <f t="shared" si="479"/>
        <v>0</v>
      </c>
      <c r="AG1034" s="34">
        <f t="shared" si="479"/>
        <v>0</v>
      </c>
      <c r="AH1034" s="34">
        <f t="shared" si="479"/>
        <v>0</v>
      </c>
      <c r="AI1034" s="34">
        <f t="shared" si="479"/>
        <v>0</v>
      </c>
      <c r="AJ1034" s="34">
        <f t="shared" si="479"/>
        <v>0</v>
      </c>
      <c r="AK1034" s="34">
        <f t="shared" si="479"/>
        <v>0</v>
      </c>
      <c r="AL1034" s="34">
        <f t="shared" si="479"/>
        <v>0</v>
      </c>
      <c r="AM1034" s="34">
        <f t="shared" si="479"/>
        <v>0</v>
      </c>
      <c r="AN1034" s="34">
        <f t="shared" si="479"/>
        <v>0</v>
      </c>
      <c r="AO1034" s="34"/>
      <c r="AP1034" s="45">
        <f>AO1029</f>
        <v>0</v>
      </c>
      <c r="AQ1034" s="1"/>
    </row>
    <row r="1035" ht="15.75" customHeight="1">
      <c r="A1035" s="1"/>
      <c r="B1035" s="32"/>
      <c r="C1035" s="12" t="s">
        <v>351</v>
      </c>
      <c r="D1035" s="32" t="s">
        <v>106</v>
      </c>
      <c r="E1035" s="97"/>
      <c r="F1035" s="14" t="s">
        <v>23</v>
      </c>
      <c r="G1035" s="44"/>
      <c r="H1035" s="34">
        <v>0.0</v>
      </c>
      <c r="I1035" s="34">
        <f t="shared" ref="I1035:AO1035" si="480">H1040</f>
        <v>0</v>
      </c>
      <c r="J1035" s="34">
        <f t="shared" si="480"/>
        <v>0</v>
      </c>
      <c r="K1035" s="34">
        <f t="shared" si="480"/>
        <v>0</v>
      </c>
      <c r="L1035" s="34">
        <f t="shared" si="480"/>
        <v>0</v>
      </c>
      <c r="M1035" s="34">
        <f t="shared" si="480"/>
        <v>0</v>
      </c>
      <c r="N1035" s="34">
        <f t="shared" si="480"/>
        <v>0</v>
      </c>
      <c r="O1035" s="34">
        <f t="shared" si="480"/>
        <v>0</v>
      </c>
      <c r="P1035" s="34">
        <f t="shared" si="480"/>
        <v>0</v>
      </c>
      <c r="Q1035" s="34">
        <f t="shared" si="480"/>
        <v>0</v>
      </c>
      <c r="R1035" s="34">
        <f t="shared" si="480"/>
        <v>0</v>
      </c>
      <c r="S1035" s="34">
        <f t="shared" si="480"/>
        <v>0</v>
      </c>
      <c r="T1035" s="34">
        <f t="shared" si="480"/>
        <v>0</v>
      </c>
      <c r="U1035" s="34">
        <f t="shared" si="480"/>
        <v>0</v>
      </c>
      <c r="V1035" s="34">
        <f t="shared" si="480"/>
        <v>0</v>
      </c>
      <c r="W1035" s="34">
        <f t="shared" si="480"/>
        <v>0</v>
      </c>
      <c r="X1035" s="34">
        <f t="shared" si="480"/>
        <v>0</v>
      </c>
      <c r="Y1035" s="34">
        <f t="shared" si="480"/>
        <v>0</v>
      </c>
      <c r="Z1035" s="34">
        <f t="shared" si="480"/>
        <v>0</v>
      </c>
      <c r="AA1035" s="34">
        <f t="shared" si="480"/>
        <v>0</v>
      </c>
      <c r="AB1035" s="34">
        <f t="shared" si="480"/>
        <v>0</v>
      </c>
      <c r="AC1035" s="34">
        <f t="shared" si="480"/>
        <v>0</v>
      </c>
      <c r="AD1035" s="34">
        <f t="shared" si="480"/>
        <v>0</v>
      </c>
      <c r="AE1035" s="34">
        <f t="shared" si="480"/>
        <v>0</v>
      </c>
      <c r="AF1035" s="34">
        <f t="shared" si="480"/>
        <v>0</v>
      </c>
      <c r="AG1035" s="34">
        <f t="shared" si="480"/>
        <v>0</v>
      </c>
      <c r="AH1035" s="34">
        <f t="shared" si="480"/>
        <v>0</v>
      </c>
      <c r="AI1035" s="34">
        <f t="shared" si="480"/>
        <v>0</v>
      </c>
      <c r="AJ1035" s="34">
        <f t="shared" si="480"/>
        <v>0</v>
      </c>
      <c r="AK1035" s="34">
        <f t="shared" si="480"/>
        <v>0</v>
      </c>
      <c r="AL1035" s="34">
        <f t="shared" si="480"/>
        <v>0</v>
      </c>
      <c r="AM1035" s="34">
        <f t="shared" si="480"/>
        <v>0</v>
      </c>
      <c r="AN1035" s="34">
        <f t="shared" si="480"/>
        <v>0</v>
      </c>
      <c r="AO1035" s="34">
        <f t="shared" si="480"/>
        <v>0</v>
      </c>
      <c r="AP1035" s="54"/>
      <c r="AQ1035" s="1"/>
    </row>
    <row r="1036" ht="15.75" customHeight="1">
      <c r="A1036" s="1"/>
      <c r="B1036" s="35"/>
      <c r="C1036" s="84"/>
      <c r="D1036" s="35"/>
      <c r="E1036" s="76" t="s">
        <v>24</v>
      </c>
      <c r="F1036" s="36" t="s">
        <v>25</v>
      </c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8"/>
      <c r="T1036" s="37"/>
      <c r="U1036" s="38"/>
      <c r="V1036" s="37"/>
      <c r="W1036" s="37"/>
      <c r="X1036" s="37"/>
      <c r="Y1036" s="37"/>
      <c r="Z1036" s="37"/>
      <c r="AA1036" s="37"/>
      <c r="AB1036" s="37"/>
      <c r="AC1036" s="37"/>
      <c r="AD1036" s="38"/>
      <c r="AE1036" s="37"/>
      <c r="AF1036" s="37"/>
      <c r="AG1036" s="37"/>
      <c r="AH1036" s="37"/>
      <c r="AI1036" s="37"/>
      <c r="AJ1036" s="37"/>
      <c r="AK1036" s="37"/>
      <c r="AL1036" s="37"/>
      <c r="AM1036" s="37"/>
      <c r="AN1036" s="37"/>
      <c r="AO1036" s="37"/>
      <c r="AP1036" s="39">
        <f>SUM(H1036:AO1036)</f>
        <v>0</v>
      </c>
      <c r="AQ1036" s="1"/>
    </row>
    <row r="1037" ht="15.75" customHeight="1">
      <c r="A1037" s="1"/>
      <c r="B1037" s="35"/>
      <c r="C1037" s="84"/>
      <c r="D1037" s="35"/>
      <c r="E1037" s="76"/>
      <c r="F1037" s="40" t="s">
        <v>26</v>
      </c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8"/>
      <c r="T1037" s="37"/>
      <c r="U1037" s="38"/>
      <c r="V1037" s="37"/>
      <c r="W1037" s="37"/>
      <c r="X1037" s="37"/>
      <c r="Y1037" s="37"/>
      <c r="Z1037" s="37"/>
      <c r="AA1037" s="37"/>
      <c r="AB1037" s="37"/>
      <c r="AC1037" s="37"/>
      <c r="AD1037" s="38"/>
      <c r="AE1037" s="37"/>
      <c r="AF1037" s="37"/>
      <c r="AG1037" s="37"/>
      <c r="AH1037" s="37"/>
      <c r="AI1037" s="37"/>
      <c r="AJ1037" s="37"/>
      <c r="AK1037" s="37"/>
      <c r="AL1037" s="37"/>
      <c r="AM1037" s="37"/>
      <c r="AN1037" s="37"/>
      <c r="AO1037" s="37"/>
      <c r="AP1037" s="39">
        <f t="shared" ref="AP1037:AP1039" si="481">SUM(H1037:AK1037)</f>
        <v>0</v>
      </c>
      <c r="AQ1037" s="1"/>
    </row>
    <row r="1038" ht="15.75" customHeight="1">
      <c r="A1038" s="1"/>
      <c r="B1038" s="35"/>
      <c r="C1038" s="84"/>
      <c r="D1038" s="35"/>
      <c r="E1038" s="76" t="s">
        <v>27</v>
      </c>
      <c r="F1038" s="41" t="s">
        <v>28</v>
      </c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8"/>
      <c r="T1038" s="37"/>
      <c r="U1038" s="38"/>
      <c r="V1038" s="37"/>
      <c r="W1038" s="37"/>
      <c r="X1038" s="37"/>
      <c r="Y1038" s="37"/>
      <c r="Z1038" s="37"/>
      <c r="AA1038" s="37"/>
      <c r="AB1038" s="37"/>
      <c r="AC1038" s="37"/>
      <c r="AD1038" s="38"/>
      <c r="AE1038" s="37"/>
      <c r="AF1038" s="37"/>
      <c r="AG1038" s="37"/>
      <c r="AH1038" s="37"/>
      <c r="AI1038" s="37"/>
      <c r="AJ1038" s="37"/>
      <c r="AK1038" s="37"/>
      <c r="AL1038" s="37"/>
      <c r="AM1038" s="37"/>
      <c r="AN1038" s="37"/>
      <c r="AO1038" s="37"/>
      <c r="AP1038" s="39">
        <f t="shared" si="481"/>
        <v>0</v>
      </c>
      <c r="AQ1038" s="1"/>
    </row>
    <row r="1039" ht="15.75" customHeight="1">
      <c r="A1039" s="1"/>
      <c r="B1039" s="35"/>
      <c r="C1039" s="84"/>
      <c r="D1039" s="35"/>
      <c r="E1039" s="76"/>
      <c r="F1039" s="41" t="s">
        <v>29</v>
      </c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8"/>
      <c r="T1039" s="37"/>
      <c r="U1039" s="38"/>
      <c r="V1039" s="37"/>
      <c r="W1039" s="37"/>
      <c r="X1039" s="37"/>
      <c r="Y1039" s="37"/>
      <c r="Z1039" s="37"/>
      <c r="AA1039" s="37"/>
      <c r="AB1039" s="37"/>
      <c r="AC1039" s="37"/>
      <c r="AD1039" s="38"/>
      <c r="AE1039" s="37"/>
      <c r="AF1039" s="37"/>
      <c r="AG1039" s="37"/>
      <c r="AH1039" s="37"/>
      <c r="AI1039" s="37"/>
      <c r="AJ1039" s="37"/>
      <c r="AK1039" s="37"/>
      <c r="AL1039" s="37"/>
      <c r="AM1039" s="37"/>
      <c r="AN1039" s="37"/>
      <c r="AO1039" s="37"/>
      <c r="AP1039" s="39">
        <f t="shared" si="481"/>
        <v>0</v>
      </c>
      <c r="AQ1039" s="1"/>
    </row>
    <row r="1040" ht="15.75" customHeight="1">
      <c r="A1040" s="1"/>
      <c r="B1040" s="42"/>
      <c r="C1040" s="18"/>
      <c r="D1040" s="42"/>
      <c r="E1040" s="98"/>
      <c r="F1040" s="43" t="s">
        <v>30</v>
      </c>
      <c r="G1040" s="44"/>
      <c r="H1040" s="34">
        <f t="shared" ref="H1040:AN1040" si="482">H1035+H1036-H1037+H1038-H1039</f>
        <v>0</v>
      </c>
      <c r="I1040" s="34">
        <f t="shared" si="482"/>
        <v>0</v>
      </c>
      <c r="J1040" s="34">
        <f t="shared" si="482"/>
        <v>0</v>
      </c>
      <c r="K1040" s="34">
        <f t="shared" si="482"/>
        <v>0</v>
      </c>
      <c r="L1040" s="34">
        <f t="shared" si="482"/>
        <v>0</v>
      </c>
      <c r="M1040" s="34">
        <f t="shared" si="482"/>
        <v>0</v>
      </c>
      <c r="N1040" s="34">
        <f t="shared" si="482"/>
        <v>0</v>
      </c>
      <c r="O1040" s="34">
        <f t="shared" si="482"/>
        <v>0</v>
      </c>
      <c r="P1040" s="34">
        <f t="shared" si="482"/>
        <v>0</v>
      </c>
      <c r="Q1040" s="34">
        <f t="shared" si="482"/>
        <v>0</v>
      </c>
      <c r="R1040" s="34">
        <f t="shared" si="482"/>
        <v>0</v>
      </c>
      <c r="S1040" s="34">
        <f t="shared" si="482"/>
        <v>0</v>
      </c>
      <c r="T1040" s="34">
        <f t="shared" si="482"/>
        <v>0</v>
      </c>
      <c r="U1040" s="34">
        <f t="shared" si="482"/>
        <v>0</v>
      </c>
      <c r="V1040" s="34">
        <f t="shared" si="482"/>
        <v>0</v>
      </c>
      <c r="W1040" s="34">
        <f t="shared" si="482"/>
        <v>0</v>
      </c>
      <c r="X1040" s="34">
        <f t="shared" si="482"/>
        <v>0</v>
      </c>
      <c r="Y1040" s="34">
        <f t="shared" si="482"/>
        <v>0</v>
      </c>
      <c r="Z1040" s="34">
        <f t="shared" si="482"/>
        <v>0</v>
      </c>
      <c r="AA1040" s="34">
        <f t="shared" si="482"/>
        <v>0</v>
      </c>
      <c r="AB1040" s="34">
        <f t="shared" si="482"/>
        <v>0</v>
      </c>
      <c r="AC1040" s="34">
        <f t="shared" si="482"/>
        <v>0</v>
      </c>
      <c r="AD1040" s="34">
        <f t="shared" si="482"/>
        <v>0</v>
      </c>
      <c r="AE1040" s="34">
        <f t="shared" si="482"/>
        <v>0</v>
      </c>
      <c r="AF1040" s="34">
        <f t="shared" si="482"/>
        <v>0</v>
      </c>
      <c r="AG1040" s="34">
        <f t="shared" si="482"/>
        <v>0</v>
      </c>
      <c r="AH1040" s="34">
        <f t="shared" si="482"/>
        <v>0</v>
      </c>
      <c r="AI1040" s="34">
        <f t="shared" si="482"/>
        <v>0</v>
      </c>
      <c r="AJ1040" s="34">
        <f t="shared" si="482"/>
        <v>0</v>
      </c>
      <c r="AK1040" s="34">
        <f t="shared" si="482"/>
        <v>0</v>
      </c>
      <c r="AL1040" s="34">
        <f t="shared" si="482"/>
        <v>0</v>
      </c>
      <c r="AM1040" s="34">
        <f t="shared" si="482"/>
        <v>0</v>
      </c>
      <c r="AN1040" s="34">
        <f t="shared" si="482"/>
        <v>0</v>
      </c>
      <c r="AO1040" s="34"/>
      <c r="AP1040" s="45">
        <f>AO1035</f>
        <v>0</v>
      </c>
      <c r="AQ1040" s="1"/>
    </row>
    <row r="1041" ht="15.75" customHeight="1">
      <c r="A1041" s="1"/>
      <c r="B1041" s="32"/>
      <c r="C1041" s="12" t="s">
        <v>352</v>
      </c>
      <c r="D1041" s="32" t="s">
        <v>353</v>
      </c>
      <c r="E1041" s="97"/>
      <c r="F1041" s="14" t="s">
        <v>23</v>
      </c>
      <c r="G1041" s="44"/>
      <c r="H1041" s="34">
        <v>0.0</v>
      </c>
      <c r="I1041" s="34">
        <f t="shared" ref="I1041:AO1041" si="483">H1046</f>
        <v>0</v>
      </c>
      <c r="J1041" s="34">
        <f t="shared" si="483"/>
        <v>0</v>
      </c>
      <c r="K1041" s="34">
        <f t="shared" si="483"/>
        <v>0</v>
      </c>
      <c r="L1041" s="34">
        <f t="shared" si="483"/>
        <v>0</v>
      </c>
      <c r="M1041" s="34">
        <f t="shared" si="483"/>
        <v>0</v>
      </c>
      <c r="N1041" s="34">
        <f t="shared" si="483"/>
        <v>0</v>
      </c>
      <c r="O1041" s="34">
        <f t="shared" si="483"/>
        <v>0</v>
      </c>
      <c r="P1041" s="34">
        <f t="shared" si="483"/>
        <v>0</v>
      </c>
      <c r="Q1041" s="34">
        <f t="shared" si="483"/>
        <v>0</v>
      </c>
      <c r="R1041" s="34">
        <f t="shared" si="483"/>
        <v>0</v>
      </c>
      <c r="S1041" s="34">
        <f t="shared" si="483"/>
        <v>0</v>
      </c>
      <c r="T1041" s="34">
        <f t="shared" si="483"/>
        <v>0</v>
      </c>
      <c r="U1041" s="34">
        <f t="shared" si="483"/>
        <v>0</v>
      </c>
      <c r="V1041" s="34">
        <f t="shared" si="483"/>
        <v>0</v>
      </c>
      <c r="W1041" s="34">
        <f t="shared" si="483"/>
        <v>0</v>
      </c>
      <c r="X1041" s="34">
        <f t="shared" si="483"/>
        <v>0</v>
      </c>
      <c r="Y1041" s="34">
        <f t="shared" si="483"/>
        <v>0</v>
      </c>
      <c r="Z1041" s="34">
        <f t="shared" si="483"/>
        <v>0</v>
      </c>
      <c r="AA1041" s="34">
        <f t="shared" si="483"/>
        <v>0</v>
      </c>
      <c r="AB1041" s="34">
        <f t="shared" si="483"/>
        <v>0</v>
      </c>
      <c r="AC1041" s="34">
        <f t="shared" si="483"/>
        <v>0</v>
      </c>
      <c r="AD1041" s="34">
        <f t="shared" si="483"/>
        <v>0</v>
      </c>
      <c r="AE1041" s="34">
        <f t="shared" si="483"/>
        <v>0</v>
      </c>
      <c r="AF1041" s="34">
        <f t="shared" si="483"/>
        <v>0</v>
      </c>
      <c r="AG1041" s="34">
        <f t="shared" si="483"/>
        <v>0</v>
      </c>
      <c r="AH1041" s="34">
        <f t="shared" si="483"/>
        <v>0</v>
      </c>
      <c r="AI1041" s="34">
        <f t="shared" si="483"/>
        <v>0</v>
      </c>
      <c r="AJ1041" s="34">
        <f t="shared" si="483"/>
        <v>0</v>
      </c>
      <c r="AK1041" s="34">
        <f t="shared" si="483"/>
        <v>0</v>
      </c>
      <c r="AL1041" s="34">
        <f t="shared" si="483"/>
        <v>0</v>
      </c>
      <c r="AM1041" s="34">
        <f t="shared" si="483"/>
        <v>0</v>
      </c>
      <c r="AN1041" s="34">
        <f t="shared" si="483"/>
        <v>0</v>
      </c>
      <c r="AO1041" s="34">
        <f t="shared" si="483"/>
        <v>0</v>
      </c>
      <c r="AP1041" s="54"/>
      <c r="AQ1041" s="1"/>
    </row>
    <row r="1042" ht="15.75" customHeight="1">
      <c r="A1042" s="1"/>
      <c r="B1042" s="35"/>
      <c r="C1042" s="84"/>
      <c r="D1042" s="35"/>
      <c r="E1042" s="76" t="s">
        <v>24</v>
      </c>
      <c r="F1042" s="36" t="s">
        <v>25</v>
      </c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8"/>
      <c r="T1042" s="37"/>
      <c r="U1042" s="38"/>
      <c r="V1042" s="37"/>
      <c r="W1042" s="37"/>
      <c r="X1042" s="37"/>
      <c r="Y1042" s="37"/>
      <c r="Z1042" s="37"/>
      <c r="AA1042" s="37"/>
      <c r="AB1042" s="37"/>
      <c r="AC1042" s="37"/>
      <c r="AD1042" s="38"/>
      <c r="AE1042" s="37"/>
      <c r="AF1042" s="37"/>
      <c r="AG1042" s="37"/>
      <c r="AH1042" s="37"/>
      <c r="AI1042" s="37"/>
      <c r="AJ1042" s="37"/>
      <c r="AK1042" s="37"/>
      <c r="AL1042" s="37"/>
      <c r="AM1042" s="37"/>
      <c r="AN1042" s="37"/>
      <c r="AO1042" s="37"/>
      <c r="AP1042" s="39">
        <f>SUM(H1042:AO1042)</f>
        <v>0</v>
      </c>
      <c r="AQ1042" s="1"/>
    </row>
    <row r="1043" ht="15.75" customHeight="1">
      <c r="A1043" s="1"/>
      <c r="B1043" s="35"/>
      <c r="C1043" s="84"/>
      <c r="D1043" s="35"/>
      <c r="E1043" s="76"/>
      <c r="F1043" s="40" t="s">
        <v>26</v>
      </c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8"/>
      <c r="T1043" s="37"/>
      <c r="U1043" s="38"/>
      <c r="V1043" s="37"/>
      <c r="W1043" s="37"/>
      <c r="X1043" s="37"/>
      <c r="Y1043" s="37"/>
      <c r="Z1043" s="37"/>
      <c r="AA1043" s="37"/>
      <c r="AB1043" s="37"/>
      <c r="AC1043" s="37"/>
      <c r="AD1043" s="38"/>
      <c r="AE1043" s="37"/>
      <c r="AF1043" s="37"/>
      <c r="AG1043" s="37"/>
      <c r="AH1043" s="37"/>
      <c r="AI1043" s="37"/>
      <c r="AJ1043" s="37"/>
      <c r="AK1043" s="37"/>
      <c r="AL1043" s="37"/>
      <c r="AM1043" s="37"/>
      <c r="AN1043" s="37"/>
      <c r="AO1043" s="37"/>
      <c r="AP1043" s="39">
        <f t="shared" ref="AP1043:AP1045" si="484">SUM(H1043:AK1043)</f>
        <v>0</v>
      </c>
      <c r="AQ1043" s="1"/>
    </row>
    <row r="1044" ht="15.75" customHeight="1">
      <c r="A1044" s="1"/>
      <c r="B1044" s="35"/>
      <c r="C1044" s="84"/>
      <c r="D1044" s="35"/>
      <c r="E1044" s="76" t="s">
        <v>27</v>
      </c>
      <c r="F1044" s="41" t="s">
        <v>28</v>
      </c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8"/>
      <c r="T1044" s="37"/>
      <c r="U1044" s="38"/>
      <c r="V1044" s="37"/>
      <c r="W1044" s="37"/>
      <c r="X1044" s="37"/>
      <c r="Y1044" s="37"/>
      <c r="Z1044" s="37"/>
      <c r="AA1044" s="37"/>
      <c r="AB1044" s="37"/>
      <c r="AC1044" s="37"/>
      <c r="AD1044" s="38"/>
      <c r="AE1044" s="37"/>
      <c r="AF1044" s="37"/>
      <c r="AG1044" s="37"/>
      <c r="AH1044" s="37"/>
      <c r="AI1044" s="37"/>
      <c r="AJ1044" s="37"/>
      <c r="AK1044" s="37"/>
      <c r="AL1044" s="37"/>
      <c r="AM1044" s="37"/>
      <c r="AN1044" s="37"/>
      <c r="AO1044" s="37"/>
      <c r="AP1044" s="39">
        <f t="shared" si="484"/>
        <v>0</v>
      </c>
      <c r="AQ1044" s="1"/>
    </row>
    <row r="1045" ht="15.75" customHeight="1">
      <c r="A1045" s="1"/>
      <c r="B1045" s="35"/>
      <c r="C1045" s="84"/>
      <c r="D1045" s="35"/>
      <c r="E1045" s="76"/>
      <c r="F1045" s="41" t="s">
        <v>29</v>
      </c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8"/>
      <c r="T1045" s="37"/>
      <c r="U1045" s="38"/>
      <c r="V1045" s="37"/>
      <c r="W1045" s="37"/>
      <c r="X1045" s="37"/>
      <c r="Y1045" s="37"/>
      <c r="Z1045" s="37"/>
      <c r="AA1045" s="37"/>
      <c r="AB1045" s="37"/>
      <c r="AC1045" s="37"/>
      <c r="AD1045" s="38"/>
      <c r="AE1045" s="37"/>
      <c r="AF1045" s="37"/>
      <c r="AG1045" s="37"/>
      <c r="AH1045" s="37"/>
      <c r="AI1045" s="37"/>
      <c r="AJ1045" s="37"/>
      <c r="AK1045" s="37"/>
      <c r="AL1045" s="37"/>
      <c r="AM1045" s="37"/>
      <c r="AN1045" s="37"/>
      <c r="AO1045" s="37"/>
      <c r="AP1045" s="39">
        <f t="shared" si="484"/>
        <v>0</v>
      </c>
      <c r="AQ1045" s="1"/>
    </row>
    <row r="1046" ht="15.75" customHeight="1">
      <c r="A1046" s="1"/>
      <c r="B1046" s="42"/>
      <c r="C1046" s="18"/>
      <c r="D1046" s="42"/>
      <c r="E1046" s="98"/>
      <c r="F1046" s="43" t="s">
        <v>30</v>
      </c>
      <c r="G1046" s="44"/>
      <c r="H1046" s="34">
        <f t="shared" ref="H1046:AN1046" si="485">H1041+H1042-H1043+H1044-H1045</f>
        <v>0</v>
      </c>
      <c r="I1046" s="34">
        <f t="shared" si="485"/>
        <v>0</v>
      </c>
      <c r="J1046" s="34">
        <f t="shared" si="485"/>
        <v>0</v>
      </c>
      <c r="K1046" s="34">
        <f t="shared" si="485"/>
        <v>0</v>
      </c>
      <c r="L1046" s="34">
        <f t="shared" si="485"/>
        <v>0</v>
      </c>
      <c r="M1046" s="34">
        <f t="shared" si="485"/>
        <v>0</v>
      </c>
      <c r="N1046" s="34">
        <f t="shared" si="485"/>
        <v>0</v>
      </c>
      <c r="O1046" s="34">
        <f t="shared" si="485"/>
        <v>0</v>
      </c>
      <c r="P1046" s="34">
        <f t="shared" si="485"/>
        <v>0</v>
      </c>
      <c r="Q1046" s="34">
        <f t="shared" si="485"/>
        <v>0</v>
      </c>
      <c r="R1046" s="34">
        <f t="shared" si="485"/>
        <v>0</v>
      </c>
      <c r="S1046" s="34">
        <f t="shared" si="485"/>
        <v>0</v>
      </c>
      <c r="T1046" s="34">
        <f t="shared" si="485"/>
        <v>0</v>
      </c>
      <c r="U1046" s="34">
        <f t="shared" si="485"/>
        <v>0</v>
      </c>
      <c r="V1046" s="34">
        <f t="shared" si="485"/>
        <v>0</v>
      </c>
      <c r="W1046" s="34">
        <f t="shared" si="485"/>
        <v>0</v>
      </c>
      <c r="X1046" s="34">
        <f t="shared" si="485"/>
        <v>0</v>
      </c>
      <c r="Y1046" s="34">
        <f t="shared" si="485"/>
        <v>0</v>
      </c>
      <c r="Z1046" s="34">
        <f t="shared" si="485"/>
        <v>0</v>
      </c>
      <c r="AA1046" s="34">
        <f t="shared" si="485"/>
        <v>0</v>
      </c>
      <c r="AB1046" s="34">
        <f t="shared" si="485"/>
        <v>0</v>
      </c>
      <c r="AC1046" s="34">
        <f t="shared" si="485"/>
        <v>0</v>
      </c>
      <c r="AD1046" s="34">
        <f t="shared" si="485"/>
        <v>0</v>
      </c>
      <c r="AE1046" s="34">
        <f t="shared" si="485"/>
        <v>0</v>
      </c>
      <c r="AF1046" s="34">
        <f t="shared" si="485"/>
        <v>0</v>
      </c>
      <c r="AG1046" s="34">
        <f t="shared" si="485"/>
        <v>0</v>
      </c>
      <c r="AH1046" s="34">
        <f t="shared" si="485"/>
        <v>0</v>
      </c>
      <c r="AI1046" s="34">
        <f t="shared" si="485"/>
        <v>0</v>
      </c>
      <c r="AJ1046" s="34">
        <f t="shared" si="485"/>
        <v>0</v>
      </c>
      <c r="AK1046" s="34">
        <f t="shared" si="485"/>
        <v>0</v>
      </c>
      <c r="AL1046" s="34">
        <f t="shared" si="485"/>
        <v>0</v>
      </c>
      <c r="AM1046" s="34">
        <f t="shared" si="485"/>
        <v>0</v>
      </c>
      <c r="AN1046" s="34">
        <f t="shared" si="485"/>
        <v>0</v>
      </c>
      <c r="AO1046" s="34"/>
      <c r="AP1046" s="45">
        <f>AO1041</f>
        <v>0</v>
      </c>
      <c r="AQ1046" s="1"/>
    </row>
    <row r="1047" ht="15.75" customHeight="1">
      <c r="A1047" s="1"/>
      <c r="B1047" s="56"/>
      <c r="C1047" s="32" t="s">
        <v>354</v>
      </c>
      <c r="D1047" s="57" t="s">
        <v>355</v>
      </c>
      <c r="E1047" s="13"/>
      <c r="F1047" s="41" t="s">
        <v>23</v>
      </c>
      <c r="G1047" s="44"/>
      <c r="H1047" s="34" t="str">
        <f t="shared" ref="H1047:AO1047" si="486">G1052</f>
        <v/>
      </c>
      <c r="I1047" s="34">
        <f t="shared" si="486"/>
        <v>0</v>
      </c>
      <c r="J1047" s="34">
        <f t="shared" si="486"/>
        <v>0</v>
      </c>
      <c r="K1047" s="34">
        <f t="shared" si="486"/>
        <v>0</v>
      </c>
      <c r="L1047" s="34">
        <f t="shared" si="486"/>
        <v>0</v>
      </c>
      <c r="M1047" s="34">
        <f t="shared" si="486"/>
        <v>0</v>
      </c>
      <c r="N1047" s="34">
        <f t="shared" si="486"/>
        <v>0</v>
      </c>
      <c r="O1047" s="34">
        <f t="shared" si="486"/>
        <v>0</v>
      </c>
      <c r="P1047" s="34">
        <f t="shared" si="486"/>
        <v>0</v>
      </c>
      <c r="Q1047" s="34">
        <f t="shared" si="486"/>
        <v>0</v>
      </c>
      <c r="R1047" s="34">
        <f t="shared" si="486"/>
        <v>0</v>
      </c>
      <c r="S1047" s="34">
        <f t="shared" si="486"/>
        <v>0</v>
      </c>
      <c r="T1047" s="34">
        <f t="shared" si="486"/>
        <v>0</v>
      </c>
      <c r="U1047" s="34">
        <f t="shared" si="486"/>
        <v>0</v>
      </c>
      <c r="V1047" s="34">
        <f t="shared" si="486"/>
        <v>0</v>
      </c>
      <c r="W1047" s="34">
        <f t="shared" si="486"/>
        <v>0</v>
      </c>
      <c r="X1047" s="34">
        <f t="shared" si="486"/>
        <v>0</v>
      </c>
      <c r="Y1047" s="34">
        <f t="shared" si="486"/>
        <v>0</v>
      </c>
      <c r="Z1047" s="34">
        <f t="shared" si="486"/>
        <v>0</v>
      </c>
      <c r="AA1047" s="34">
        <f t="shared" si="486"/>
        <v>0</v>
      </c>
      <c r="AB1047" s="34">
        <f t="shared" si="486"/>
        <v>0</v>
      </c>
      <c r="AC1047" s="34">
        <f t="shared" si="486"/>
        <v>0</v>
      </c>
      <c r="AD1047" s="34">
        <f t="shared" si="486"/>
        <v>0</v>
      </c>
      <c r="AE1047" s="34">
        <f t="shared" si="486"/>
        <v>0</v>
      </c>
      <c r="AF1047" s="34">
        <f t="shared" si="486"/>
        <v>0</v>
      </c>
      <c r="AG1047" s="34">
        <f t="shared" si="486"/>
        <v>0</v>
      </c>
      <c r="AH1047" s="34">
        <f t="shared" si="486"/>
        <v>0</v>
      </c>
      <c r="AI1047" s="34">
        <f t="shared" si="486"/>
        <v>0</v>
      </c>
      <c r="AJ1047" s="34">
        <f t="shared" si="486"/>
        <v>0</v>
      </c>
      <c r="AK1047" s="34">
        <f t="shared" si="486"/>
        <v>0</v>
      </c>
      <c r="AL1047" s="34">
        <f t="shared" si="486"/>
        <v>0</v>
      </c>
      <c r="AM1047" s="34">
        <f t="shared" si="486"/>
        <v>0</v>
      </c>
      <c r="AN1047" s="34">
        <f t="shared" si="486"/>
        <v>0</v>
      </c>
      <c r="AO1047" s="34">
        <f t="shared" si="486"/>
        <v>0</v>
      </c>
      <c r="AP1047" s="54"/>
      <c r="AQ1047" s="1"/>
    </row>
    <row r="1048" ht="15.75" customHeight="1">
      <c r="A1048" s="1"/>
      <c r="B1048" s="58"/>
      <c r="C1048" s="35"/>
      <c r="D1048" s="35"/>
      <c r="E1048" s="33" t="s">
        <v>24</v>
      </c>
      <c r="F1048" s="59" t="s">
        <v>25</v>
      </c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8"/>
      <c r="T1048" s="37"/>
      <c r="U1048" s="38"/>
      <c r="V1048" s="37"/>
      <c r="W1048" s="37"/>
      <c r="X1048" s="37"/>
      <c r="Y1048" s="37"/>
      <c r="Z1048" s="37"/>
      <c r="AA1048" s="37"/>
      <c r="AB1048" s="37"/>
      <c r="AC1048" s="37"/>
      <c r="AD1048" s="38"/>
      <c r="AE1048" s="37"/>
      <c r="AF1048" s="37"/>
      <c r="AG1048" s="37"/>
      <c r="AH1048" s="37"/>
      <c r="AI1048" s="37"/>
      <c r="AJ1048" s="37"/>
      <c r="AK1048" s="37"/>
      <c r="AL1048" s="37"/>
      <c r="AM1048" s="37"/>
      <c r="AN1048" s="37"/>
      <c r="AO1048" s="37"/>
      <c r="AP1048" s="39">
        <f t="shared" ref="AP1048:AP1051" si="487">SUM(H1048:AO1048)</f>
        <v>0</v>
      </c>
      <c r="AQ1048" s="1"/>
    </row>
    <row r="1049" ht="15.75" customHeight="1">
      <c r="A1049" s="1"/>
      <c r="B1049" s="58"/>
      <c r="C1049" s="35"/>
      <c r="D1049" s="35"/>
      <c r="E1049" s="33"/>
      <c r="F1049" s="60" t="s">
        <v>26</v>
      </c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8"/>
      <c r="T1049" s="37"/>
      <c r="U1049" s="38"/>
      <c r="V1049" s="37"/>
      <c r="W1049" s="37"/>
      <c r="X1049" s="37"/>
      <c r="Y1049" s="37"/>
      <c r="Z1049" s="37"/>
      <c r="AA1049" s="37"/>
      <c r="AB1049" s="37"/>
      <c r="AC1049" s="37"/>
      <c r="AD1049" s="38"/>
      <c r="AE1049" s="37"/>
      <c r="AF1049" s="37"/>
      <c r="AG1049" s="37"/>
      <c r="AH1049" s="37"/>
      <c r="AI1049" s="37"/>
      <c r="AJ1049" s="37"/>
      <c r="AK1049" s="37"/>
      <c r="AL1049" s="37"/>
      <c r="AM1049" s="37"/>
      <c r="AN1049" s="37"/>
      <c r="AO1049" s="37"/>
      <c r="AP1049" s="39">
        <f t="shared" si="487"/>
        <v>0</v>
      </c>
      <c r="AQ1049" s="1"/>
    </row>
    <row r="1050" ht="15.75" customHeight="1">
      <c r="A1050" s="1"/>
      <c r="B1050" s="58"/>
      <c r="C1050" s="35"/>
      <c r="D1050" s="35"/>
      <c r="E1050" s="33" t="s">
        <v>27</v>
      </c>
      <c r="F1050" s="41" t="s">
        <v>28</v>
      </c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8"/>
      <c r="T1050" s="37"/>
      <c r="U1050" s="38"/>
      <c r="V1050" s="37"/>
      <c r="W1050" s="37"/>
      <c r="X1050" s="37"/>
      <c r="Y1050" s="37"/>
      <c r="Z1050" s="37"/>
      <c r="AA1050" s="37"/>
      <c r="AB1050" s="37"/>
      <c r="AC1050" s="37"/>
      <c r="AD1050" s="38"/>
      <c r="AE1050" s="37"/>
      <c r="AF1050" s="37"/>
      <c r="AG1050" s="37"/>
      <c r="AH1050" s="37"/>
      <c r="AI1050" s="37"/>
      <c r="AJ1050" s="37"/>
      <c r="AK1050" s="37"/>
      <c r="AL1050" s="37"/>
      <c r="AM1050" s="37"/>
      <c r="AN1050" s="37"/>
      <c r="AO1050" s="37"/>
      <c r="AP1050" s="39">
        <f t="shared" si="487"/>
        <v>0</v>
      </c>
      <c r="AQ1050" s="1"/>
    </row>
    <row r="1051" ht="15.75" customHeight="1">
      <c r="A1051" s="1"/>
      <c r="B1051" s="58"/>
      <c r="C1051" s="35"/>
      <c r="D1051" s="35"/>
      <c r="E1051" s="33"/>
      <c r="F1051" s="41" t="s">
        <v>29</v>
      </c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8"/>
      <c r="T1051" s="37"/>
      <c r="U1051" s="38"/>
      <c r="V1051" s="37"/>
      <c r="W1051" s="37"/>
      <c r="X1051" s="37"/>
      <c r="Y1051" s="37"/>
      <c r="Z1051" s="37"/>
      <c r="AA1051" s="37"/>
      <c r="AB1051" s="37"/>
      <c r="AC1051" s="37"/>
      <c r="AD1051" s="38"/>
      <c r="AE1051" s="37"/>
      <c r="AF1051" s="37"/>
      <c r="AG1051" s="37"/>
      <c r="AH1051" s="37"/>
      <c r="AI1051" s="37"/>
      <c r="AJ1051" s="37"/>
      <c r="AK1051" s="37"/>
      <c r="AL1051" s="37"/>
      <c r="AM1051" s="37"/>
      <c r="AN1051" s="37"/>
      <c r="AO1051" s="37"/>
      <c r="AP1051" s="39">
        <f t="shared" si="487"/>
        <v>0</v>
      </c>
      <c r="AQ1051" s="1"/>
    </row>
    <row r="1052" ht="15.75" customHeight="1">
      <c r="A1052" s="1"/>
      <c r="B1052" s="61"/>
      <c r="C1052" s="42"/>
      <c r="D1052" s="42"/>
      <c r="E1052" s="52"/>
      <c r="F1052" s="62" t="s">
        <v>30</v>
      </c>
      <c r="G1052" s="44"/>
      <c r="H1052" s="34">
        <f t="shared" ref="H1052:AN1052" si="488">H1047+H1048-H1049+H1050-H1051</f>
        <v>0</v>
      </c>
      <c r="I1052" s="34">
        <f t="shared" si="488"/>
        <v>0</v>
      </c>
      <c r="J1052" s="34">
        <f t="shared" si="488"/>
        <v>0</v>
      </c>
      <c r="K1052" s="34">
        <f t="shared" si="488"/>
        <v>0</v>
      </c>
      <c r="L1052" s="34">
        <f t="shared" si="488"/>
        <v>0</v>
      </c>
      <c r="M1052" s="34">
        <f t="shared" si="488"/>
        <v>0</v>
      </c>
      <c r="N1052" s="34">
        <f t="shared" si="488"/>
        <v>0</v>
      </c>
      <c r="O1052" s="34">
        <f t="shared" si="488"/>
        <v>0</v>
      </c>
      <c r="P1052" s="34">
        <f t="shared" si="488"/>
        <v>0</v>
      </c>
      <c r="Q1052" s="34">
        <f t="shared" si="488"/>
        <v>0</v>
      </c>
      <c r="R1052" s="34">
        <f t="shared" si="488"/>
        <v>0</v>
      </c>
      <c r="S1052" s="34">
        <f t="shared" si="488"/>
        <v>0</v>
      </c>
      <c r="T1052" s="34">
        <f t="shared" si="488"/>
        <v>0</v>
      </c>
      <c r="U1052" s="34">
        <f t="shared" si="488"/>
        <v>0</v>
      </c>
      <c r="V1052" s="34">
        <f t="shared" si="488"/>
        <v>0</v>
      </c>
      <c r="W1052" s="34">
        <f t="shared" si="488"/>
        <v>0</v>
      </c>
      <c r="X1052" s="34">
        <f t="shared" si="488"/>
        <v>0</v>
      </c>
      <c r="Y1052" s="34">
        <f t="shared" si="488"/>
        <v>0</v>
      </c>
      <c r="Z1052" s="34">
        <f t="shared" si="488"/>
        <v>0</v>
      </c>
      <c r="AA1052" s="34">
        <f t="shared" si="488"/>
        <v>0</v>
      </c>
      <c r="AB1052" s="34">
        <f t="shared" si="488"/>
        <v>0</v>
      </c>
      <c r="AC1052" s="34">
        <f t="shared" si="488"/>
        <v>0</v>
      </c>
      <c r="AD1052" s="34">
        <f t="shared" si="488"/>
        <v>0</v>
      </c>
      <c r="AE1052" s="34">
        <f t="shared" si="488"/>
        <v>0</v>
      </c>
      <c r="AF1052" s="34">
        <f t="shared" si="488"/>
        <v>0</v>
      </c>
      <c r="AG1052" s="34">
        <f t="shared" si="488"/>
        <v>0</v>
      </c>
      <c r="AH1052" s="34">
        <f t="shared" si="488"/>
        <v>0</v>
      </c>
      <c r="AI1052" s="34">
        <f t="shared" si="488"/>
        <v>0</v>
      </c>
      <c r="AJ1052" s="34">
        <f t="shared" si="488"/>
        <v>0</v>
      </c>
      <c r="AK1052" s="34">
        <f t="shared" si="488"/>
        <v>0</v>
      </c>
      <c r="AL1052" s="34">
        <f t="shared" si="488"/>
        <v>0</v>
      </c>
      <c r="AM1052" s="34">
        <f t="shared" si="488"/>
        <v>0</v>
      </c>
      <c r="AN1052" s="34">
        <f t="shared" si="488"/>
        <v>0</v>
      </c>
      <c r="AO1052" s="34"/>
      <c r="AP1052" s="45">
        <f>AO1047</f>
        <v>0</v>
      </c>
      <c r="AQ1052" s="1"/>
    </row>
    <row r="1053" ht="15.75" customHeight="1">
      <c r="A1053" s="1"/>
      <c r="B1053" s="56"/>
      <c r="C1053" s="32" t="s">
        <v>356</v>
      </c>
      <c r="D1053" s="57" t="s">
        <v>357</v>
      </c>
      <c r="E1053" s="13"/>
      <c r="F1053" s="41" t="s">
        <v>23</v>
      </c>
      <c r="G1053" s="44"/>
      <c r="H1053" s="34" t="str">
        <f t="shared" ref="H1053:AO1053" si="489">G1058</f>
        <v/>
      </c>
      <c r="I1053" s="34">
        <f t="shared" si="489"/>
        <v>0</v>
      </c>
      <c r="J1053" s="34">
        <f t="shared" si="489"/>
        <v>0</v>
      </c>
      <c r="K1053" s="34">
        <f t="shared" si="489"/>
        <v>0</v>
      </c>
      <c r="L1053" s="34">
        <f t="shared" si="489"/>
        <v>0</v>
      </c>
      <c r="M1053" s="34">
        <f t="shared" si="489"/>
        <v>0</v>
      </c>
      <c r="N1053" s="34">
        <f t="shared" si="489"/>
        <v>0</v>
      </c>
      <c r="O1053" s="34">
        <f t="shared" si="489"/>
        <v>0</v>
      </c>
      <c r="P1053" s="34">
        <f t="shared" si="489"/>
        <v>0</v>
      </c>
      <c r="Q1053" s="34">
        <f t="shared" si="489"/>
        <v>0</v>
      </c>
      <c r="R1053" s="34">
        <f t="shared" si="489"/>
        <v>0</v>
      </c>
      <c r="S1053" s="34">
        <f t="shared" si="489"/>
        <v>0</v>
      </c>
      <c r="T1053" s="34">
        <f t="shared" si="489"/>
        <v>0</v>
      </c>
      <c r="U1053" s="34">
        <f t="shared" si="489"/>
        <v>0</v>
      </c>
      <c r="V1053" s="34">
        <f t="shared" si="489"/>
        <v>0</v>
      </c>
      <c r="W1053" s="34">
        <f t="shared" si="489"/>
        <v>0</v>
      </c>
      <c r="X1053" s="34">
        <f t="shared" si="489"/>
        <v>0</v>
      </c>
      <c r="Y1053" s="34">
        <f t="shared" si="489"/>
        <v>0</v>
      </c>
      <c r="Z1053" s="34">
        <f t="shared" si="489"/>
        <v>0</v>
      </c>
      <c r="AA1053" s="34">
        <f t="shared" si="489"/>
        <v>0</v>
      </c>
      <c r="AB1053" s="34">
        <f t="shared" si="489"/>
        <v>0</v>
      </c>
      <c r="AC1053" s="34">
        <f t="shared" si="489"/>
        <v>0</v>
      </c>
      <c r="AD1053" s="34">
        <f t="shared" si="489"/>
        <v>0</v>
      </c>
      <c r="AE1053" s="34">
        <f t="shared" si="489"/>
        <v>0</v>
      </c>
      <c r="AF1053" s="34">
        <f t="shared" si="489"/>
        <v>0</v>
      </c>
      <c r="AG1053" s="34">
        <f t="shared" si="489"/>
        <v>0</v>
      </c>
      <c r="AH1053" s="34">
        <f t="shared" si="489"/>
        <v>0</v>
      </c>
      <c r="AI1053" s="34">
        <f t="shared" si="489"/>
        <v>0</v>
      </c>
      <c r="AJ1053" s="34">
        <f t="shared" si="489"/>
        <v>0</v>
      </c>
      <c r="AK1053" s="34">
        <f t="shared" si="489"/>
        <v>0</v>
      </c>
      <c r="AL1053" s="34">
        <f t="shared" si="489"/>
        <v>0</v>
      </c>
      <c r="AM1053" s="34">
        <f t="shared" si="489"/>
        <v>0</v>
      </c>
      <c r="AN1053" s="34">
        <f t="shared" si="489"/>
        <v>0</v>
      </c>
      <c r="AO1053" s="34">
        <f t="shared" si="489"/>
        <v>0</v>
      </c>
      <c r="AP1053" s="54"/>
      <c r="AQ1053" s="1"/>
    </row>
    <row r="1054" ht="15.75" customHeight="1">
      <c r="A1054" s="1"/>
      <c r="B1054" s="58"/>
      <c r="C1054" s="35"/>
      <c r="D1054" s="35"/>
      <c r="E1054" s="33" t="s">
        <v>24</v>
      </c>
      <c r="F1054" s="59" t="s">
        <v>25</v>
      </c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8"/>
      <c r="T1054" s="37"/>
      <c r="U1054" s="38"/>
      <c r="V1054" s="37"/>
      <c r="W1054" s="37"/>
      <c r="X1054" s="37"/>
      <c r="Y1054" s="37"/>
      <c r="Z1054" s="37"/>
      <c r="AA1054" s="37"/>
      <c r="AB1054" s="37"/>
      <c r="AC1054" s="37"/>
      <c r="AD1054" s="38"/>
      <c r="AE1054" s="37"/>
      <c r="AF1054" s="37"/>
      <c r="AG1054" s="37"/>
      <c r="AH1054" s="37"/>
      <c r="AI1054" s="37"/>
      <c r="AJ1054" s="37"/>
      <c r="AK1054" s="37"/>
      <c r="AL1054" s="37"/>
      <c r="AM1054" s="37"/>
      <c r="AN1054" s="37"/>
      <c r="AO1054" s="37"/>
      <c r="AP1054" s="39">
        <f t="shared" ref="AP1054:AP1057" si="490">SUM(H1054:AO1054)</f>
        <v>0</v>
      </c>
      <c r="AQ1054" s="1"/>
    </row>
    <row r="1055" ht="15.75" customHeight="1">
      <c r="A1055" s="1"/>
      <c r="B1055" s="58"/>
      <c r="C1055" s="35"/>
      <c r="D1055" s="35"/>
      <c r="E1055" s="33"/>
      <c r="F1055" s="60" t="s">
        <v>26</v>
      </c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8"/>
      <c r="T1055" s="37"/>
      <c r="U1055" s="38"/>
      <c r="V1055" s="37"/>
      <c r="W1055" s="37"/>
      <c r="X1055" s="37"/>
      <c r="Y1055" s="37"/>
      <c r="Z1055" s="37"/>
      <c r="AA1055" s="37"/>
      <c r="AB1055" s="37"/>
      <c r="AC1055" s="37"/>
      <c r="AD1055" s="38"/>
      <c r="AE1055" s="37"/>
      <c r="AF1055" s="37"/>
      <c r="AG1055" s="37"/>
      <c r="AH1055" s="37"/>
      <c r="AI1055" s="37"/>
      <c r="AJ1055" s="37"/>
      <c r="AK1055" s="37"/>
      <c r="AL1055" s="37"/>
      <c r="AM1055" s="37"/>
      <c r="AN1055" s="37"/>
      <c r="AO1055" s="37"/>
      <c r="AP1055" s="39">
        <f t="shared" si="490"/>
        <v>0</v>
      </c>
      <c r="AQ1055" s="1"/>
    </row>
    <row r="1056" ht="15.75" customHeight="1">
      <c r="A1056" s="1"/>
      <c r="B1056" s="58"/>
      <c r="C1056" s="35"/>
      <c r="D1056" s="35"/>
      <c r="E1056" s="33" t="s">
        <v>27</v>
      </c>
      <c r="F1056" s="41" t="s">
        <v>28</v>
      </c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8"/>
      <c r="T1056" s="37"/>
      <c r="U1056" s="38"/>
      <c r="V1056" s="37"/>
      <c r="W1056" s="37"/>
      <c r="X1056" s="37"/>
      <c r="Y1056" s="37"/>
      <c r="Z1056" s="37"/>
      <c r="AA1056" s="37"/>
      <c r="AB1056" s="37"/>
      <c r="AC1056" s="37"/>
      <c r="AD1056" s="38"/>
      <c r="AE1056" s="37"/>
      <c r="AF1056" s="37"/>
      <c r="AG1056" s="37"/>
      <c r="AH1056" s="37"/>
      <c r="AI1056" s="37"/>
      <c r="AJ1056" s="37"/>
      <c r="AK1056" s="37"/>
      <c r="AL1056" s="37"/>
      <c r="AM1056" s="37"/>
      <c r="AN1056" s="37"/>
      <c r="AO1056" s="37"/>
      <c r="AP1056" s="39">
        <f t="shared" si="490"/>
        <v>0</v>
      </c>
      <c r="AQ1056" s="1"/>
    </row>
    <row r="1057" ht="15.75" customHeight="1">
      <c r="A1057" s="1"/>
      <c r="B1057" s="58"/>
      <c r="C1057" s="35"/>
      <c r="D1057" s="35"/>
      <c r="E1057" s="33"/>
      <c r="F1057" s="41" t="s">
        <v>29</v>
      </c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8"/>
      <c r="T1057" s="37"/>
      <c r="U1057" s="38"/>
      <c r="V1057" s="37"/>
      <c r="W1057" s="37"/>
      <c r="X1057" s="37"/>
      <c r="Y1057" s="37"/>
      <c r="Z1057" s="37"/>
      <c r="AA1057" s="37"/>
      <c r="AB1057" s="37"/>
      <c r="AC1057" s="37"/>
      <c r="AD1057" s="38"/>
      <c r="AE1057" s="37"/>
      <c r="AF1057" s="37"/>
      <c r="AG1057" s="37"/>
      <c r="AH1057" s="37"/>
      <c r="AI1057" s="37"/>
      <c r="AJ1057" s="37"/>
      <c r="AK1057" s="37"/>
      <c r="AL1057" s="37"/>
      <c r="AM1057" s="37"/>
      <c r="AN1057" s="37"/>
      <c r="AO1057" s="37"/>
      <c r="AP1057" s="39">
        <f t="shared" si="490"/>
        <v>0</v>
      </c>
      <c r="AQ1057" s="1"/>
    </row>
    <row r="1058" ht="15.75" customHeight="1">
      <c r="A1058" s="1"/>
      <c r="B1058" s="61"/>
      <c r="C1058" s="42"/>
      <c r="D1058" s="42"/>
      <c r="E1058" s="52"/>
      <c r="F1058" s="62" t="s">
        <v>30</v>
      </c>
      <c r="G1058" s="44"/>
      <c r="H1058" s="34">
        <f t="shared" ref="H1058:AN1058" si="491">H1053+H1054-H1055+H1056-H1057</f>
        <v>0</v>
      </c>
      <c r="I1058" s="34">
        <f t="shared" si="491"/>
        <v>0</v>
      </c>
      <c r="J1058" s="34">
        <f t="shared" si="491"/>
        <v>0</v>
      </c>
      <c r="K1058" s="34">
        <f t="shared" si="491"/>
        <v>0</v>
      </c>
      <c r="L1058" s="34">
        <f t="shared" si="491"/>
        <v>0</v>
      </c>
      <c r="M1058" s="34">
        <f t="shared" si="491"/>
        <v>0</v>
      </c>
      <c r="N1058" s="34">
        <f t="shared" si="491"/>
        <v>0</v>
      </c>
      <c r="O1058" s="34">
        <f t="shared" si="491"/>
        <v>0</v>
      </c>
      <c r="P1058" s="34">
        <f t="shared" si="491"/>
        <v>0</v>
      </c>
      <c r="Q1058" s="34">
        <f t="shared" si="491"/>
        <v>0</v>
      </c>
      <c r="R1058" s="34">
        <f t="shared" si="491"/>
        <v>0</v>
      </c>
      <c r="S1058" s="34">
        <f t="shared" si="491"/>
        <v>0</v>
      </c>
      <c r="T1058" s="34">
        <f t="shared" si="491"/>
        <v>0</v>
      </c>
      <c r="U1058" s="34">
        <f t="shared" si="491"/>
        <v>0</v>
      </c>
      <c r="V1058" s="34">
        <f t="shared" si="491"/>
        <v>0</v>
      </c>
      <c r="W1058" s="34">
        <f t="shared" si="491"/>
        <v>0</v>
      </c>
      <c r="X1058" s="34">
        <f t="shared" si="491"/>
        <v>0</v>
      </c>
      <c r="Y1058" s="34">
        <f t="shared" si="491"/>
        <v>0</v>
      </c>
      <c r="Z1058" s="34">
        <f t="shared" si="491"/>
        <v>0</v>
      </c>
      <c r="AA1058" s="34">
        <f t="shared" si="491"/>
        <v>0</v>
      </c>
      <c r="AB1058" s="34">
        <f t="shared" si="491"/>
        <v>0</v>
      </c>
      <c r="AC1058" s="34">
        <f t="shared" si="491"/>
        <v>0</v>
      </c>
      <c r="AD1058" s="34">
        <f t="shared" si="491"/>
        <v>0</v>
      </c>
      <c r="AE1058" s="34">
        <f t="shared" si="491"/>
        <v>0</v>
      </c>
      <c r="AF1058" s="34">
        <f t="shared" si="491"/>
        <v>0</v>
      </c>
      <c r="AG1058" s="34">
        <f t="shared" si="491"/>
        <v>0</v>
      </c>
      <c r="AH1058" s="34">
        <f t="shared" si="491"/>
        <v>0</v>
      </c>
      <c r="AI1058" s="34">
        <f t="shared" si="491"/>
        <v>0</v>
      </c>
      <c r="AJ1058" s="34">
        <f t="shared" si="491"/>
        <v>0</v>
      </c>
      <c r="AK1058" s="34">
        <f t="shared" si="491"/>
        <v>0</v>
      </c>
      <c r="AL1058" s="34">
        <f t="shared" si="491"/>
        <v>0</v>
      </c>
      <c r="AM1058" s="34">
        <f t="shared" si="491"/>
        <v>0</v>
      </c>
      <c r="AN1058" s="34">
        <f t="shared" si="491"/>
        <v>0</v>
      </c>
      <c r="AO1058" s="34"/>
      <c r="AP1058" s="45">
        <f>AO1053</f>
        <v>0</v>
      </c>
      <c r="AQ1058" s="1"/>
    </row>
    <row r="1059" ht="15.75" customHeight="1">
      <c r="A1059" s="1"/>
      <c r="B1059" s="56"/>
      <c r="C1059" s="32" t="s">
        <v>358</v>
      </c>
      <c r="D1059" s="57" t="s">
        <v>359</v>
      </c>
      <c r="E1059" s="13"/>
      <c r="F1059" s="41" t="s">
        <v>23</v>
      </c>
      <c r="G1059" s="44"/>
      <c r="H1059" s="34" t="str">
        <f t="shared" ref="H1059:AO1059" si="492">G1064</f>
        <v/>
      </c>
      <c r="I1059" s="34">
        <f t="shared" si="492"/>
        <v>0</v>
      </c>
      <c r="J1059" s="34">
        <f t="shared" si="492"/>
        <v>0</v>
      </c>
      <c r="K1059" s="34">
        <f t="shared" si="492"/>
        <v>0</v>
      </c>
      <c r="L1059" s="34">
        <f t="shared" si="492"/>
        <v>0</v>
      </c>
      <c r="M1059" s="34">
        <f t="shared" si="492"/>
        <v>0</v>
      </c>
      <c r="N1059" s="34">
        <f t="shared" si="492"/>
        <v>0</v>
      </c>
      <c r="O1059" s="34">
        <f t="shared" si="492"/>
        <v>0</v>
      </c>
      <c r="P1059" s="34">
        <f t="shared" si="492"/>
        <v>0</v>
      </c>
      <c r="Q1059" s="34">
        <f t="shared" si="492"/>
        <v>0</v>
      </c>
      <c r="R1059" s="34">
        <f t="shared" si="492"/>
        <v>0</v>
      </c>
      <c r="S1059" s="34">
        <f t="shared" si="492"/>
        <v>0</v>
      </c>
      <c r="T1059" s="34">
        <f t="shared" si="492"/>
        <v>0</v>
      </c>
      <c r="U1059" s="34">
        <f t="shared" si="492"/>
        <v>0</v>
      </c>
      <c r="V1059" s="34">
        <f t="shared" si="492"/>
        <v>0</v>
      </c>
      <c r="W1059" s="34">
        <f t="shared" si="492"/>
        <v>0</v>
      </c>
      <c r="X1059" s="34">
        <f t="shared" si="492"/>
        <v>0</v>
      </c>
      <c r="Y1059" s="34">
        <f t="shared" si="492"/>
        <v>50</v>
      </c>
      <c r="Z1059" s="34">
        <f t="shared" si="492"/>
        <v>50</v>
      </c>
      <c r="AA1059" s="34">
        <f t="shared" si="492"/>
        <v>50</v>
      </c>
      <c r="AB1059" s="34">
        <f t="shared" si="492"/>
        <v>50</v>
      </c>
      <c r="AC1059" s="34">
        <f t="shared" si="492"/>
        <v>50</v>
      </c>
      <c r="AD1059" s="34">
        <f t="shared" si="492"/>
        <v>50</v>
      </c>
      <c r="AE1059" s="34">
        <f t="shared" si="492"/>
        <v>50</v>
      </c>
      <c r="AF1059" s="34">
        <f t="shared" si="492"/>
        <v>50</v>
      </c>
      <c r="AG1059" s="34">
        <f t="shared" si="492"/>
        <v>50</v>
      </c>
      <c r="AH1059" s="34">
        <f t="shared" si="492"/>
        <v>50</v>
      </c>
      <c r="AI1059" s="34">
        <f t="shared" si="492"/>
        <v>50</v>
      </c>
      <c r="AJ1059" s="34">
        <f t="shared" si="492"/>
        <v>50</v>
      </c>
      <c r="AK1059" s="34">
        <f t="shared" si="492"/>
        <v>50</v>
      </c>
      <c r="AL1059" s="34">
        <f t="shared" si="492"/>
        <v>50</v>
      </c>
      <c r="AM1059" s="34">
        <f t="shared" si="492"/>
        <v>50</v>
      </c>
      <c r="AN1059" s="34">
        <f t="shared" si="492"/>
        <v>50</v>
      </c>
      <c r="AO1059" s="34">
        <f t="shared" si="492"/>
        <v>50</v>
      </c>
      <c r="AP1059" s="54"/>
      <c r="AQ1059" s="1"/>
    </row>
    <row r="1060" ht="15.75" customHeight="1">
      <c r="A1060" s="1"/>
      <c r="B1060" s="58"/>
      <c r="C1060" s="35"/>
      <c r="D1060" s="35"/>
      <c r="E1060" s="33" t="s">
        <v>24</v>
      </c>
      <c r="F1060" s="59" t="s">
        <v>25</v>
      </c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8"/>
      <c r="T1060" s="37"/>
      <c r="U1060" s="38"/>
      <c r="V1060" s="37"/>
      <c r="W1060" s="37"/>
      <c r="X1060" s="37">
        <v>50.0</v>
      </c>
      <c r="Y1060" s="37"/>
      <c r="Z1060" s="37"/>
      <c r="AA1060" s="37"/>
      <c r="AB1060" s="37"/>
      <c r="AC1060" s="37"/>
      <c r="AD1060" s="38"/>
      <c r="AE1060" s="37"/>
      <c r="AF1060" s="37"/>
      <c r="AG1060" s="37"/>
      <c r="AH1060" s="37"/>
      <c r="AI1060" s="37"/>
      <c r="AJ1060" s="37"/>
      <c r="AK1060" s="37"/>
      <c r="AL1060" s="37"/>
      <c r="AM1060" s="37"/>
      <c r="AN1060" s="37"/>
      <c r="AO1060" s="37"/>
      <c r="AP1060" s="39">
        <f t="shared" ref="AP1060:AP1063" si="493">SUM(H1060:AO1060)</f>
        <v>50</v>
      </c>
      <c r="AQ1060" s="1"/>
    </row>
    <row r="1061" ht="15.75" customHeight="1">
      <c r="A1061" s="1"/>
      <c r="B1061" s="58"/>
      <c r="C1061" s="35"/>
      <c r="D1061" s="35"/>
      <c r="E1061" s="33"/>
      <c r="F1061" s="60" t="s">
        <v>26</v>
      </c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8"/>
      <c r="T1061" s="37"/>
      <c r="U1061" s="38"/>
      <c r="V1061" s="37"/>
      <c r="W1061" s="37"/>
      <c r="X1061" s="37"/>
      <c r="Y1061" s="37"/>
      <c r="Z1061" s="37"/>
      <c r="AA1061" s="37"/>
      <c r="AB1061" s="37"/>
      <c r="AC1061" s="37"/>
      <c r="AD1061" s="38"/>
      <c r="AE1061" s="37"/>
      <c r="AF1061" s="37"/>
      <c r="AG1061" s="37"/>
      <c r="AH1061" s="37"/>
      <c r="AI1061" s="37"/>
      <c r="AJ1061" s="37"/>
      <c r="AK1061" s="37"/>
      <c r="AL1061" s="37"/>
      <c r="AM1061" s="37"/>
      <c r="AN1061" s="37"/>
      <c r="AO1061" s="37"/>
      <c r="AP1061" s="39">
        <f t="shared" si="493"/>
        <v>0</v>
      </c>
      <c r="AQ1061" s="1"/>
    </row>
    <row r="1062" ht="15.75" customHeight="1">
      <c r="A1062" s="1"/>
      <c r="B1062" s="58"/>
      <c r="C1062" s="35"/>
      <c r="D1062" s="35"/>
      <c r="E1062" s="33" t="s">
        <v>27</v>
      </c>
      <c r="F1062" s="41" t="s">
        <v>28</v>
      </c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8"/>
      <c r="T1062" s="37"/>
      <c r="U1062" s="38"/>
      <c r="V1062" s="37"/>
      <c r="W1062" s="37"/>
      <c r="X1062" s="37"/>
      <c r="Y1062" s="37"/>
      <c r="Z1062" s="37"/>
      <c r="AA1062" s="37"/>
      <c r="AB1062" s="37"/>
      <c r="AC1062" s="37"/>
      <c r="AD1062" s="38"/>
      <c r="AE1062" s="37"/>
      <c r="AF1062" s="37"/>
      <c r="AG1062" s="37"/>
      <c r="AH1062" s="37"/>
      <c r="AI1062" s="37"/>
      <c r="AJ1062" s="37"/>
      <c r="AK1062" s="37"/>
      <c r="AL1062" s="37"/>
      <c r="AM1062" s="37"/>
      <c r="AN1062" s="37"/>
      <c r="AO1062" s="37"/>
      <c r="AP1062" s="39">
        <f t="shared" si="493"/>
        <v>0</v>
      </c>
      <c r="AQ1062" s="1"/>
    </row>
    <row r="1063" ht="15.75" customHeight="1">
      <c r="A1063" s="1"/>
      <c r="B1063" s="58"/>
      <c r="C1063" s="35"/>
      <c r="D1063" s="35"/>
      <c r="E1063" s="33"/>
      <c r="F1063" s="41" t="s">
        <v>29</v>
      </c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8"/>
      <c r="T1063" s="37"/>
      <c r="U1063" s="38"/>
      <c r="V1063" s="37"/>
      <c r="W1063" s="37"/>
      <c r="X1063" s="37"/>
      <c r="Y1063" s="37"/>
      <c r="Z1063" s="37"/>
      <c r="AA1063" s="37"/>
      <c r="AB1063" s="37"/>
      <c r="AC1063" s="37"/>
      <c r="AD1063" s="38"/>
      <c r="AE1063" s="37"/>
      <c r="AF1063" s="37"/>
      <c r="AG1063" s="37"/>
      <c r="AH1063" s="37"/>
      <c r="AI1063" s="37"/>
      <c r="AJ1063" s="37"/>
      <c r="AK1063" s="37"/>
      <c r="AL1063" s="37"/>
      <c r="AM1063" s="37"/>
      <c r="AN1063" s="37"/>
      <c r="AO1063" s="37"/>
      <c r="AP1063" s="39">
        <f t="shared" si="493"/>
        <v>0</v>
      </c>
      <c r="AQ1063" s="1"/>
    </row>
    <row r="1064" ht="15.75" customHeight="1">
      <c r="A1064" s="1"/>
      <c r="B1064" s="61"/>
      <c r="C1064" s="42"/>
      <c r="D1064" s="42"/>
      <c r="E1064" s="52"/>
      <c r="F1064" s="62" t="s">
        <v>30</v>
      </c>
      <c r="G1064" s="44"/>
      <c r="H1064" s="34">
        <f t="shared" ref="H1064:AN1064" si="494">H1059+H1060-H1061+H1062-H1063</f>
        <v>0</v>
      </c>
      <c r="I1064" s="34">
        <f t="shared" si="494"/>
        <v>0</v>
      </c>
      <c r="J1064" s="34">
        <f t="shared" si="494"/>
        <v>0</v>
      </c>
      <c r="K1064" s="34">
        <f t="shared" si="494"/>
        <v>0</v>
      </c>
      <c r="L1064" s="34">
        <f t="shared" si="494"/>
        <v>0</v>
      </c>
      <c r="M1064" s="34">
        <f t="shared" si="494"/>
        <v>0</v>
      </c>
      <c r="N1064" s="34">
        <f t="shared" si="494"/>
        <v>0</v>
      </c>
      <c r="O1064" s="34">
        <f t="shared" si="494"/>
        <v>0</v>
      </c>
      <c r="P1064" s="34">
        <f t="shared" si="494"/>
        <v>0</v>
      </c>
      <c r="Q1064" s="34">
        <f t="shared" si="494"/>
        <v>0</v>
      </c>
      <c r="R1064" s="34">
        <f t="shared" si="494"/>
        <v>0</v>
      </c>
      <c r="S1064" s="34">
        <f t="shared" si="494"/>
        <v>0</v>
      </c>
      <c r="T1064" s="34">
        <f t="shared" si="494"/>
        <v>0</v>
      </c>
      <c r="U1064" s="34">
        <f t="shared" si="494"/>
        <v>0</v>
      </c>
      <c r="V1064" s="34">
        <f t="shared" si="494"/>
        <v>0</v>
      </c>
      <c r="W1064" s="34">
        <f t="shared" si="494"/>
        <v>0</v>
      </c>
      <c r="X1064" s="34">
        <f t="shared" si="494"/>
        <v>50</v>
      </c>
      <c r="Y1064" s="34">
        <f t="shared" si="494"/>
        <v>50</v>
      </c>
      <c r="Z1064" s="34">
        <f t="shared" si="494"/>
        <v>50</v>
      </c>
      <c r="AA1064" s="34">
        <f t="shared" si="494"/>
        <v>50</v>
      </c>
      <c r="AB1064" s="34">
        <f t="shared" si="494"/>
        <v>50</v>
      </c>
      <c r="AC1064" s="34">
        <f t="shared" si="494"/>
        <v>50</v>
      </c>
      <c r="AD1064" s="34">
        <f t="shared" si="494"/>
        <v>50</v>
      </c>
      <c r="AE1064" s="34">
        <f t="shared" si="494"/>
        <v>50</v>
      </c>
      <c r="AF1064" s="34">
        <f t="shared" si="494"/>
        <v>50</v>
      </c>
      <c r="AG1064" s="34">
        <f t="shared" si="494"/>
        <v>50</v>
      </c>
      <c r="AH1064" s="34">
        <f t="shared" si="494"/>
        <v>50</v>
      </c>
      <c r="AI1064" s="34">
        <f t="shared" si="494"/>
        <v>50</v>
      </c>
      <c r="AJ1064" s="34">
        <f t="shared" si="494"/>
        <v>50</v>
      </c>
      <c r="AK1064" s="34">
        <f t="shared" si="494"/>
        <v>50</v>
      </c>
      <c r="AL1064" s="34">
        <f t="shared" si="494"/>
        <v>50</v>
      </c>
      <c r="AM1064" s="34">
        <f t="shared" si="494"/>
        <v>50</v>
      </c>
      <c r="AN1064" s="34">
        <f t="shared" si="494"/>
        <v>50</v>
      </c>
      <c r="AO1064" s="34"/>
      <c r="AP1064" s="45">
        <f>AO1059</f>
        <v>50</v>
      </c>
      <c r="AQ1064" s="1"/>
    </row>
    <row r="1065" ht="15.0" customHeight="1">
      <c r="A1065" s="1"/>
      <c r="B1065" s="32"/>
      <c r="C1065" s="12" t="s">
        <v>360</v>
      </c>
      <c r="D1065" s="32" t="s">
        <v>361</v>
      </c>
      <c r="E1065" s="97"/>
      <c r="F1065" s="14" t="s">
        <v>23</v>
      </c>
      <c r="G1065" s="44"/>
      <c r="H1065" s="34">
        <v>0.0</v>
      </c>
      <c r="I1065" s="34">
        <f t="shared" ref="I1065:AO1065" si="495">H1070</f>
        <v>0</v>
      </c>
      <c r="J1065" s="34">
        <f t="shared" si="495"/>
        <v>0</v>
      </c>
      <c r="K1065" s="34">
        <f t="shared" si="495"/>
        <v>0</v>
      </c>
      <c r="L1065" s="34">
        <f t="shared" si="495"/>
        <v>0</v>
      </c>
      <c r="M1065" s="34">
        <f t="shared" si="495"/>
        <v>0</v>
      </c>
      <c r="N1065" s="34">
        <f t="shared" si="495"/>
        <v>0</v>
      </c>
      <c r="O1065" s="34">
        <f t="shared" si="495"/>
        <v>0</v>
      </c>
      <c r="P1065" s="34">
        <f t="shared" si="495"/>
        <v>0</v>
      </c>
      <c r="Q1065" s="34">
        <f t="shared" si="495"/>
        <v>0</v>
      </c>
      <c r="R1065" s="34">
        <f t="shared" si="495"/>
        <v>0</v>
      </c>
      <c r="S1065" s="34">
        <f t="shared" si="495"/>
        <v>0</v>
      </c>
      <c r="T1065" s="34">
        <f t="shared" si="495"/>
        <v>0</v>
      </c>
      <c r="U1065" s="34">
        <f t="shared" si="495"/>
        <v>0</v>
      </c>
      <c r="V1065" s="34">
        <f t="shared" si="495"/>
        <v>0</v>
      </c>
      <c r="W1065" s="34">
        <f t="shared" si="495"/>
        <v>0</v>
      </c>
      <c r="X1065" s="34">
        <f t="shared" si="495"/>
        <v>0</v>
      </c>
      <c r="Y1065" s="34">
        <f t="shared" si="495"/>
        <v>0</v>
      </c>
      <c r="Z1065" s="34">
        <f t="shared" si="495"/>
        <v>0</v>
      </c>
      <c r="AA1065" s="34">
        <f t="shared" si="495"/>
        <v>0</v>
      </c>
      <c r="AB1065" s="34">
        <f t="shared" si="495"/>
        <v>0</v>
      </c>
      <c r="AC1065" s="34">
        <f t="shared" si="495"/>
        <v>0</v>
      </c>
      <c r="AD1065" s="34">
        <f t="shared" si="495"/>
        <v>0</v>
      </c>
      <c r="AE1065" s="34">
        <f t="shared" si="495"/>
        <v>0</v>
      </c>
      <c r="AF1065" s="34">
        <f t="shared" si="495"/>
        <v>0</v>
      </c>
      <c r="AG1065" s="34">
        <f t="shared" si="495"/>
        <v>0</v>
      </c>
      <c r="AH1065" s="34">
        <f t="shared" si="495"/>
        <v>0</v>
      </c>
      <c r="AI1065" s="34">
        <f t="shared" si="495"/>
        <v>0</v>
      </c>
      <c r="AJ1065" s="34">
        <f t="shared" si="495"/>
        <v>0</v>
      </c>
      <c r="AK1065" s="34">
        <f t="shared" si="495"/>
        <v>0</v>
      </c>
      <c r="AL1065" s="34">
        <f t="shared" si="495"/>
        <v>0</v>
      </c>
      <c r="AM1065" s="34">
        <f t="shared" si="495"/>
        <v>0</v>
      </c>
      <c r="AN1065" s="34">
        <f t="shared" si="495"/>
        <v>0</v>
      </c>
      <c r="AO1065" s="34">
        <f t="shared" si="495"/>
        <v>0</v>
      </c>
      <c r="AP1065" s="54"/>
      <c r="AQ1065" s="1"/>
    </row>
    <row r="1066" ht="15.0" customHeight="1">
      <c r="A1066" s="1"/>
      <c r="B1066" s="35"/>
      <c r="C1066" s="84"/>
      <c r="D1066" s="35"/>
      <c r="E1066" s="76" t="s">
        <v>93</v>
      </c>
      <c r="F1066" s="36" t="s">
        <v>25</v>
      </c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8"/>
      <c r="T1066" s="37"/>
      <c r="U1066" s="38"/>
      <c r="V1066" s="37"/>
      <c r="W1066" s="37"/>
      <c r="X1066" s="37"/>
      <c r="Y1066" s="37"/>
      <c r="Z1066" s="37"/>
      <c r="AA1066" s="37"/>
      <c r="AB1066" s="37"/>
      <c r="AC1066" s="37"/>
      <c r="AD1066" s="38"/>
      <c r="AE1066" s="37"/>
      <c r="AF1066" s="37"/>
      <c r="AG1066" s="37"/>
      <c r="AH1066" s="37"/>
      <c r="AI1066" s="37"/>
      <c r="AJ1066" s="37"/>
      <c r="AK1066" s="37"/>
      <c r="AL1066" s="37"/>
      <c r="AM1066" s="37"/>
      <c r="AN1066" s="37"/>
      <c r="AO1066" s="37"/>
      <c r="AP1066" s="39">
        <f>SUM(H1066:AO1066)</f>
        <v>0</v>
      </c>
      <c r="AQ1066" s="1"/>
    </row>
    <row r="1067" ht="15.0" customHeight="1">
      <c r="A1067" s="1"/>
      <c r="B1067" s="35"/>
      <c r="C1067" s="84"/>
      <c r="D1067" s="35"/>
      <c r="E1067" s="76"/>
      <c r="F1067" s="40" t="s">
        <v>26</v>
      </c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8"/>
      <c r="T1067" s="37"/>
      <c r="U1067" s="38"/>
      <c r="V1067" s="37"/>
      <c r="W1067" s="37"/>
      <c r="X1067" s="37"/>
      <c r="Y1067" s="37"/>
      <c r="Z1067" s="37"/>
      <c r="AA1067" s="37"/>
      <c r="AB1067" s="37"/>
      <c r="AC1067" s="37"/>
      <c r="AD1067" s="38"/>
      <c r="AE1067" s="37"/>
      <c r="AF1067" s="37"/>
      <c r="AG1067" s="37"/>
      <c r="AH1067" s="37"/>
      <c r="AI1067" s="37"/>
      <c r="AJ1067" s="37"/>
      <c r="AK1067" s="37"/>
      <c r="AL1067" s="37"/>
      <c r="AM1067" s="37"/>
      <c r="AN1067" s="37"/>
      <c r="AO1067" s="37"/>
      <c r="AP1067" s="39">
        <f t="shared" ref="AP1067:AP1069" si="496">SUM(H1067:AK1067)</f>
        <v>0</v>
      </c>
      <c r="AQ1067" s="1"/>
    </row>
    <row r="1068" ht="15.0" customHeight="1">
      <c r="A1068" s="1"/>
      <c r="B1068" s="35"/>
      <c r="C1068" s="84"/>
      <c r="D1068" s="35"/>
      <c r="E1068" s="76" t="s">
        <v>27</v>
      </c>
      <c r="F1068" s="41" t="s">
        <v>28</v>
      </c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8"/>
      <c r="T1068" s="37"/>
      <c r="U1068" s="38"/>
      <c r="V1068" s="37"/>
      <c r="W1068" s="37"/>
      <c r="X1068" s="37"/>
      <c r="Y1068" s="37"/>
      <c r="Z1068" s="37"/>
      <c r="AA1068" s="37"/>
      <c r="AB1068" s="37"/>
      <c r="AC1068" s="37"/>
      <c r="AD1068" s="38"/>
      <c r="AE1068" s="37"/>
      <c r="AF1068" s="37"/>
      <c r="AG1068" s="37"/>
      <c r="AH1068" s="37"/>
      <c r="AI1068" s="37"/>
      <c r="AJ1068" s="37"/>
      <c r="AK1068" s="37"/>
      <c r="AL1068" s="37"/>
      <c r="AM1068" s="37"/>
      <c r="AN1068" s="37"/>
      <c r="AO1068" s="37"/>
      <c r="AP1068" s="39">
        <f t="shared" si="496"/>
        <v>0</v>
      </c>
      <c r="AQ1068" s="1"/>
    </row>
    <row r="1069" ht="15.0" customHeight="1">
      <c r="A1069" s="1"/>
      <c r="B1069" s="35"/>
      <c r="C1069" s="84"/>
      <c r="D1069" s="35"/>
      <c r="E1069" s="76"/>
      <c r="F1069" s="41" t="s">
        <v>29</v>
      </c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8"/>
      <c r="T1069" s="37"/>
      <c r="U1069" s="38"/>
      <c r="V1069" s="37"/>
      <c r="W1069" s="37"/>
      <c r="X1069" s="37"/>
      <c r="Y1069" s="37"/>
      <c r="Z1069" s="37"/>
      <c r="AA1069" s="37"/>
      <c r="AB1069" s="37"/>
      <c r="AC1069" s="37"/>
      <c r="AD1069" s="38"/>
      <c r="AE1069" s="37"/>
      <c r="AF1069" s="37"/>
      <c r="AG1069" s="37"/>
      <c r="AH1069" s="37"/>
      <c r="AI1069" s="37"/>
      <c r="AJ1069" s="37"/>
      <c r="AK1069" s="37"/>
      <c r="AL1069" s="37"/>
      <c r="AM1069" s="37"/>
      <c r="AN1069" s="37"/>
      <c r="AO1069" s="37"/>
      <c r="AP1069" s="39">
        <f t="shared" si="496"/>
        <v>0</v>
      </c>
      <c r="AQ1069" s="1"/>
    </row>
    <row r="1070" ht="15.0" customHeight="1">
      <c r="A1070" s="1"/>
      <c r="B1070" s="42"/>
      <c r="C1070" s="18"/>
      <c r="D1070" s="42"/>
      <c r="E1070" s="98"/>
      <c r="F1070" s="43" t="s">
        <v>30</v>
      </c>
      <c r="G1070" s="44"/>
      <c r="H1070" s="34">
        <f t="shared" ref="H1070:AN1070" si="497">H1065+H1066-H1067+H1068-H1069</f>
        <v>0</v>
      </c>
      <c r="I1070" s="34">
        <f t="shared" si="497"/>
        <v>0</v>
      </c>
      <c r="J1070" s="34">
        <f t="shared" si="497"/>
        <v>0</v>
      </c>
      <c r="K1070" s="34">
        <f t="shared" si="497"/>
        <v>0</v>
      </c>
      <c r="L1070" s="34">
        <f t="shared" si="497"/>
        <v>0</v>
      </c>
      <c r="M1070" s="34">
        <f t="shared" si="497"/>
        <v>0</v>
      </c>
      <c r="N1070" s="34">
        <f t="shared" si="497"/>
        <v>0</v>
      </c>
      <c r="O1070" s="34">
        <f t="shared" si="497"/>
        <v>0</v>
      </c>
      <c r="P1070" s="34">
        <f t="shared" si="497"/>
        <v>0</v>
      </c>
      <c r="Q1070" s="34">
        <f t="shared" si="497"/>
        <v>0</v>
      </c>
      <c r="R1070" s="34">
        <f t="shared" si="497"/>
        <v>0</v>
      </c>
      <c r="S1070" s="34">
        <f t="shared" si="497"/>
        <v>0</v>
      </c>
      <c r="T1070" s="34">
        <f t="shared" si="497"/>
        <v>0</v>
      </c>
      <c r="U1070" s="34">
        <f t="shared" si="497"/>
        <v>0</v>
      </c>
      <c r="V1070" s="34">
        <f t="shared" si="497"/>
        <v>0</v>
      </c>
      <c r="W1070" s="34">
        <f t="shared" si="497"/>
        <v>0</v>
      </c>
      <c r="X1070" s="34">
        <f t="shared" si="497"/>
        <v>0</v>
      </c>
      <c r="Y1070" s="34">
        <f t="shared" si="497"/>
        <v>0</v>
      </c>
      <c r="Z1070" s="34">
        <f t="shared" si="497"/>
        <v>0</v>
      </c>
      <c r="AA1070" s="34">
        <f t="shared" si="497"/>
        <v>0</v>
      </c>
      <c r="AB1070" s="34">
        <f t="shared" si="497"/>
        <v>0</v>
      </c>
      <c r="AC1070" s="34">
        <f t="shared" si="497"/>
        <v>0</v>
      </c>
      <c r="AD1070" s="34">
        <f t="shared" si="497"/>
        <v>0</v>
      </c>
      <c r="AE1070" s="34">
        <f t="shared" si="497"/>
        <v>0</v>
      </c>
      <c r="AF1070" s="34">
        <f t="shared" si="497"/>
        <v>0</v>
      </c>
      <c r="AG1070" s="34">
        <f t="shared" si="497"/>
        <v>0</v>
      </c>
      <c r="AH1070" s="34">
        <f t="shared" si="497"/>
        <v>0</v>
      </c>
      <c r="AI1070" s="34">
        <f t="shared" si="497"/>
        <v>0</v>
      </c>
      <c r="AJ1070" s="34">
        <f t="shared" si="497"/>
        <v>0</v>
      </c>
      <c r="AK1070" s="34">
        <f t="shared" si="497"/>
        <v>0</v>
      </c>
      <c r="AL1070" s="34">
        <f t="shared" si="497"/>
        <v>0</v>
      </c>
      <c r="AM1070" s="34">
        <f t="shared" si="497"/>
        <v>0</v>
      </c>
      <c r="AN1070" s="34">
        <f t="shared" si="497"/>
        <v>0</v>
      </c>
      <c r="AO1070" s="34"/>
      <c r="AP1070" s="45">
        <f>AO1065</f>
        <v>0</v>
      </c>
      <c r="AQ1070" s="1"/>
    </row>
    <row r="1071" ht="15.0" customHeight="1">
      <c r="A1071" s="1"/>
      <c r="B1071" s="32"/>
      <c r="C1071" s="12" t="s">
        <v>362</v>
      </c>
      <c r="D1071" s="32" t="s">
        <v>363</v>
      </c>
      <c r="E1071" s="97"/>
      <c r="F1071" s="14" t="s">
        <v>23</v>
      </c>
      <c r="G1071" s="44"/>
      <c r="H1071" s="34">
        <v>0.0</v>
      </c>
      <c r="I1071" s="34">
        <f t="shared" ref="I1071:AO1071" si="498">H1076</f>
        <v>0</v>
      </c>
      <c r="J1071" s="34">
        <f t="shared" si="498"/>
        <v>0</v>
      </c>
      <c r="K1071" s="34">
        <f t="shared" si="498"/>
        <v>0</v>
      </c>
      <c r="L1071" s="34">
        <f t="shared" si="498"/>
        <v>0</v>
      </c>
      <c r="M1071" s="34">
        <f t="shared" si="498"/>
        <v>0</v>
      </c>
      <c r="N1071" s="34">
        <f t="shared" si="498"/>
        <v>0</v>
      </c>
      <c r="O1071" s="34">
        <f t="shared" si="498"/>
        <v>0</v>
      </c>
      <c r="P1071" s="34">
        <f t="shared" si="498"/>
        <v>0</v>
      </c>
      <c r="Q1071" s="34">
        <f t="shared" si="498"/>
        <v>0</v>
      </c>
      <c r="R1071" s="34">
        <f t="shared" si="498"/>
        <v>0</v>
      </c>
      <c r="S1071" s="34">
        <f t="shared" si="498"/>
        <v>0</v>
      </c>
      <c r="T1071" s="34">
        <f t="shared" si="498"/>
        <v>0</v>
      </c>
      <c r="U1071" s="34">
        <f t="shared" si="498"/>
        <v>0</v>
      </c>
      <c r="V1071" s="34">
        <f t="shared" si="498"/>
        <v>0</v>
      </c>
      <c r="W1071" s="34">
        <f t="shared" si="498"/>
        <v>0</v>
      </c>
      <c r="X1071" s="34">
        <f t="shared" si="498"/>
        <v>0</v>
      </c>
      <c r="Y1071" s="34">
        <f t="shared" si="498"/>
        <v>0</v>
      </c>
      <c r="Z1071" s="34">
        <f t="shared" si="498"/>
        <v>0</v>
      </c>
      <c r="AA1071" s="34">
        <f t="shared" si="498"/>
        <v>0</v>
      </c>
      <c r="AB1071" s="34">
        <f t="shared" si="498"/>
        <v>0</v>
      </c>
      <c r="AC1071" s="34">
        <f t="shared" si="498"/>
        <v>0</v>
      </c>
      <c r="AD1071" s="34">
        <f t="shared" si="498"/>
        <v>0</v>
      </c>
      <c r="AE1071" s="34">
        <f t="shared" si="498"/>
        <v>0</v>
      </c>
      <c r="AF1071" s="34">
        <f t="shared" si="498"/>
        <v>0</v>
      </c>
      <c r="AG1071" s="34">
        <f t="shared" si="498"/>
        <v>0</v>
      </c>
      <c r="AH1071" s="34">
        <f t="shared" si="498"/>
        <v>0</v>
      </c>
      <c r="AI1071" s="34">
        <f t="shared" si="498"/>
        <v>0</v>
      </c>
      <c r="AJ1071" s="34">
        <f t="shared" si="498"/>
        <v>0</v>
      </c>
      <c r="AK1071" s="34">
        <f t="shared" si="498"/>
        <v>0</v>
      </c>
      <c r="AL1071" s="34">
        <f t="shared" si="498"/>
        <v>0</v>
      </c>
      <c r="AM1071" s="34">
        <f t="shared" si="498"/>
        <v>0</v>
      </c>
      <c r="AN1071" s="34">
        <f t="shared" si="498"/>
        <v>0</v>
      </c>
      <c r="AO1071" s="34">
        <f t="shared" si="498"/>
        <v>0</v>
      </c>
      <c r="AP1071" s="54"/>
      <c r="AQ1071" s="1"/>
    </row>
    <row r="1072" ht="15.0" customHeight="1">
      <c r="A1072" s="1"/>
      <c r="B1072" s="35"/>
      <c r="C1072" s="84"/>
      <c r="D1072" s="35"/>
      <c r="E1072" s="76" t="s">
        <v>24</v>
      </c>
      <c r="F1072" s="36" t="s">
        <v>25</v>
      </c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8"/>
      <c r="T1072" s="37"/>
      <c r="U1072" s="38"/>
      <c r="V1072" s="37"/>
      <c r="W1072" s="37"/>
      <c r="X1072" s="37"/>
      <c r="Y1072" s="37"/>
      <c r="Z1072" s="37"/>
      <c r="AA1072" s="37"/>
      <c r="AB1072" s="37"/>
      <c r="AC1072" s="37"/>
      <c r="AD1072" s="38"/>
      <c r="AE1072" s="37"/>
      <c r="AF1072" s="37"/>
      <c r="AG1072" s="37"/>
      <c r="AH1072" s="37"/>
      <c r="AI1072" s="37"/>
      <c r="AJ1072" s="37"/>
      <c r="AK1072" s="37"/>
      <c r="AL1072" s="37"/>
      <c r="AM1072" s="37"/>
      <c r="AN1072" s="37"/>
      <c r="AO1072" s="37"/>
      <c r="AP1072" s="39">
        <f>SUM(H1072:AO1072)</f>
        <v>0</v>
      </c>
      <c r="AQ1072" s="1"/>
    </row>
    <row r="1073" ht="15.0" customHeight="1">
      <c r="A1073" s="1"/>
      <c r="B1073" s="35"/>
      <c r="C1073" s="84"/>
      <c r="D1073" s="35"/>
      <c r="E1073" s="76"/>
      <c r="F1073" s="40" t="s">
        <v>26</v>
      </c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8"/>
      <c r="T1073" s="37"/>
      <c r="U1073" s="38"/>
      <c r="V1073" s="37"/>
      <c r="W1073" s="37"/>
      <c r="X1073" s="37"/>
      <c r="Y1073" s="37"/>
      <c r="Z1073" s="37"/>
      <c r="AA1073" s="37"/>
      <c r="AB1073" s="37"/>
      <c r="AC1073" s="37"/>
      <c r="AD1073" s="38"/>
      <c r="AE1073" s="37"/>
      <c r="AF1073" s="37"/>
      <c r="AG1073" s="37"/>
      <c r="AH1073" s="37"/>
      <c r="AI1073" s="37"/>
      <c r="AJ1073" s="37"/>
      <c r="AK1073" s="37"/>
      <c r="AL1073" s="37"/>
      <c r="AM1073" s="37"/>
      <c r="AN1073" s="37"/>
      <c r="AO1073" s="37"/>
      <c r="AP1073" s="39">
        <f t="shared" ref="AP1073:AP1075" si="499">SUM(H1073:AK1073)</f>
        <v>0</v>
      </c>
      <c r="AQ1073" s="1"/>
    </row>
    <row r="1074" ht="15.0" customHeight="1">
      <c r="A1074" s="1"/>
      <c r="B1074" s="35"/>
      <c r="C1074" s="84"/>
      <c r="D1074" s="35"/>
      <c r="E1074" s="76" t="s">
        <v>27</v>
      </c>
      <c r="F1074" s="41" t="s">
        <v>28</v>
      </c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8"/>
      <c r="T1074" s="37"/>
      <c r="U1074" s="38"/>
      <c r="V1074" s="37"/>
      <c r="W1074" s="37"/>
      <c r="X1074" s="37"/>
      <c r="Y1074" s="37"/>
      <c r="Z1074" s="37"/>
      <c r="AA1074" s="37"/>
      <c r="AB1074" s="37"/>
      <c r="AC1074" s="37"/>
      <c r="AD1074" s="38"/>
      <c r="AE1074" s="37"/>
      <c r="AF1074" s="37"/>
      <c r="AG1074" s="37"/>
      <c r="AH1074" s="37"/>
      <c r="AI1074" s="37"/>
      <c r="AJ1074" s="37"/>
      <c r="AK1074" s="37"/>
      <c r="AL1074" s="37"/>
      <c r="AM1074" s="37"/>
      <c r="AN1074" s="37"/>
      <c r="AO1074" s="37"/>
      <c r="AP1074" s="39">
        <f t="shared" si="499"/>
        <v>0</v>
      </c>
      <c r="AQ1074" s="1"/>
    </row>
    <row r="1075" ht="15.0" customHeight="1">
      <c r="A1075" s="1"/>
      <c r="B1075" s="35"/>
      <c r="C1075" s="84"/>
      <c r="D1075" s="35"/>
      <c r="E1075" s="76"/>
      <c r="F1075" s="41" t="s">
        <v>29</v>
      </c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8"/>
      <c r="T1075" s="37"/>
      <c r="U1075" s="38"/>
      <c r="V1075" s="37"/>
      <c r="W1075" s="37"/>
      <c r="X1075" s="37"/>
      <c r="Y1075" s="37"/>
      <c r="Z1075" s="37"/>
      <c r="AA1075" s="37"/>
      <c r="AB1075" s="37"/>
      <c r="AC1075" s="37"/>
      <c r="AD1075" s="38"/>
      <c r="AE1075" s="37"/>
      <c r="AF1075" s="37"/>
      <c r="AG1075" s="37"/>
      <c r="AH1075" s="37"/>
      <c r="AI1075" s="37"/>
      <c r="AJ1075" s="37"/>
      <c r="AK1075" s="37"/>
      <c r="AL1075" s="37"/>
      <c r="AM1075" s="37"/>
      <c r="AN1075" s="37"/>
      <c r="AO1075" s="37"/>
      <c r="AP1075" s="39">
        <f t="shared" si="499"/>
        <v>0</v>
      </c>
      <c r="AQ1075" s="1"/>
    </row>
    <row r="1076" ht="15.0" customHeight="1">
      <c r="A1076" s="1"/>
      <c r="B1076" s="42"/>
      <c r="C1076" s="18"/>
      <c r="D1076" s="42"/>
      <c r="E1076" s="98"/>
      <c r="F1076" s="43" t="s">
        <v>30</v>
      </c>
      <c r="G1076" s="44"/>
      <c r="H1076" s="34">
        <f t="shared" ref="H1076:AN1076" si="500">H1071+H1072-H1073+H1074-H1075</f>
        <v>0</v>
      </c>
      <c r="I1076" s="34">
        <f t="shared" si="500"/>
        <v>0</v>
      </c>
      <c r="J1076" s="34">
        <f t="shared" si="500"/>
        <v>0</v>
      </c>
      <c r="K1076" s="34">
        <f t="shared" si="500"/>
        <v>0</v>
      </c>
      <c r="L1076" s="34">
        <f t="shared" si="500"/>
        <v>0</v>
      </c>
      <c r="M1076" s="34">
        <f t="shared" si="500"/>
        <v>0</v>
      </c>
      <c r="N1076" s="34">
        <f t="shared" si="500"/>
        <v>0</v>
      </c>
      <c r="O1076" s="34">
        <f t="shared" si="500"/>
        <v>0</v>
      </c>
      <c r="P1076" s="34">
        <f t="shared" si="500"/>
        <v>0</v>
      </c>
      <c r="Q1076" s="34">
        <f t="shared" si="500"/>
        <v>0</v>
      </c>
      <c r="R1076" s="34">
        <f t="shared" si="500"/>
        <v>0</v>
      </c>
      <c r="S1076" s="34">
        <f t="shared" si="500"/>
        <v>0</v>
      </c>
      <c r="T1076" s="34">
        <f t="shared" si="500"/>
        <v>0</v>
      </c>
      <c r="U1076" s="34">
        <f t="shared" si="500"/>
        <v>0</v>
      </c>
      <c r="V1076" s="34">
        <f t="shared" si="500"/>
        <v>0</v>
      </c>
      <c r="W1076" s="34">
        <f t="shared" si="500"/>
        <v>0</v>
      </c>
      <c r="X1076" s="34">
        <f t="shared" si="500"/>
        <v>0</v>
      </c>
      <c r="Y1076" s="34">
        <f t="shared" si="500"/>
        <v>0</v>
      </c>
      <c r="Z1076" s="34">
        <f t="shared" si="500"/>
        <v>0</v>
      </c>
      <c r="AA1076" s="34">
        <f t="shared" si="500"/>
        <v>0</v>
      </c>
      <c r="AB1076" s="34">
        <f t="shared" si="500"/>
        <v>0</v>
      </c>
      <c r="AC1076" s="34">
        <f t="shared" si="500"/>
        <v>0</v>
      </c>
      <c r="AD1076" s="34">
        <f t="shared" si="500"/>
        <v>0</v>
      </c>
      <c r="AE1076" s="34">
        <f t="shared" si="500"/>
        <v>0</v>
      </c>
      <c r="AF1076" s="34">
        <f t="shared" si="500"/>
        <v>0</v>
      </c>
      <c r="AG1076" s="34">
        <f t="shared" si="500"/>
        <v>0</v>
      </c>
      <c r="AH1076" s="34">
        <f t="shared" si="500"/>
        <v>0</v>
      </c>
      <c r="AI1076" s="34">
        <f t="shared" si="500"/>
        <v>0</v>
      </c>
      <c r="AJ1076" s="34">
        <f t="shared" si="500"/>
        <v>0</v>
      </c>
      <c r="AK1076" s="34">
        <f t="shared" si="500"/>
        <v>0</v>
      </c>
      <c r="AL1076" s="34">
        <f t="shared" si="500"/>
        <v>0</v>
      </c>
      <c r="AM1076" s="34">
        <f t="shared" si="500"/>
        <v>0</v>
      </c>
      <c r="AN1076" s="34">
        <f t="shared" si="500"/>
        <v>0</v>
      </c>
      <c r="AO1076" s="34"/>
      <c r="AP1076" s="45">
        <f>AO1071</f>
        <v>0</v>
      </c>
      <c r="AQ1076" s="1"/>
    </row>
    <row r="1077" ht="15.0" customHeight="1">
      <c r="A1077" s="1"/>
      <c r="B1077" s="32"/>
      <c r="C1077" s="12" t="s">
        <v>364</v>
      </c>
      <c r="D1077" s="32" t="s">
        <v>365</v>
      </c>
      <c r="E1077" s="97"/>
      <c r="F1077" s="14" t="s">
        <v>23</v>
      </c>
      <c r="G1077" s="44"/>
      <c r="H1077" s="34">
        <v>10.0</v>
      </c>
      <c r="I1077" s="34">
        <f t="shared" ref="I1077:AO1077" si="501">H1082</f>
        <v>10</v>
      </c>
      <c r="J1077" s="34">
        <f t="shared" si="501"/>
        <v>10</v>
      </c>
      <c r="K1077" s="34">
        <f t="shared" si="501"/>
        <v>10</v>
      </c>
      <c r="L1077" s="34">
        <f t="shared" si="501"/>
        <v>10</v>
      </c>
      <c r="M1077" s="34">
        <f t="shared" si="501"/>
        <v>10</v>
      </c>
      <c r="N1077" s="34">
        <f t="shared" si="501"/>
        <v>10</v>
      </c>
      <c r="O1077" s="34">
        <f t="shared" si="501"/>
        <v>10</v>
      </c>
      <c r="P1077" s="34">
        <f t="shared" si="501"/>
        <v>10</v>
      </c>
      <c r="Q1077" s="34">
        <f t="shared" si="501"/>
        <v>20</v>
      </c>
      <c r="R1077" s="34">
        <f t="shared" si="501"/>
        <v>20</v>
      </c>
      <c r="S1077" s="34">
        <f t="shared" si="501"/>
        <v>20</v>
      </c>
      <c r="T1077" s="34">
        <f t="shared" si="501"/>
        <v>20</v>
      </c>
      <c r="U1077" s="34">
        <f t="shared" si="501"/>
        <v>20</v>
      </c>
      <c r="V1077" s="34">
        <f t="shared" si="501"/>
        <v>20</v>
      </c>
      <c r="W1077" s="34">
        <f t="shared" si="501"/>
        <v>20</v>
      </c>
      <c r="X1077" s="34">
        <f t="shared" si="501"/>
        <v>20</v>
      </c>
      <c r="Y1077" s="34">
        <f t="shared" si="501"/>
        <v>20</v>
      </c>
      <c r="Z1077" s="34">
        <f t="shared" si="501"/>
        <v>20</v>
      </c>
      <c r="AA1077" s="34">
        <f t="shared" si="501"/>
        <v>20</v>
      </c>
      <c r="AB1077" s="34">
        <f t="shared" si="501"/>
        <v>20</v>
      </c>
      <c r="AC1077" s="34">
        <f t="shared" si="501"/>
        <v>20</v>
      </c>
      <c r="AD1077" s="34">
        <f t="shared" si="501"/>
        <v>20</v>
      </c>
      <c r="AE1077" s="34">
        <f t="shared" si="501"/>
        <v>20</v>
      </c>
      <c r="AF1077" s="34">
        <f t="shared" si="501"/>
        <v>20</v>
      </c>
      <c r="AG1077" s="34">
        <f t="shared" si="501"/>
        <v>20</v>
      </c>
      <c r="AH1077" s="34">
        <f t="shared" si="501"/>
        <v>20</v>
      </c>
      <c r="AI1077" s="34">
        <f t="shared" si="501"/>
        <v>20</v>
      </c>
      <c r="AJ1077" s="34">
        <f t="shared" si="501"/>
        <v>20</v>
      </c>
      <c r="AK1077" s="34">
        <f t="shared" si="501"/>
        <v>20</v>
      </c>
      <c r="AL1077" s="34">
        <f t="shared" si="501"/>
        <v>20</v>
      </c>
      <c r="AM1077" s="34">
        <f t="shared" si="501"/>
        <v>20</v>
      </c>
      <c r="AN1077" s="34">
        <f t="shared" si="501"/>
        <v>20</v>
      </c>
      <c r="AO1077" s="34">
        <f t="shared" si="501"/>
        <v>20</v>
      </c>
      <c r="AP1077" s="54"/>
      <c r="AQ1077" s="1"/>
    </row>
    <row r="1078" ht="15.0" customHeight="1">
      <c r="A1078" s="1"/>
      <c r="B1078" s="35"/>
      <c r="C1078" s="84"/>
      <c r="D1078" s="35"/>
      <c r="E1078" s="76" t="s">
        <v>24</v>
      </c>
      <c r="F1078" s="36" t="s">
        <v>25</v>
      </c>
      <c r="G1078" s="37"/>
      <c r="H1078" s="37"/>
      <c r="I1078" s="37"/>
      <c r="J1078" s="37"/>
      <c r="K1078" s="37"/>
      <c r="L1078" s="37"/>
      <c r="M1078" s="37"/>
      <c r="N1078" s="37"/>
      <c r="O1078" s="37"/>
      <c r="P1078" s="37">
        <v>10.0</v>
      </c>
      <c r="Q1078" s="37"/>
      <c r="R1078" s="37"/>
      <c r="S1078" s="38"/>
      <c r="T1078" s="37"/>
      <c r="U1078" s="38"/>
      <c r="V1078" s="37"/>
      <c r="W1078" s="37"/>
      <c r="X1078" s="37"/>
      <c r="Y1078" s="37"/>
      <c r="Z1078" s="37"/>
      <c r="AA1078" s="37"/>
      <c r="AB1078" s="37"/>
      <c r="AC1078" s="37"/>
      <c r="AD1078" s="38"/>
      <c r="AE1078" s="37"/>
      <c r="AF1078" s="37"/>
      <c r="AG1078" s="37"/>
      <c r="AH1078" s="37"/>
      <c r="AI1078" s="37"/>
      <c r="AJ1078" s="37"/>
      <c r="AK1078" s="37"/>
      <c r="AL1078" s="37"/>
      <c r="AM1078" s="37"/>
      <c r="AN1078" s="37"/>
      <c r="AO1078" s="37"/>
      <c r="AP1078" s="39">
        <f>SUM(H1078:AO1078)</f>
        <v>10</v>
      </c>
      <c r="AQ1078" s="1"/>
    </row>
    <row r="1079" ht="15.0" customHeight="1">
      <c r="A1079" s="51"/>
      <c r="B1079" s="35"/>
      <c r="C1079" s="84"/>
      <c r="D1079" s="35"/>
      <c r="E1079" s="47"/>
      <c r="F1079" s="40" t="s">
        <v>26</v>
      </c>
      <c r="G1079" s="49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8"/>
      <c r="T1079" s="49"/>
      <c r="U1079" s="48"/>
      <c r="V1079" s="49"/>
      <c r="W1079" s="49"/>
      <c r="X1079" s="49"/>
      <c r="Y1079" s="49"/>
      <c r="Z1079" s="49"/>
      <c r="AA1079" s="49"/>
      <c r="AB1079" s="49"/>
      <c r="AC1079" s="49"/>
      <c r="AD1079" s="48"/>
      <c r="AE1079" s="49"/>
      <c r="AF1079" s="49"/>
      <c r="AG1079" s="49"/>
      <c r="AH1079" s="49"/>
      <c r="AI1079" s="49"/>
      <c r="AJ1079" s="49"/>
      <c r="AK1079" s="49"/>
      <c r="AL1079" s="49"/>
      <c r="AM1079" s="49"/>
      <c r="AN1079" s="49"/>
      <c r="AO1079" s="49"/>
      <c r="AP1079" s="50">
        <f t="shared" ref="AP1079:AP1081" si="502">SUM(H1079:AK1079)</f>
        <v>0</v>
      </c>
      <c r="AQ1079" s="51"/>
    </row>
    <row r="1080" ht="15.0" customHeight="1">
      <c r="A1080" s="1"/>
      <c r="B1080" s="35"/>
      <c r="C1080" s="84"/>
      <c r="D1080" s="35"/>
      <c r="E1080" s="76" t="s">
        <v>27</v>
      </c>
      <c r="F1080" s="41" t="s">
        <v>28</v>
      </c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8"/>
      <c r="T1080" s="37"/>
      <c r="U1080" s="38"/>
      <c r="V1080" s="37"/>
      <c r="W1080" s="37"/>
      <c r="X1080" s="37"/>
      <c r="Y1080" s="37"/>
      <c r="Z1080" s="37"/>
      <c r="AA1080" s="37"/>
      <c r="AB1080" s="37"/>
      <c r="AC1080" s="37"/>
      <c r="AD1080" s="38"/>
      <c r="AE1080" s="37"/>
      <c r="AF1080" s="37"/>
      <c r="AG1080" s="37"/>
      <c r="AH1080" s="37"/>
      <c r="AI1080" s="37"/>
      <c r="AJ1080" s="37"/>
      <c r="AK1080" s="37"/>
      <c r="AL1080" s="37"/>
      <c r="AM1080" s="37"/>
      <c r="AN1080" s="37"/>
      <c r="AO1080" s="37"/>
      <c r="AP1080" s="39">
        <f t="shared" si="502"/>
        <v>0</v>
      </c>
      <c r="AQ1080" s="1"/>
    </row>
    <row r="1081" ht="15.0" customHeight="1">
      <c r="A1081" s="1"/>
      <c r="B1081" s="35"/>
      <c r="C1081" s="84"/>
      <c r="D1081" s="35"/>
      <c r="E1081" s="76"/>
      <c r="F1081" s="41" t="s">
        <v>29</v>
      </c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8"/>
      <c r="T1081" s="37"/>
      <c r="U1081" s="38"/>
      <c r="V1081" s="37"/>
      <c r="W1081" s="37"/>
      <c r="X1081" s="37"/>
      <c r="Y1081" s="37"/>
      <c r="Z1081" s="37"/>
      <c r="AA1081" s="37"/>
      <c r="AB1081" s="37"/>
      <c r="AC1081" s="37"/>
      <c r="AD1081" s="38"/>
      <c r="AE1081" s="37"/>
      <c r="AF1081" s="37"/>
      <c r="AG1081" s="37"/>
      <c r="AH1081" s="37"/>
      <c r="AI1081" s="37"/>
      <c r="AJ1081" s="37"/>
      <c r="AK1081" s="37"/>
      <c r="AL1081" s="37"/>
      <c r="AM1081" s="37"/>
      <c r="AN1081" s="37"/>
      <c r="AO1081" s="37"/>
      <c r="AP1081" s="39">
        <f t="shared" si="502"/>
        <v>0</v>
      </c>
      <c r="AQ1081" s="1"/>
    </row>
    <row r="1082" ht="15.0" customHeight="1">
      <c r="A1082" s="1"/>
      <c r="B1082" s="42"/>
      <c r="C1082" s="18"/>
      <c r="D1082" s="42"/>
      <c r="E1082" s="98"/>
      <c r="F1082" s="43" t="s">
        <v>30</v>
      </c>
      <c r="G1082" s="44"/>
      <c r="H1082" s="34">
        <f t="shared" ref="H1082:AN1082" si="503">H1077+H1078-H1079+H1080-H1081</f>
        <v>10</v>
      </c>
      <c r="I1082" s="34">
        <f t="shared" si="503"/>
        <v>10</v>
      </c>
      <c r="J1082" s="34">
        <f t="shared" si="503"/>
        <v>10</v>
      </c>
      <c r="K1082" s="34">
        <f t="shared" si="503"/>
        <v>10</v>
      </c>
      <c r="L1082" s="34">
        <f t="shared" si="503"/>
        <v>10</v>
      </c>
      <c r="M1082" s="34">
        <f t="shared" si="503"/>
        <v>10</v>
      </c>
      <c r="N1082" s="34">
        <f t="shared" si="503"/>
        <v>10</v>
      </c>
      <c r="O1082" s="34">
        <f t="shared" si="503"/>
        <v>10</v>
      </c>
      <c r="P1082" s="34">
        <f t="shared" si="503"/>
        <v>20</v>
      </c>
      <c r="Q1082" s="34">
        <f t="shared" si="503"/>
        <v>20</v>
      </c>
      <c r="R1082" s="34">
        <f t="shared" si="503"/>
        <v>20</v>
      </c>
      <c r="S1082" s="34">
        <f t="shared" si="503"/>
        <v>20</v>
      </c>
      <c r="T1082" s="34">
        <f t="shared" si="503"/>
        <v>20</v>
      </c>
      <c r="U1082" s="34">
        <f t="shared" si="503"/>
        <v>20</v>
      </c>
      <c r="V1082" s="34">
        <f t="shared" si="503"/>
        <v>20</v>
      </c>
      <c r="W1082" s="34">
        <f t="shared" si="503"/>
        <v>20</v>
      </c>
      <c r="X1082" s="34">
        <f t="shared" si="503"/>
        <v>20</v>
      </c>
      <c r="Y1082" s="34">
        <f t="shared" si="503"/>
        <v>20</v>
      </c>
      <c r="Z1082" s="34">
        <f t="shared" si="503"/>
        <v>20</v>
      </c>
      <c r="AA1082" s="34">
        <f t="shared" si="503"/>
        <v>20</v>
      </c>
      <c r="AB1082" s="34">
        <f t="shared" si="503"/>
        <v>20</v>
      </c>
      <c r="AC1082" s="34">
        <f t="shared" si="503"/>
        <v>20</v>
      </c>
      <c r="AD1082" s="34">
        <f t="shared" si="503"/>
        <v>20</v>
      </c>
      <c r="AE1082" s="34">
        <f t="shared" si="503"/>
        <v>20</v>
      </c>
      <c r="AF1082" s="34">
        <f t="shared" si="503"/>
        <v>20</v>
      </c>
      <c r="AG1082" s="34">
        <f t="shared" si="503"/>
        <v>20</v>
      </c>
      <c r="AH1082" s="34">
        <f t="shared" si="503"/>
        <v>20</v>
      </c>
      <c r="AI1082" s="34">
        <f t="shared" si="503"/>
        <v>20</v>
      </c>
      <c r="AJ1082" s="34">
        <f t="shared" si="503"/>
        <v>20</v>
      </c>
      <c r="AK1082" s="34">
        <f t="shared" si="503"/>
        <v>20</v>
      </c>
      <c r="AL1082" s="34">
        <f t="shared" si="503"/>
        <v>20</v>
      </c>
      <c r="AM1082" s="34">
        <f t="shared" si="503"/>
        <v>20</v>
      </c>
      <c r="AN1082" s="34">
        <f t="shared" si="503"/>
        <v>20</v>
      </c>
      <c r="AO1082" s="34"/>
      <c r="AP1082" s="45">
        <f>AO1077</f>
        <v>20</v>
      </c>
      <c r="AQ1082" s="1"/>
    </row>
    <row r="1083" ht="15.75" customHeight="1">
      <c r="A1083" s="1"/>
      <c r="B1083" s="56"/>
      <c r="C1083" s="32" t="s">
        <v>366</v>
      </c>
      <c r="D1083" s="57" t="s">
        <v>367</v>
      </c>
      <c r="E1083" s="13"/>
      <c r="F1083" s="41" t="s">
        <v>23</v>
      </c>
      <c r="G1083" s="44"/>
      <c r="H1083" s="34" t="str">
        <f t="shared" ref="H1083:AO1083" si="504">G1088</f>
        <v/>
      </c>
      <c r="I1083" s="34">
        <f t="shared" si="504"/>
        <v>0</v>
      </c>
      <c r="J1083" s="34">
        <f t="shared" si="504"/>
        <v>0</v>
      </c>
      <c r="K1083" s="34">
        <f t="shared" si="504"/>
        <v>0</v>
      </c>
      <c r="L1083" s="34">
        <f t="shared" si="504"/>
        <v>0</v>
      </c>
      <c r="M1083" s="34">
        <f t="shared" si="504"/>
        <v>0</v>
      </c>
      <c r="N1083" s="34">
        <f t="shared" si="504"/>
        <v>0</v>
      </c>
      <c r="O1083" s="34">
        <f t="shared" si="504"/>
        <v>0</v>
      </c>
      <c r="P1083" s="34">
        <f t="shared" si="504"/>
        <v>0</v>
      </c>
      <c r="Q1083" s="34">
        <f t="shared" si="504"/>
        <v>0</v>
      </c>
      <c r="R1083" s="34">
        <f t="shared" si="504"/>
        <v>0</v>
      </c>
      <c r="S1083" s="34">
        <f t="shared" si="504"/>
        <v>0</v>
      </c>
      <c r="T1083" s="34">
        <f t="shared" si="504"/>
        <v>0</v>
      </c>
      <c r="U1083" s="34">
        <f t="shared" si="504"/>
        <v>0</v>
      </c>
      <c r="V1083" s="34">
        <f t="shared" si="504"/>
        <v>0</v>
      </c>
      <c r="W1083" s="34">
        <f t="shared" si="504"/>
        <v>0</v>
      </c>
      <c r="X1083" s="34">
        <f t="shared" si="504"/>
        <v>0</v>
      </c>
      <c r="Y1083" s="34">
        <f t="shared" si="504"/>
        <v>0</v>
      </c>
      <c r="Z1083" s="34">
        <f t="shared" si="504"/>
        <v>0</v>
      </c>
      <c r="AA1083" s="34">
        <f t="shared" si="504"/>
        <v>0</v>
      </c>
      <c r="AB1083" s="34">
        <f t="shared" si="504"/>
        <v>0</v>
      </c>
      <c r="AC1083" s="34">
        <f t="shared" si="504"/>
        <v>0</v>
      </c>
      <c r="AD1083" s="34">
        <f t="shared" si="504"/>
        <v>0</v>
      </c>
      <c r="AE1083" s="34">
        <f t="shared" si="504"/>
        <v>0</v>
      </c>
      <c r="AF1083" s="34">
        <f t="shared" si="504"/>
        <v>0</v>
      </c>
      <c r="AG1083" s="34">
        <f t="shared" si="504"/>
        <v>0</v>
      </c>
      <c r="AH1083" s="34">
        <f t="shared" si="504"/>
        <v>0</v>
      </c>
      <c r="AI1083" s="34">
        <f t="shared" si="504"/>
        <v>0</v>
      </c>
      <c r="AJ1083" s="34">
        <f t="shared" si="504"/>
        <v>0</v>
      </c>
      <c r="AK1083" s="34">
        <f t="shared" si="504"/>
        <v>0</v>
      </c>
      <c r="AL1083" s="34">
        <f t="shared" si="504"/>
        <v>0</v>
      </c>
      <c r="AM1083" s="34">
        <f t="shared" si="504"/>
        <v>0</v>
      </c>
      <c r="AN1083" s="34">
        <f t="shared" si="504"/>
        <v>0</v>
      </c>
      <c r="AO1083" s="34">
        <f t="shared" si="504"/>
        <v>0</v>
      </c>
      <c r="AP1083" s="54"/>
      <c r="AQ1083" s="1"/>
    </row>
    <row r="1084" ht="15.0" customHeight="1">
      <c r="A1084" s="1"/>
      <c r="B1084" s="58"/>
      <c r="C1084" s="35"/>
      <c r="D1084" s="35"/>
      <c r="E1084" s="33" t="s">
        <v>24</v>
      </c>
      <c r="F1084" s="59" t="s">
        <v>25</v>
      </c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8"/>
      <c r="T1084" s="37"/>
      <c r="U1084" s="38"/>
      <c r="V1084" s="37"/>
      <c r="W1084" s="37"/>
      <c r="X1084" s="37"/>
      <c r="Y1084" s="37"/>
      <c r="Z1084" s="37"/>
      <c r="AA1084" s="37"/>
      <c r="AB1084" s="37"/>
      <c r="AC1084" s="37"/>
      <c r="AD1084" s="38"/>
      <c r="AE1084" s="37"/>
      <c r="AF1084" s="37"/>
      <c r="AG1084" s="37"/>
      <c r="AH1084" s="37"/>
      <c r="AI1084" s="37"/>
      <c r="AJ1084" s="37"/>
      <c r="AK1084" s="37"/>
      <c r="AL1084" s="37"/>
      <c r="AM1084" s="37"/>
      <c r="AN1084" s="37"/>
      <c r="AO1084" s="37"/>
      <c r="AP1084" s="39">
        <f t="shared" ref="AP1084:AP1087" si="505">SUM(H1084:AO1084)</f>
        <v>0</v>
      </c>
      <c r="AQ1084" s="1"/>
    </row>
    <row r="1085" ht="15.0" customHeight="1">
      <c r="A1085" s="1"/>
      <c r="B1085" s="58"/>
      <c r="C1085" s="35"/>
      <c r="D1085" s="35"/>
      <c r="E1085" s="33"/>
      <c r="F1085" s="60" t="s">
        <v>26</v>
      </c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8"/>
      <c r="T1085" s="37"/>
      <c r="U1085" s="38"/>
      <c r="V1085" s="37"/>
      <c r="W1085" s="37"/>
      <c r="X1085" s="37"/>
      <c r="Y1085" s="37"/>
      <c r="Z1085" s="37"/>
      <c r="AA1085" s="37"/>
      <c r="AB1085" s="37"/>
      <c r="AC1085" s="37"/>
      <c r="AD1085" s="38"/>
      <c r="AE1085" s="37"/>
      <c r="AF1085" s="37"/>
      <c r="AG1085" s="37"/>
      <c r="AH1085" s="37"/>
      <c r="AI1085" s="37"/>
      <c r="AJ1085" s="37"/>
      <c r="AK1085" s="37"/>
      <c r="AL1085" s="37"/>
      <c r="AM1085" s="37"/>
      <c r="AN1085" s="37"/>
      <c r="AO1085" s="37"/>
      <c r="AP1085" s="39">
        <f t="shared" si="505"/>
        <v>0</v>
      </c>
      <c r="AQ1085" s="1"/>
    </row>
    <row r="1086" ht="15.0" customHeight="1">
      <c r="A1086" s="1"/>
      <c r="B1086" s="58"/>
      <c r="C1086" s="35"/>
      <c r="D1086" s="35"/>
      <c r="E1086" s="33" t="s">
        <v>27</v>
      </c>
      <c r="F1086" s="41" t="s">
        <v>28</v>
      </c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8"/>
      <c r="T1086" s="37"/>
      <c r="U1086" s="38"/>
      <c r="V1086" s="37"/>
      <c r="W1086" s="37"/>
      <c r="X1086" s="37"/>
      <c r="Y1086" s="37"/>
      <c r="Z1086" s="37"/>
      <c r="AA1086" s="37"/>
      <c r="AB1086" s="37"/>
      <c r="AC1086" s="37"/>
      <c r="AD1086" s="38"/>
      <c r="AE1086" s="37"/>
      <c r="AF1086" s="37"/>
      <c r="AG1086" s="37"/>
      <c r="AH1086" s="37"/>
      <c r="AI1086" s="37"/>
      <c r="AJ1086" s="37"/>
      <c r="AK1086" s="37"/>
      <c r="AL1086" s="37"/>
      <c r="AM1086" s="37"/>
      <c r="AN1086" s="37"/>
      <c r="AO1086" s="37"/>
      <c r="AP1086" s="39">
        <f t="shared" si="505"/>
        <v>0</v>
      </c>
      <c r="AQ1086" s="1"/>
    </row>
    <row r="1087" ht="15.0" customHeight="1">
      <c r="A1087" s="1"/>
      <c r="B1087" s="58"/>
      <c r="C1087" s="35"/>
      <c r="D1087" s="35"/>
      <c r="E1087" s="33"/>
      <c r="F1087" s="41" t="s">
        <v>29</v>
      </c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8"/>
      <c r="T1087" s="37"/>
      <c r="U1087" s="38"/>
      <c r="V1087" s="37"/>
      <c r="W1087" s="37"/>
      <c r="X1087" s="37"/>
      <c r="Y1087" s="37"/>
      <c r="Z1087" s="37"/>
      <c r="AA1087" s="37"/>
      <c r="AB1087" s="37"/>
      <c r="AC1087" s="37"/>
      <c r="AD1087" s="38"/>
      <c r="AE1087" s="37"/>
      <c r="AF1087" s="37"/>
      <c r="AG1087" s="37"/>
      <c r="AH1087" s="37"/>
      <c r="AI1087" s="37"/>
      <c r="AJ1087" s="37"/>
      <c r="AK1087" s="37"/>
      <c r="AL1087" s="37"/>
      <c r="AM1087" s="37"/>
      <c r="AN1087" s="37"/>
      <c r="AO1087" s="37"/>
      <c r="AP1087" s="39">
        <f t="shared" si="505"/>
        <v>0</v>
      </c>
      <c r="AQ1087" s="1"/>
    </row>
    <row r="1088" ht="15.0" customHeight="1">
      <c r="A1088" s="1"/>
      <c r="B1088" s="61"/>
      <c r="C1088" s="42"/>
      <c r="D1088" s="42"/>
      <c r="E1088" s="52"/>
      <c r="F1088" s="62" t="s">
        <v>30</v>
      </c>
      <c r="G1088" s="44"/>
      <c r="H1088" s="34">
        <f t="shared" ref="H1088:AN1088" si="506">H1083+H1084-H1085+H1086-H1087</f>
        <v>0</v>
      </c>
      <c r="I1088" s="34">
        <f t="shared" si="506"/>
        <v>0</v>
      </c>
      <c r="J1088" s="34">
        <f t="shared" si="506"/>
        <v>0</v>
      </c>
      <c r="K1088" s="34">
        <f t="shared" si="506"/>
        <v>0</v>
      </c>
      <c r="L1088" s="34">
        <f t="shared" si="506"/>
        <v>0</v>
      </c>
      <c r="M1088" s="34">
        <f t="shared" si="506"/>
        <v>0</v>
      </c>
      <c r="N1088" s="34">
        <f t="shared" si="506"/>
        <v>0</v>
      </c>
      <c r="O1088" s="34">
        <f t="shared" si="506"/>
        <v>0</v>
      </c>
      <c r="P1088" s="34">
        <f t="shared" si="506"/>
        <v>0</v>
      </c>
      <c r="Q1088" s="34">
        <f t="shared" si="506"/>
        <v>0</v>
      </c>
      <c r="R1088" s="34">
        <f t="shared" si="506"/>
        <v>0</v>
      </c>
      <c r="S1088" s="34">
        <f t="shared" si="506"/>
        <v>0</v>
      </c>
      <c r="T1088" s="34">
        <f t="shared" si="506"/>
        <v>0</v>
      </c>
      <c r="U1088" s="34">
        <f t="shared" si="506"/>
        <v>0</v>
      </c>
      <c r="V1088" s="34">
        <f t="shared" si="506"/>
        <v>0</v>
      </c>
      <c r="W1088" s="34">
        <f t="shared" si="506"/>
        <v>0</v>
      </c>
      <c r="X1088" s="34">
        <f t="shared" si="506"/>
        <v>0</v>
      </c>
      <c r="Y1088" s="34">
        <f t="shared" si="506"/>
        <v>0</v>
      </c>
      <c r="Z1088" s="34">
        <f t="shared" si="506"/>
        <v>0</v>
      </c>
      <c r="AA1088" s="34">
        <f t="shared" si="506"/>
        <v>0</v>
      </c>
      <c r="AB1088" s="34">
        <f t="shared" si="506"/>
        <v>0</v>
      </c>
      <c r="AC1088" s="34">
        <f t="shared" si="506"/>
        <v>0</v>
      </c>
      <c r="AD1088" s="34">
        <f t="shared" si="506"/>
        <v>0</v>
      </c>
      <c r="AE1088" s="34">
        <f t="shared" si="506"/>
        <v>0</v>
      </c>
      <c r="AF1088" s="34">
        <f t="shared" si="506"/>
        <v>0</v>
      </c>
      <c r="AG1088" s="34">
        <f t="shared" si="506"/>
        <v>0</v>
      </c>
      <c r="AH1088" s="34">
        <f t="shared" si="506"/>
        <v>0</v>
      </c>
      <c r="AI1088" s="34">
        <f t="shared" si="506"/>
        <v>0</v>
      </c>
      <c r="AJ1088" s="34">
        <f t="shared" si="506"/>
        <v>0</v>
      </c>
      <c r="AK1088" s="34">
        <f t="shared" si="506"/>
        <v>0</v>
      </c>
      <c r="AL1088" s="34">
        <f t="shared" si="506"/>
        <v>0</v>
      </c>
      <c r="AM1088" s="34">
        <f t="shared" si="506"/>
        <v>0</v>
      </c>
      <c r="AN1088" s="34">
        <f t="shared" si="506"/>
        <v>0</v>
      </c>
      <c r="AO1088" s="34"/>
      <c r="AP1088" s="45">
        <f>AO1083</f>
        <v>0</v>
      </c>
      <c r="AQ1088" s="1"/>
    </row>
    <row r="1089" ht="15.75" customHeight="1">
      <c r="A1089" s="1"/>
      <c r="B1089" s="32"/>
      <c r="C1089" s="12" t="s">
        <v>368</v>
      </c>
      <c r="D1089" s="95" t="s">
        <v>369</v>
      </c>
      <c r="E1089" s="64"/>
      <c r="F1089" s="14" t="s">
        <v>23</v>
      </c>
      <c r="G1089" s="44"/>
      <c r="H1089" s="21">
        <v>0.0</v>
      </c>
      <c r="I1089" s="21">
        <f t="shared" ref="I1089:AO1089" si="507">H1097</f>
        <v>0</v>
      </c>
      <c r="J1089" s="21">
        <f t="shared" si="507"/>
        <v>0</v>
      </c>
      <c r="K1089" s="21">
        <f t="shared" si="507"/>
        <v>0</v>
      </c>
      <c r="L1089" s="21">
        <f t="shared" si="507"/>
        <v>0</v>
      </c>
      <c r="M1089" s="21">
        <f t="shared" si="507"/>
        <v>0</v>
      </c>
      <c r="N1089" s="21">
        <f t="shared" si="507"/>
        <v>26</v>
      </c>
      <c r="O1089" s="21">
        <f t="shared" si="507"/>
        <v>26</v>
      </c>
      <c r="P1089" s="21">
        <f t="shared" si="507"/>
        <v>26</v>
      </c>
      <c r="Q1089" s="21">
        <f t="shared" si="507"/>
        <v>26</v>
      </c>
      <c r="R1089" s="21">
        <f t="shared" si="507"/>
        <v>26</v>
      </c>
      <c r="S1089" s="21">
        <f t="shared" si="507"/>
        <v>26</v>
      </c>
      <c r="T1089" s="21">
        <f t="shared" si="507"/>
        <v>26</v>
      </c>
      <c r="U1089" s="21">
        <f t="shared" si="507"/>
        <v>26</v>
      </c>
      <c r="V1089" s="21">
        <f t="shared" si="507"/>
        <v>26</v>
      </c>
      <c r="W1089" s="21">
        <f t="shared" si="507"/>
        <v>51</v>
      </c>
      <c r="X1089" s="21">
        <f t="shared" si="507"/>
        <v>51</v>
      </c>
      <c r="Y1089" s="21">
        <f t="shared" si="507"/>
        <v>51</v>
      </c>
      <c r="Z1089" s="21">
        <f t="shared" si="507"/>
        <v>51</v>
      </c>
      <c r="AA1089" s="21">
        <f t="shared" si="507"/>
        <v>51</v>
      </c>
      <c r="AB1089" s="21">
        <f t="shared" si="507"/>
        <v>51</v>
      </c>
      <c r="AC1089" s="21">
        <f t="shared" si="507"/>
        <v>51</v>
      </c>
      <c r="AD1089" s="21">
        <f t="shared" si="507"/>
        <v>51</v>
      </c>
      <c r="AE1089" s="21">
        <f t="shared" si="507"/>
        <v>51</v>
      </c>
      <c r="AF1089" s="21">
        <f t="shared" si="507"/>
        <v>51</v>
      </c>
      <c r="AG1089" s="21">
        <f t="shared" si="507"/>
        <v>51</v>
      </c>
      <c r="AH1089" s="21">
        <f t="shared" si="507"/>
        <v>51</v>
      </c>
      <c r="AI1089" s="21">
        <f t="shared" si="507"/>
        <v>51</v>
      </c>
      <c r="AJ1089" s="21">
        <f t="shared" si="507"/>
        <v>51</v>
      </c>
      <c r="AK1089" s="21">
        <f t="shared" si="507"/>
        <v>51</v>
      </c>
      <c r="AL1089" s="21">
        <f t="shared" si="507"/>
        <v>51</v>
      </c>
      <c r="AM1089" s="21">
        <f t="shared" si="507"/>
        <v>51</v>
      </c>
      <c r="AN1089" s="21">
        <f t="shared" si="507"/>
        <v>51</v>
      </c>
      <c r="AO1089" s="21">
        <f t="shared" si="507"/>
        <v>51</v>
      </c>
      <c r="AP1089" s="54"/>
      <c r="AQ1089" s="1"/>
    </row>
    <row r="1090" ht="15.0" customHeight="1">
      <c r="A1090" s="1"/>
      <c r="B1090" s="35"/>
      <c r="C1090" s="84"/>
      <c r="D1090" s="35"/>
      <c r="E1090" s="65" t="s">
        <v>24</v>
      </c>
      <c r="F1090" s="36" t="s">
        <v>25</v>
      </c>
      <c r="G1090" s="37"/>
      <c r="H1090" s="37"/>
      <c r="I1090" s="37"/>
      <c r="J1090" s="37"/>
      <c r="K1090" s="37"/>
      <c r="L1090" s="99"/>
      <c r="M1090" s="37">
        <v>26.0</v>
      </c>
      <c r="N1090" s="37"/>
      <c r="O1090" s="37"/>
      <c r="P1090" s="37"/>
      <c r="Q1090" s="37"/>
      <c r="R1090" s="37"/>
      <c r="S1090" s="38"/>
      <c r="T1090" s="37"/>
      <c r="U1090" s="38"/>
      <c r="V1090" s="37">
        <v>25.0</v>
      </c>
      <c r="W1090" s="37"/>
      <c r="X1090" s="37"/>
      <c r="Y1090" s="37"/>
      <c r="Z1090" s="37"/>
      <c r="AA1090" s="37"/>
      <c r="AB1090" s="37"/>
      <c r="AC1090" s="37"/>
      <c r="AD1090" s="38"/>
      <c r="AE1090" s="37"/>
      <c r="AF1090" s="37"/>
      <c r="AG1090" s="37"/>
      <c r="AH1090" s="37"/>
      <c r="AI1090" s="37"/>
      <c r="AJ1090" s="37"/>
      <c r="AK1090" s="37"/>
      <c r="AL1090" s="37"/>
      <c r="AM1090" s="37"/>
      <c r="AN1090" s="37"/>
      <c r="AO1090" s="37"/>
      <c r="AP1090" s="39">
        <f t="shared" ref="AP1090:AP1096" si="508">SUM(H1090:AO1090)</f>
        <v>51</v>
      </c>
      <c r="AQ1090" s="1"/>
    </row>
    <row r="1091" ht="15.0" customHeight="1">
      <c r="A1091" s="1"/>
      <c r="B1091" s="35"/>
      <c r="C1091" s="84"/>
      <c r="D1091" s="35"/>
      <c r="E1091" s="65" t="s">
        <v>240</v>
      </c>
      <c r="F1091" s="36" t="s">
        <v>370</v>
      </c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8"/>
      <c r="T1091" s="37"/>
      <c r="U1091" s="38"/>
      <c r="V1091" s="37"/>
      <c r="W1091" s="37"/>
      <c r="X1091" s="37"/>
      <c r="Y1091" s="37"/>
      <c r="Z1091" s="37"/>
      <c r="AA1091" s="37"/>
      <c r="AB1091" s="37"/>
      <c r="AC1091" s="37"/>
      <c r="AD1091" s="38"/>
      <c r="AE1091" s="37"/>
      <c r="AF1091" s="37"/>
      <c r="AG1091" s="37"/>
      <c r="AH1091" s="37"/>
      <c r="AI1091" s="37"/>
      <c r="AJ1091" s="37"/>
      <c r="AK1091" s="37"/>
      <c r="AL1091" s="37"/>
      <c r="AM1091" s="37"/>
      <c r="AN1091" s="37"/>
      <c r="AO1091" s="37"/>
      <c r="AP1091" s="39">
        <f t="shared" si="508"/>
        <v>0</v>
      </c>
      <c r="AQ1091" s="1"/>
    </row>
    <row r="1092" ht="15.0" customHeight="1">
      <c r="A1092" s="1"/>
      <c r="B1092" s="35"/>
      <c r="C1092" s="84"/>
      <c r="D1092" s="35"/>
      <c r="E1092" s="65"/>
      <c r="F1092" s="36" t="s">
        <v>371</v>
      </c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8"/>
      <c r="T1092" s="37"/>
      <c r="U1092" s="38"/>
      <c r="V1092" s="37"/>
      <c r="W1092" s="37"/>
      <c r="X1092" s="37"/>
      <c r="Y1092" s="37"/>
      <c r="Z1092" s="37"/>
      <c r="AA1092" s="37"/>
      <c r="AB1092" s="37"/>
      <c r="AC1092" s="37"/>
      <c r="AD1092" s="38"/>
      <c r="AE1092" s="37"/>
      <c r="AF1092" s="37"/>
      <c r="AG1092" s="37"/>
      <c r="AH1092" s="37"/>
      <c r="AI1092" s="37"/>
      <c r="AJ1092" s="37"/>
      <c r="AK1092" s="37"/>
      <c r="AL1092" s="37"/>
      <c r="AM1092" s="37"/>
      <c r="AN1092" s="37"/>
      <c r="AO1092" s="37"/>
      <c r="AP1092" s="39">
        <f t="shared" si="508"/>
        <v>0</v>
      </c>
      <c r="AQ1092" s="1"/>
    </row>
    <row r="1093" ht="15.0" customHeight="1">
      <c r="A1093" s="1"/>
      <c r="B1093" s="35"/>
      <c r="C1093" s="84"/>
      <c r="D1093" s="35"/>
      <c r="E1093" s="65"/>
      <c r="F1093" s="36" t="s">
        <v>94</v>
      </c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8"/>
      <c r="T1093" s="37"/>
      <c r="U1093" s="38"/>
      <c r="V1093" s="37"/>
      <c r="W1093" s="37"/>
      <c r="X1093" s="37"/>
      <c r="Y1093" s="37"/>
      <c r="Z1093" s="37"/>
      <c r="AA1093" s="37"/>
      <c r="AB1093" s="37"/>
      <c r="AC1093" s="37"/>
      <c r="AD1093" s="38"/>
      <c r="AE1093" s="37"/>
      <c r="AF1093" s="37"/>
      <c r="AG1093" s="37"/>
      <c r="AH1093" s="37"/>
      <c r="AI1093" s="37"/>
      <c r="AJ1093" s="37"/>
      <c r="AK1093" s="37"/>
      <c r="AL1093" s="37"/>
      <c r="AM1093" s="37"/>
      <c r="AN1093" s="37"/>
      <c r="AO1093" s="37"/>
      <c r="AP1093" s="39">
        <f t="shared" si="508"/>
        <v>0</v>
      </c>
      <c r="AQ1093" s="1"/>
    </row>
    <row r="1094" ht="15.0" customHeight="1">
      <c r="A1094" s="1"/>
      <c r="B1094" s="35"/>
      <c r="C1094" s="84"/>
      <c r="D1094" s="35"/>
      <c r="E1094" s="65"/>
      <c r="F1094" s="40" t="s">
        <v>26</v>
      </c>
      <c r="G1094" s="37"/>
      <c r="H1094" s="38"/>
      <c r="I1094" s="37"/>
      <c r="J1094" s="37"/>
      <c r="K1094" s="38"/>
      <c r="L1094" s="38"/>
      <c r="M1094" s="38"/>
      <c r="N1094" s="38"/>
      <c r="O1094" s="38"/>
      <c r="P1094" s="38"/>
      <c r="Q1094" s="38"/>
      <c r="R1094" s="38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38"/>
      <c r="AJ1094" s="38"/>
      <c r="AK1094" s="38"/>
      <c r="AL1094" s="38"/>
      <c r="AM1094" s="38"/>
      <c r="AN1094" s="38"/>
      <c r="AO1094" s="38"/>
      <c r="AP1094" s="39">
        <f t="shared" si="508"/>
        <v>0</v>
      </c>
      <c r="AQ1094" s="1"/>
    </row>
    <row r="1095" ht="15.0" customHeight="1">
      <c r="A1095" s="1"/>
      <c r="B1095" s="35"/>
      <c r="C1095" s="84"/>
      <c r="D1095" s="35"/>
      <c r="E1095" s="65" t="s">
        <v>27</v>
      </c>
      <c r="F1095" s="41" t="s">
        <v>28</v>
      </c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8"/>
      <c r="T1095" s="37"/>
      <c r="U1095" s="38"/>
      <c r="V1095" s="37"/>
      <c r="W1095" s="37"/>
      <c r="X1095" s="37"/>
      <c r="Y1095" s="37"/>
      <c r="Z1095" s="37"/>
      <c r="AA1095" s="37"/>
      <c r="AB1095" s="37"/>
      <c r="AC1095" s="37"/>
      <c r="AD1095" s="38"/>
      <c r="AE1095" s="37"/>
      <c r="AF1095" s="37"/>
      <c r="AG1095" s="37"/>
      <c r="AH1095" s="37"/>
      <c r="AI1095" s="37"/>
      <c r="AJ1095" s="37"/>
      <c r="AK1095" s="37"/>
      <c r="AL1095" s="37"/>
      <c r="AM1095" s="37"/>
      <c r="AN1095" s="37"/>
      <c r="AO1095" s="37"/>
      <c r="AP1095" s="39">
        <f t="shared" si="508"/>
        <v>0</v>
      </c>
      <c r="AQ1095" s="1"/>
    </row>
    <row r="1096" ht="15.0" customHeight="1">
      <c r="A1096" s="1"/>
      <c r="B1096" s="35"/>
      <c r="C1096" s="84"/>
      <c r="D1096" s="35"/>
      <c r="E1096" s="65"/>
      <c r="F1096" s="41" t="s">
        <v>29</v>
      </c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8"/>
      <c r="T1096" s="37"/>
      <c r="U1096" s="38"/>
      <c r="V1096" s="37"/>
      <c r="W1096" s="37"/>
      <c r="X1096" s="37"/>
      <c r="Y1096" s="37"/>
      <c r="Z1096" s="37"/>
      <c r="AA1096" s="37"/>
      <c r="AB1096" s="37"/>
      <c r="AC1096" s="37"/>
      <c r="AD1096" s="38"/>
      <c r="AE1096" s="37"/>
      <c r="AF1096" s="37"/>
      <c r="AG1096" s="37"/>
      <c r="AH1096" s="37"/>
      <c r="AI1096" s="37"/>
      <c r="AJ1096" s="37"/>
      <c r="AK1096" s="37"/>
      <c r="AL1096" s="37"/>
      <c r="AM1096" s="37"/>
      <c r="AN1096" s="37"/>
      <c r="AO1096" s="37"/>
      <c r="AP1096" s="39">
        <f t="shared" si="508"/>
        <v>0</v>
      </c>
      <c r="AQ1096" s="1"/>
    </row>
    <row r="1097" ht="15.0" customHeight="1">
      <c r="A1097" s="1"/>
      <c r="B1097" s="42"/>
      <c r="C1097" s="18"/>
      <c r="D1097" s="42"/>
      <c r="E1097" s="67"/>
      <c r="F1097" s="43" t="s">
        <v>30</v>
      </c>
      <c r="G1097" s="44"/>
      <c r="H1097" s="34">
        <f t="shared" ref="H1097:AN1097" si="509">H1089+H1090+H1091+H1092+H1093-H1094+H1095-H1096</f>
        <v>0</v>
      </c>
      <c r="I1097" s="34">
        <f t="shared" si="509"/>
        <v>0</v>
      </c>
      <c r="J1097" s="34">
        <f t="shared" si="509"/>
        <v>0</v>
      </c>
      <c r="K1097" s="34">
        <f t="shared" si="509"/>
        <v>0</v>
      </c>
      <c r="L1097" s="34">
        <f t="shared" si="509"/>
        <v>0</v>
      </c>
      <c r="M1097" s="34">
        <f t="shared" si="509"/>
        <v>26</v>
      </c>
      <c r="N1097" s="34">
        <f t="shared" si="509"/>
        <v>26</v>
      </c>
      <c r="O1097" s="34">
        <f t="shared" si="509"/>
        <v>26</v>
      </c>
      <c r="P1097" s="34">
        <f t="shared" si="509"/>
        <v>26</v>
      </c>
      <c r="Q1097" s="34">
        <f t="shared" si="509"/>
        <v>26</v>
      </c>
      <c r="R1097" s="34">
        <f t="shared" si="509"/>
        <v>26</v>
      </c>
      <c r="S1097" s="34">
        <f t="shared" si="509"/>
        <v>26</v>
      </c>
      <c r="T1097" s="34">
        <f t="shared" si="509"/>
        <v>26</v>
      </c>
      <c r="U1097" s="34">
        <f t="shared" si="509"/>
        <v>26</v>
      </c>
      <c r="V1097" s="34">
        <f t="shared" si="509"/>
        <v>51</v>
      </c>
      <c r="W1097" s="34">
        <f t="shared" si="509"/>
        <v>51</v>
      </c>
      <c r="X1097" s="34">
        <f t="shared" si="509"/>
        <v>51</v>
      </c>
      <c r="Y1097" s="34">
        <f t="shared" si="509"/>
        <v>51</v>
      </c>
      <c r="Z1097" s="34">
        <f t="shared" si="509"/>
        <v>51</v>
      </c>
      <c r="AA1097" s="34">
        <f t="shared" si="509"/>
        <v>51</v>
      </c>
      <c r="AB1097" s="34">
        <f t="shared" si="509"/>
        <v>51</v>
      </c>
      <c r="AC1097" s="34">
        <f t="shared" si="509"/>
        <v>51</v>
      </c>
      <c r="AD1097" s="34">
        <f t="shared" si="509"/>
        <v>51</v>
      </c>
      <c r="AE1097" s="34">
        <f t="shared" si="509"/>
        <v>51</v>
      </c>
      <c r="AF1097" s="34">
        <f t="shared" si="509"/>
        <v>51</v>
      </c>
      <c r="AG1097" s="34">
        <f t="shared" si="509"/>
        <v>51</v>
      </c>
      <c r="AH1097" s="34">
        <f t="shared" si="509"/>
        <v>51</v>
      </c>
      <c r="AI1097" s="34">
        <f t="shared" si="509"/>
        <v>51</v>
      </c>
      <c r="AJ1097" s="34">
        <f t="shared" si="509"/>
        <v>51</v>
      </c>
      <c r="AK1097" s="34">
        <f t="shared" si="509"/>
        <v>51</v>
      </c>
      <c r="AL1097" s="34">
        <f t="shared" si="509"/>
        <v>51</v>
      </c>
      <c r="AM1097" s="34">
        <f t="shared" si="509"/>
        <v>51</v>
      </c>
      <c r="AN1097" s="34">
        <f t="shared" si="509"/>
        <v>51</v>
      </c>
      <c r="AO1097" s="34"/>
      <c r="AP1097" s="75">
        <f>AO1089</f>
        <v>51</v>
      </c>
      <c r="AQ1097" s="1"/>
    </row>
    <row r="1098" ht="15.75" customHeight="1">
      <c r="A1098" s="1"/>
      <c r="B1098" s="32"/>
      <c r="C1098" s="12" t="s">
        <v>372</v>
      </c>
      <c r="D1098" s="95" t="s">
        <v>373</v>
      </c>
      <c r="E1098" s="64"/>
      <c r="F1098" s="14" t="s">
        <v>23</v>
      </c>
      <c r="G1098" s="44"/>
      <c r="H1098" s="34">
        <v>0.0</v>
      </c>
      <c r="I1098" s="34">
        <f t="shared" ref="I1098:AO1098" si="510">H1103</f>
        <v>0</v>
      </c>
      <c r="J1098" s="34">
        <f t="shared" si="510"/>
        <v>0</v>
      </c>
      <c r="K1098" s="34">
        <f t="shared" si="510"/>
        <v>0</v>
      </c>
      <c r="L1098" s="34">
        <f t="shared" si="510"/>
        <v>0</v>
      </c>
      <c r="M1098" s="34">
        <f t="shared" si="510"/>
        <v>0</v>
      </c>
      <c r="N1098" s="34">
        <f t="shared" si="510"/>
        <v>0</v>
      </c>
      <c r="O1098" s="34">
        <f t="shared" si="510"/>
        <v>0</v>
      </c>
      <c r="P1098" s="34">
        <f t="shared" si="510"/>
        <v>0</v>
      </c>
      <c r="Q1098" s="34">
        <f t="shared" si="510"/>
        <v>0</v>
      </c>
      <c r="R1098" s="34">
        <f t="shared" si="510"/>
        <v>0</v>
      </c>
      <c r="S1098" s="34">
        <f t="shared" si="510"/>
        <v>0</v>
      </c>
      <c r="T1098" s="34">
        <f t="shared" si="510"/>
        <v>0</v>
      </c>
      <c r="U1098" s="34">
        <f t="shared" si="510"/>
        <v>0</v>
      </c>
      <c r="V1098" s="34">
        <f t="shared" si="510"/>
        <v>0</v>
      </c>
      <c r="W1098" s="34">
        <f t="shared" si="510"/>
        <v>0</v>
      </c>
      <c r="X1098" s="34">
        <f t="shared" si="510"/>
        <v>0</v>
      </c>
      <c r="Y1098" s="34">
        <f t="shared" si="510"/>
        <v>0</v>
      </c>
      <c r="Z1098" s="34">
        <f t="shared" si="510"/>
        <v>0</v>
      </c>
      <c r="AA1098" s="34">
        <f t="shared" si="510"/>
        <v>0</v>
      </c>
      <c r="AB1098" s="34">
        <f t="shared" si="510"/>
        <v>0</v>
      </c>
      <c r="AC1098" s="34">
        <f t="shared" si="510"/>
        <v>0</v>
      </c>
      <c r="AD1098" s="34">
        <f t="shared" si="510"/>
        <v>0</v>
      </c>
      <c r="AE1098" s="34">
        <f t="shared" si="510"/>
        <v>0</v>
      </c>
      <c r="AF1098" s="34">
        <f t="shared" si="510"/>
        <v>0</v>
      </c>
      <c r="AG1098" s="34">
        <f t="shared" si="510"/>
        <v>0</v>
      </c>
      <c r="AH1098" s="34">
        <f t="shared" si="510"/>
        <v>0</v>
      </c>
      <c r="AI1098" s="34">
        <f t="shared" si="510"/>
        <v>0</v>
      </c>
      <c r="AJ1098" s="34">
        <f t="shared" si="510"/>
        <v>0</v>
      </c>
      <c r="AK1098" s="34">
        <f t="shared" si="510"/>
        <v>0</v>
      </c>
      <c r="AL1098" s="34">
        <f t="shared" si="510"/>
        <v>0</v>
      </c>
      <c r="AM1098" s="34">
        <f t="shared" si="510"/>
        <v>0</v>
      </c>
      <c r="AN1098" s="34">
        <f t="shared" si="510"/>
        <v>0</v>
      </c>
      <c r="AO1098" s="34">
        <f t="shared" si="510"/>
        <v>0</v>
      </c>
      <c r="AP1098" s="54"/>
      <c r="AQ1098" s="1"/>
    </row>
    <row r="1099" ht="15.0" customHeight="1">
      <c r="A1099" s="1"/>
      <c r="B1099" s="35"/>
      <c r="C1099" s="84"/>
      <c r="D1099" s="35"/>
      <c r="E1099" s="65" t="s">
        <v>24</v>
      </c>
      <c r="F1099" s="36" t="s">
        <v>25</v>
      </c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8"/>
      <c r="T1099" s="37"/>
      <c r="U1099" s="38"/>
      <c r="V1099" s="37"/>
      <c r="W1099" s="37"/>
      <c r="X1099" s="37"/>
      <c r="Y1099" s="37"/>
      <c r="Z1099" s="37"/>
      <c r="AA1099" s="37"/>
      <c r="AB1099" s="37"/>
      <c r="AC1099" s="37"/>
      <c r="AD1099" s="38"/>
      <c r="AE1099" s="37"/>
      <c r="AF1099" s="37"/>
      <c r="AG1099" s="37"/>
      <c r="AH1099" s="37"/>
      <c r="AI1099" s="37"/>
      <c r="AJ1099" s="37"/>
      <c r="AK1099" s="37"/>
      <c r="AL1099" s="37"/>
      <c r="AM1099" s="37"/>
      <c r="AN1099" s="37"/>
      <c r="AO1099" s="37"/>
      <c r="AP1099" s="39">
        <f t="shared" ref="AP1099:AP1102" si="511">SUM(H1099:AO1099)</f>
        <v>0</v>
      </c>
      <c r="AQ1099" s="1"/>
    </row>
    <row r="1100" ht="15.0" customHeight="1">
      <c r="A1100" s="1"/>
      <c r="B1100" s="35"/>
      <c r="C1100" s="84"/>
      <c r="D1100" s="35"/>
      <c r="E1100" s="65"/>
      <c r="F1100" s="40" t="s">
        <v>26</v>
      </c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8"/>
      <c r="T1100" s="37"/>
      <c r="U1100" s="38"/>
      <c r="V1100" s="37"/>
      <c r="W1100" s="37"/>
      <c r="X1100" s="37"/>
      <c r="Y1100" s="37"/>
      <c r="Z1100" s="37"/>
      <c r="AA1100" s="37"/>
      <c r="AB1100" s="37"/>
      <c r="AC1100" s="37"/>
      <c r="AD1100" s="38"/>
      <c r="AE1100" s="37"/>
      <c r="AF1100" s="37"/>
      <c r="AG1100" s="37"/>
      <c r="AH1100" s="37"/>
      <c r="AI1100" s="37"/>
      <c r="AJ1100" s="37"/>
      <c r="AK1100" s="37"/>
      <c r="AL1100" s="37"/>
      <c r="AM1100" s="37"/>
      <c r="AN1100" s="37"/>
      <c r="AO1100" s="38"/>
      <c r="AP1100" s="39">
        <f t="shared" si="511"/>
        <v>0</v>
      </c>
      <c r="AQ1100" s="1"/>
    </row>
    <row r="1101" ht="15.0" customHeight="1">
      <c r="A1101" s="1"/>
      <c r="B1101" s="35"/>
      <c r="C1101" s="84"/>
      <c r="D1101" s="35"/>
      <c r="E1101" s="65" t="s">
        <v>27</v>
      </c>
      <c r="F1101" s="41" t="s">
        <v>28</v>
      </c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8"/>
      <c r="T1101" s="37"/>
      <c r="U1101" s="38"/>
      <c r="V1101" s="37"/>
      <c r="W1101" s="37"/>
      <c r="X1101" s="37"/>
      <c r="Y1101" s="37"/>
      <c r="Z1101" s="37"/>
      <c r="AA1101" s="37"/>
      <c r="AB1101" s="37"/>
      <c r="AC1101" s="37"/>
      <c r="AD1101" s="38"/>
      <c r="AE1101" s="37"/>
      <c r="AF1101" s="37"/>
      <c r="AG1101" s="37"/>
      <c r="AH1101" s="37"/>
      <c r="AI1101" s="37"/>
      <c r="AJ1101" s="37"/>
      <c r="AK1101" s="37"/>
      <c r="AL1101" s="37"/>
      <c r="AM1101" s="37"/>
      <c r="AN1101" s="37"/>
      <c r="AO1101" s="37"/>
      <c r="AP1101" s="39">
        <f t="shared" si="511"/>
        <v>0</v>
      </c>
      <c r="AQ1101" s="1"/>
    </row>
    <row r="1102" ht="15.0" customHeight="1">
      <c r="A1102" s="1"/>
      <c r="B1102" s="35"/>
      <c r="C1102" s="84"/>
      <c r="D1102" s="35"/>
      <c r="E1102" s="65"/>
      <c r="F1102" s="41" t="s">
        <v>29</v>
      </c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8"/>
      <c r="T1102" s="37"/>
      <c r="U1102" s="38"/>
      <c r="V1102" s="37"/>
      <c r="W1102" s="37"/>
      <c r="X1102" s="37"/>
      <c r="Y1102" s="37"/>
      <c r="Z1102" s="37"/>
      <c r="AA1102" s="37"/>
      <c r="AB1102" s="37"/>
      <c r="AC1102" s="37"/>
      <c r="AD1102" s="38"/>
      <c r="AE1102" s="37"/>
      <c r="AF1102" s="37"/>
      <c r="AG1102" s="37"/>
      <c r="AH1102" s="37"/>
      <c r="AI1102" s="37"/>
      <c r="AJ1102" s="37"/>
      <c r="AK1102" s="37"/>
      <c r="AL1102" s="37"/>
      <c r="AM1102" s="37"/>
      <c r="AN1102" s="37"/>
      <c r="AO1102" s="37"/>
      <c r="AP1102" s="39">
        <f t="shared" si="511"/>
        <v>0</v>
      </c>
      <c r="AQ1102" s="1"/>
    </row>
    <row r="1103" ht="15.0" customHeight="1">
      <c r="A1103" s="1"/>
      <c r="B1103" s="42"/>
      <c r="C1103" s="18"/>
      <c r="D1103" s="42"/>
      <c r="E1103" s="67"/>
      <c r="F1103" s="43" t="s">
        <v>30</v>
      </c>
      <c r="G1103" s="44"/>
      <c r="H1103" s="34">
        <f t="shared" ref="H1103:AN1103" si="512">H1098+H1099-H1100+H1101-H1102</f>
        <v>0</v>
      </c>
      <c r="I1103" s="34">
        <f t="shared" si="512"/>
        <v>0</v>
      </c>
      <c r="J1103" s="34">
        <f t="shared" si="512"/>
        <v>0</v>
      </c>
      <c r="K1103" s="34">
        <f t="shared" si="512"/>
        <v>0</v>
      </c>
      <c r="L1103" s="34">
        <f t="shared" si="512"/>
        <v>0</v>
      </c>
      <c r="M1103" s="34">
        <f t="shared" si="512"/>
        <v>0</v>
      </c>
      <c r="N1103" s="34">
        <f t="shared" si="512"/>
        <v>0</v>
      </c>
      <c r="O1103" s="34">
        <f t="shared" si="512"/>
        <v>0</v>
      </c>
      <c r="P1103" s="34">
        <f t="shared" si="512"/>
        <v>0</v>
      </c>
      <c r="Q1103" s="34">
        <f t="shared" si="512"/>
        <v>0</v>
      </c>
      <c r="R1103" s="34">
        <f t="shared" si="512"/>
        <v>0</v>
      </c>
      <c r="S1103" s="34">
        <f t="shared" si="512"/>
        <v>0</v>
      </c>
      <c r="T1103" s="34">
        <f t="shared" si="512"/>
        <v>0</v>
      </c>
      <c r="U1103" s="34">
        <f t="shared" si="512"/>
        <v>0</v>
      </c>
      <c r="V1103" s="34">
        <f t="shared" si="512"/>
        <v>0</v>
      </c>
      <c r="W1103" s="34">
        <f t="shared" si="512"/>
        <v>0</v>
      </c>
      <c r="X1103" s="34">
        <f t="shared" si="512"/>
        <v>0</v>
      </c>
      <c r="Y1103" s="34">
        <f t="shared" si="512"/>
        <v>0</v>
      </c>
      <c r="Z1103" s="34">
        <f t="shared" si="512"/>
        <v>0</v>
      </c>
      <c r="AA1103" s="34">
        <f t="shared" si="512"/>
        <v>0</v>
      </c>
      <c r="AB1103" s="34">
        <f t="shared" si="512"/>
        <v>0</v>
      </c>
      <c r="AC1103" s="34">
        <f t="shared" si="512"/>
        <v>0</v>
      </c>
      <c r="AD1103" s="34">
        <f t="shared" si="512"/>
        <v>0</v>
      </c>
      <c r="AE1103" s="34">
        <f t="shared" si="512"/>
        <v>0</v>
      </c>
      <c r="AF1103" s="34">
        <f t="shared" si="512"/>
        <v>0</v>
      </c>
      <c r="AG1103" s="34">
        <f t="shared" si="512"/>
        <v>0</v>
      </c>
      <c r="AH1103" s="34">
        <f t="shared" si="512"/>
        <v>0</v>
      </c>
      <c r="AI1103" s="34">
        <f t="shared" si="512"/>
        <v>0</v>
      </c>
      <c r="AJ1103" s="34">
        <f t="shared" si="512"/>
        <v>0</v>
      </c>
      <c r="AK1103" s="34">
        <f t="shared" si="512"/>
        <v>0</v>
      </c>
      <c r="AL1103" s="34">
        <f t="shared" si="512"/>
        <v>0</v>
      </c>
      <c r="AM1103" s="34">
        <f t="shared" si="512"/>
        <v>0</v>
      </c>
      <c r="AN1103" s="34">
        <f t="shared" si="512"/>
        <v>0</v>
      </c>
      <c r="AO1103" s="34"/>
      <c r="AP1103" s="45">
        <f>AO1098</f>
        <v>0</v>
      </c>
      <c r="AQ1103" s="68"/>
    </row>
    <row r="1104" ht="15.0" customHeight="1">
      <c r="A1104" s="1"/>
      <c r="B1104" s="56"/>
      <c r="C1104" s="32" t="s">
        <v>374</v>
      </c>
      <c r="D1104" s="57" t="s">
        <v>375</v>
      </c>
      <c r="E1104" s="13"/>
      <c r="F1104" s="41" t="s">
        <v>23</v>
      </c>
      <c r="G1104" s="44"/>
      <c r="H1104" s="34">
        <v>0.0</v>
      </c>
      <c r="I1104" s="34">
        <f t="shared" ref="I1104:AO1104" si="513">H1109</f>
        <v>0</v>
      </c>
      <c r="J1104" s="34">
        <f t="shared" si="513"/>
        <v>0</v>
      </c>
      <c r="K1104" s="34">
        <f t="shared" si="513"/>
        <v>0</v>
      </c>
      <c r="L1104" s="34">
        <f t="shared" si="513"/>
        <v>0</v>
      </c>
      <c r="M1104" s="34">
        <f t="shared" si="513"/>
        <v>0</v>
      </c>
      <c r="N1104" s="34">
        <f t="shared" si="513"/>
        <v>0</v>
      </c>
      <c r="O1104" s="34">
        <f t="shared" si="513"/>
        <v>0</v>
      </c>
      <c r="P1104" s="34">
        <f t="shared" si="513"/>
        <v>0</v>
      </c>
      <c r="Q1104" s="34">
        <f t="shared" si="513"/>
        <v>0</v>
      </c>
      <c r="R1104" s="34">
        <f t="shared" si="513"/>
        <v>0</v>
      </c>
      <c r="S1104" s="34">
        <f t="shared" si="513"/>
        <v>0</v>
      </c>
      <c r="T1104" s="34">
        <f t="shared" si="513"/>
        <v>0</v>
      </c>
      <c r="U1104" s="34">
        <f t="shared" si="513"/>
        <v>0</v>
      </c>
      <c r="V1104" s="34">
        <f t="shared" si="513"/>
        <v>0</v>
      </c>
      <c r="W1104" s="34">
        <f t="shared" si="513"/>
        <v>0</v>
      </c>
      <c r="X1104" s="34">
        <f t="shared" si="513"/>
        <v>0</v>
      </c>
      <c r="Y1104" s="34">
        <f t="shared" si="513"/>
        <v>0</v>
      </c>
      <c r="Z1104" s="34">
        <f t="shared" si="513"/>
        <v>0</v>
      </c>
      <c r="AA1104" s="34">
        <f t="shared" si="513"/>
        <v>0</v>
      </c>
      <c r="AB1104" s="34">
        <f t="shared" si="513"/>
        <v>0</v>
      </c>
      <c r="AC1104" s="34">
        <f t="shared" si="513"/>
        <v>0</v>
      </c>
      <c r="AD1104" s="34">
        <f t="shared" si="513"/>
        <v>0</v>
      </c>
      <c r="AE1104" s="34">
        <f t="shared" si="513"/>
        <v>0</v>
      </c>
      <c r="AF1104" s="34">
        <f t="shared" si="513"/>
        <v>0</v>
      </c>
      <c r="AG1104" s="34">
        <f t="shared" si="513"/>
        <v>0</v>
      </c>
      <c r="AH1104" s="34">
        <f t="shared" si="513"/>
        <v>0</v>
      </c>
      <c r="AI1104" s="34">
        <f t="shared" si="513"/>
        <v>0</v>
      </c>
      <c r="AJ1104" s="34">
        <f t="shared" si="513"/>
        <v>0</v>
      </c>
      <c r="AK1104" s="34">
        <f t="shared" si="513"/>
        <v>0</v>
      </c>
      <c r="AL1104" s="34">
        <f t="shared" si="513"/>
        <v>0</v>
      </c>
      <c r="AM1104" s="34">
        <f t="shared" si="513"/>
        <v>0</v>
      </c>
      <c r="AN1104" s="34">
        <f t="shared" si="513"/>
        <v>0</v>
      </c>
      <c r="AO1104" s="34">
        <f t="shared" si="513"/>
        <v>0</v>
      </c>
      <c r="AP1104" s="54"/>
      <c r="AQ1104" s="1"/>
    </row>
    <row r="1105" ht="15.0" customHeight="1">
      <c r="A1105" s="1"/>
      <c r="B1105" s="58"/>
      <c r="C1105" s="35"/>
      <c r="D1105" s="35"/>
      <c r="E1105" s="33" t="s">
        <v>24</v>
      </c>
      <c r="F1105" s="59" t="s">
        <v>25</v>
      </c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8"/>
      <c r="T1105" s="37"/>
      <c r="U1105" s="38"/>
      <c r="V1105" s="37"/>
      <c r="W1105" s="37"/>
      <c r="X1105" s="37"/>
      <c r="Y1105" s="37"/>
      <c r="Z1105" s="37"/>
      <c r="AA1105" s="37"/>
      <c r="AB1105" s="37"/>
      <c r="AC1105" s="37"/>
      <c r="AD1105" s="38"/>
      <c r="AE1105" s="37"/>
      <c r="AF1105" s="37"/>
      <c r="AG1105" s="37"/>
      <c r="AH1105" s="37"/>
      <c r="AI1105" s="37"/>
      <c r="AJ1105" s="37"/>
      <c r="AK1105" s="37"/>
      <c r="AL1105" s="37"/>
      <c r="AM1105" s="37"/>
      <c r="AN1105" s="37"/>
      <c r="AO1105" s="37"/>
      <c r="AP1105" s="39">
        <f t="shared" ref="AP1105:AP1108" si="514">SUM(H1105:AO1105)</f>
        <v>0</v>
      </c>
      <c r="AQ1105" s="1"/>
    </row>
    <row r="1106" ht="15.0" customHeight="1">
      <c r="A1106" s="1"/>
      <c r="B1106" s="58"/>
      <c r="C1106" s="35"/>
      <c r="D1106" s="35"/>
      <c r="E1106" s="33"/>
      <c r="F1106" s="60" t="s">
        <v>26</v>
      </c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8"/>
      <c r="T1106" s="37"/>
      <c r="U1106" s="38"/>
      <c r="V1106" s="37"/>
      <c r="W1106" s="37"/>
      <c r="X1106" s="37"/>
      <c r="Y1106" s="37"/>
      <c r="Z1106" s="37"/>
      <c r="AA1106" s="37"/>
      <c r="AB1106" s="37"/>
      <c r="AC1106" s="37"/>
      <c r="AD1106" s="38"/>
      <c r="AE1106" s="37"/>
      <c r="AF1106" s="37"/>
      <c r="AG1106" s="37"/>
      <c r="AH1106" s="37"/>
      <c r="AI1106" s="37"/>
      <c r="AJ1106" s="37"/>
      <c r="AK1106" s="37"/>
      <c r="AL1106" s="37"/>
      <c r="AM1106" s="37"/>
      <c r="AN1106" s="37"/>
      <c r="AO1106" s="37"/>
      <c r="AP1106" s="39">
        <f t="shared" si="514"/>
        <v>0</v>
      </c>
      <c r="AQ1106" s="1"/>
    </row>
    <row r="1107" ht="15.0" customHeight="1">
      <c r="A1107" s="1"/>
      <c r="B1107" s="58"/>
      <c r="C1107" s="35"/>
      <c r="D1107" s="35"/>
      <c r="E1107" s="33" t="s">
        <v>27</v>
      </c>
      <c r="F1107" s="41" t="s">
        <v>28</v>
      </c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8"/>
      <c r="T1107" s="37"/>
      <c r="U1107" s="38"/>
      <c r="V1107" s="37"/>
      <c r="W1107" s="37"/>
      <c r="X1107" s="37"/>
      <c r="Y1107" s="37"/>
      <c r="Z1107" s="37"/>
      <c r="AA1107" s="37"/>
      <c r="AB1107" s="37"/>
      <c r="AC1107" s="37"/>
      <c r="AD1107" s="38"/>
      <c r="AE1107" s="37"/>
      <c r="AF1107" s="37"/>
      <c r="AG1107" s="37"/>
      <c r="AH1107" s="37"/>
      <c r="AI1107" s="37"/>
      <c r="AJ1107" s="37"/>
      <c r="AK1107" s="37"/>
      <c r="AL1107" s="37"/>
      <c r="AM1107" s="37"/>
      <c r="AN1107" s="37"/>
      <c r="AO1107" s="37"/>
      <c r="AP1107" s="39">
        <f t="shared" si="514"/>
        <v>0</v>
      </c>
      <c r="AQ1107" s="1"/>
    </row>
    <row r="1108" ht="15.0" customHeight="1">
      <c r="A1108" s="1"/>
      <c r="B1108" s="58"/>
      <c r="C1108" s="35"/>
      <c r="D1108" s="35"/>
      <c r="E1108" s="33"/>
      <c r="F1108" s="41" t="s">
        <v>29</v>
      </c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8"/>
      <c r="T1108" s="37"/>
      <c r="U1108" s="38"/>
      <c r="V1108" s="37"/>
      <c r="W1108" s="37"/>
      <c r="X1108" s="37"/>
      <c r="Y1108" s="37"/>
      <c r="Z1108" s="37"/>
      <c r="AA1108" s="37"/>
      <c r="AB1108" s="37"/>
      <c r="AC1108" s="37"/>
      <c r="AD1108" s="38"/>
      <c r="AE1108" s="37"/>
      <c r="AF1108" s="37"/>
      <c r="AG1108" s="37"/>
      <c r="AH1108" s="37"/>
      <c r="AI1108" s="37"/>
      <c r="AJ1108" s="37"/>
      <c r="AK1108" s="37"/>
      <c r="AL1108" s="37"/>
      <c r="AM1108" s="37"/>
      <c r="AN1108" s="37"/>
      <c r="AO1108" s="37"/>
      <c r="AP1108" s="39">
        <f t="shared" si="514"/>
        <v>0</v>
      </c>
      <c r="AQ1108" s="1"/>
    </row>
    <row r="1109" ht="15.0" customHeight="1">
      <c r="A1109" s="1"/>
      <c r="B1109" s="61"/>
      <c r="C1109" s="42"/>
      <c r="D1109" s="42"/>
      <c r="E1109" s="52"/>
      <c r="F1109" s="62" t="s">
        <v>30</v>
      </c>
      <c r="G1109" s="44"/>
      <c r="H1109" s="34">
        <f t="shared" ref="H1109:AN1109" si="515">H1104+H1105-H1106+H1107-H1108</f>
        <v>0</v>
      </c>
      <c r="I1109" s="34">
        <f t="shared" si="515"/>
        <v>0</v>
      </c>
      <c r="J1109" s="34">
        <f t="shared" si="515"/>
        <v>0</v>
      </c>
      <c r="K1109" s="34">
        <f t="shared" si="515"/>
        <v>0</v>
      </c>
      <c r="L1109" s="34">
        <f t="shared" si="515"/>
        <v>0</v>
      </c>
      <c r="M1109" s="34">
        <f t="shared" si="515"/>
        <v>0</v>
      </c>
      <c r="N1109" s="34">
        <f t="shared" si="515"/>
        <v>0</v>
      </c>
      <c r="O1109" s="34">
        <f t="shared" si="515"/>
        <v>0</v>
      </c>
      <c r="P1109" s="34">
        <f t="shared" si="515"/>
        <v>0</v>
      </c>
      <c r="Q1109" s="34">
        <f t="shared" si="515"/>
        <v>0</v>
      </c>
      <c r="R1109" s="34">
        <f t="shared" si="515"/>
        <v>0</v>
      </c>
      <c r="S1109" s="34">
        <f t="shared" si="515"/>
        <v>0</v>
      </c>
      <c r="T1109" s="34">
        <f t="shared" si="515"/>
        <v>0</v>
      </c>
      <c r="U1109" s="34">
        <f t="shared" si="515"/>
        <v>0</v>
      </c>
      <c r="V1109" s="34">
        <f t="shared" si="515"/>
        <v>0</v>
      </c>
      <c r="W1109" s="34">
        <f t="shared" si="515"/>
        <v>0</v>
      </c>
      <c r="X1109" s="34">
        <f t="shared" si="515"/>
        <v>0</v>
      </c>
      <c r="Y1109" s="34">
        <f t="shared" si="515"/>
        <v>0</v>
      </c>
      <c r="Z1109" s="34">
        <f t="shared" si="515"/>
        <v>0</v>
      </c>
      <c r="AA1109" s="34">
        <f t="shared" si="515"/>
        <v>0</v>
      </c>
      <c r="AB1109" s="34">
        <f t="shared" si="515"/>
        <v>0</v>
      </c>
      <c r="AC1109" s="34">
        <f t="shared" si="515"/>
        <v>0</v>
      </c>
      <c r="AD1109" s="34">
        <f t="shared" si="515"/>
        <v>0</v>
      </c>
      <c r="AE1109" s="34">
        <f t="shared" si="515"/>
        <v>0</v>
      </c>
      <c r="AF1109" s="34">
        <f t="shared" si="515"/>
        <v>0</v>
      </c>
      <c r="AG1109" s="34">
        <f t="shared" si="515"/>
        <v>0</v>
      </c>
      <c r="AH1109" s="34">
        <f t="shared" si="515"/>
        <v>0</v>
      </c>
      <c r="AI1109" s="34">
        <f t="shared" si="515"/>
        <v>0</v>
      </c>
      <c r="AJ1109" s="34">
        <f t="shared" si="515"/>
        <v>0</v>
      </c>
      <c r="AK1109" s="34">
        <f t="shared" si="515"/>
        <v>0</v>
      </c>
      <c r="AL1109" s="34">
        <f t="shared" si="515"/>
        <v>0</v>
      </c>
      <c r="AM1109" s="34">
        <f t="shared" si="515"/>
        <v>0</v>
      </c>
      <c r="AN1109" s="34">
        <f t="shared" si="515"/>
        <v>0</v>
      </c>
      <c r="AO1109" s="34"/>
      <c r="AP1109" s="45">
        <f>AO1104</f>
        <v>0</v>
      </c>
      <c r="AQ1109" s="1"/>
    </row>
    <row r="1110" ht="15.0" customHeight="1">
      <c r="A1110" s="1"/>
      <c r="B1110" s="56"/>
      <c r="C1110" s="32" t="s">
        <v>376</v>
      </c>
      <c r="D1110" s="57" t="s">
        <v>377</v>
      </c>
      <c r="E1110" s="13"/>
      <c r="F1110" s="41" t="s">
        <v>23</v>
      </c>
      <c r="G1110" s="44"/>
      <c r="H1110" s="34" t="str">
        <f t="shared" ref="H1110:AO1110" si="516">G1115</f>
        <v/>
      </c>
      <c r="I1110" s="34">
        <f t="shared" si="516"/>
        <v>0</v>
      </c>
      <c r="J1110" s="34">
        <f t="shared" si="516"/>
        <v>0</v>
      </c>
      <c r="K1110" s="34">
        <f t="shared" si="516"/>
        <v>0</v>
      </c>
      <c r="L1110" s="34">
        <f t="shared" si="516"/>
        <v>0</v>
      </c>
      <c r="M1110" s="34">
        <f t="shared" si="516"/>
        <v>46</v>
      </c>
      <c r="N1110" s="34">
        <f t="shared" si="516"/>
        <v>46</v>
      </c>
      <c r="O1110" s="34">
        <f t="shared" si="516"/>
        <v>46</v>
      </c>
      <c r="P1110" s="34">
        <f t="shared" si="516"/>
        <v>46</v>
      </c>
      <c r="Q1110" s="34">
        <f t="shared" si="516"/>
        <v>0</v>
      </c>
      <c r="R1110" s="34">
        <f t="shared" si="516"/>
        <v>0</v>
      </c>
      <c r="S1110" s="34">
        <f t="shared" si="516"/>
        <v>0</v>
      </c>
      <c r="T1110" s="34">
        <f t="shared" si="516"/>
        <v>0</v>
      </c>
      <c r="U1110" s="34">
        <f t="shared" si="516"/>
        <v>0</v>
      </c>
      <c r="V1110" s="34">
        <f t="shared" si="516"/>
        <v>0</v>
      </c>
      <c r="W1110" s="34">
        <f t="shared" si="516"/>
        <v>0</v>
      </c>
      <c r="X1110" s="34">
        <f t="shared" si="516"/>
        <v>0</v>
      </c>
      <c r="Y1110" s="34">
        <f t="shared" si="516"/>
        <v>0</v>
      </c>
      <c r="Z1110" s="34">
        <f t="shared" si="516"/>
        <v>0</v>
      </c>
      <c r="AA1110" s="34">
        <f t="shared" si="516"/>
        <v>20</v>
      </c>
      <c r="AB1110" s="34">
        <f t="shared" si="516"/>
        <v>20</v>
      </c>
      <c r="AC1110" s="34">
        <f t="shared" si="516"/>
        <v>20</v>
      </c>
      <c r="AD1110" s="34">
        <f t="shared" si="516"/>
        <v>20</v>
      </c>
      <c r="AE1110" s="34">
        <f t="shared" si="516"/>
        <v>20</v>
      </c>
      <c r="AF1110" s="34">
        <f t="shared" si="516"/>
        <v>20</v>
      </c>
      <c r="AG1110" s="34">
        <f t="shared" si="516"/>
        <v>20</v>
      </c>
      <c r="AH1110" s="34">
        <f t="shared" si="516"/>
        <v>20</v>
      </c>
      <c r="AI1110" s="34">
        <f t="shared" si="516"/>
        <v>20</v>
      </c>
      <c r="AJ1110" s="34">
        <f t="shared" si="516"/>
        <v>20</v>
      </c>
      <c r="AK1110" s="34">
        <f t="shared" si="516"/>
        <v>20</v>
      </c>
      <c r="AL1110" s="34">
        <f t="shared" si="516"/>
        <v>20</v>
      </c>
      <c r="AM1110" s="34">
        <f t="shared" si="516"/>
        <v>20</v>
      </c>
      <c r="AN1110" s="34">
        <f t="shared" si="516"/>
        <v>20</v>
      </c>
      <c r="AO1110" s="34">
        <f t="shared" si="516"/>
        <v>20</v>
      </c>
      <c r="AP1110" s="54"/>
      <c r="AQ1110" s="1"/>
    </row>
    <row r="1111" ht="15.0" customHeight="1">
      <c r="A1111" s="1"/>
      <c r="B1111" s="58"/>
      <c r="C1111" s="35"/>
      <c r="D1111" s="35"/>
      <c r="E1111" s="33" t="s">
        <v>24</v>
      </c>
      <c r="F1111" s="59" t="s">
        <v>25</v>
      </c>
      <c r="G1111" s="37"/>
      <c r="H1111" s="37"/>
      <c r="I1111" s="37"/>
      <c r="J1111" s="37"/>
      <c r="K1111" s="37"/>
      <c r="L1111" s="37">
        <v>46.0</v>
      </c>
      <c r="M1111" s="37"/>
      <c r="N1111" s="37"/>
      <c r="O1111" s="37"/>
      <c r="P1111" s="37"/>
      <c r="Q1111" s="37"/>
      <c r="R1111" s="37"/>
      <c r="S1111" s="38"/>
      <c r="T1111" s="37"/>
      <c r="U1111" s="38"/>
      <c r="V1111" s="37"/>
      <c r="W1111" s="37"/>
      <c r="X1111" s="37"/>
      <c r="Y1111" s="37"/>
      <c r="Z1111" s="37">
        <v>20.0</v>
      </c>
      <c r="AA1111" s="37"/>
      <c r="AB1111" s="37"/>
      <c r="AC1111" s="37"/>
      <c r="AD1111" s="38"/>
      <c r="AE1111" s="37"/>
      <c r="AF1111" s="37"/>
      <c r="AG1111" s="37"/>
      <c r="AH1111" s="37"/>
      <c r="AI1111" s="37"/>
      <c r="AJ1111" s="37"/>
      <c r="AK1111" s="37"/>
      <c r="AL1111" s="37"/>
      <c r="AM1111" s="37"/>
      <c r="AN1111" s="37"/>
      <c r="AO1111" s="37"/>
      <c r="AP1111" s="39">
        <f t="shared" ref="AP1111:AP1114" si="517">SUM(H1111:AO1111)</f>
        <v>66</v>
      </c>
      <c r="AQ1111" s="1"/>
    </row>
    <row r="1112" ht="15.0" customHeight="1">
      <c r="A1112" s="1"/>
      <c r="B1112" s="58"/>
      <c r="C1112" s="35"/>
      <c r="D1112" s="35"/>
      <c r="E1112" s="33"/>
      <c r="F1112" s="60" t="s">
        <v>26</v>
      </c>
      <c r="G1112" s="37"/>
      <c r="H1112" s="37"/>
      <c r="I1112" s="37"/>
      <c r="J1112" s="37"/>
      <c r="K1112" s="37"/>
      <c r="L1112" s="37"/>
      <c r="M1112" s="37"/>
      <c r="N1112" s="37"/>
      <c r="O1112" s="37"/>
      <c r="P1112" s="37">
        <v>46.0</v>
      </c>
      <c r="Q1112" s="37"/>
      <c r="R1112" s="37"/>
      <c r="S1112" s="38"/>
      <c r="T1112" s="37"/>
      <c r="U1112" s="38"/>
      <c r="V1112" s="37"/>
      <c r="W1112" s="37"/>
      <c r="X1112" s="37"/>
      <c r="Y1112" s="37"/>
      <c r="Z1112" s="37"/>
      <c r="AA1112" s="37"/>
      <c r="AB1112" s="37"/>
      <c r="AC1112" s="37"/>
      <c r="AD1112" s="38"/>
      <c r="AE1112" s="37"/>
      <c r="AF1112" s="37"/>
      <c r="AG1112" s="37"/>
      <c r="AH1112" s="37"/>
      <c r="AI1112" s="37"/>
      <c r="AJ1112" s="37"/>
      <c r="AK1112" s="37"/>
      <c r="AL1112" s="37"/>
      <c r="AM1112" s="37"/>
      <c r="AN1112" s="37"/>
      <c r="AO1112" s="37"/>
      <c r="AP1112" s="39">
        <f t="shared" si="517"/>
        <v>46</v>
      </c>
      <c r="AQ1112" s="1"/>
    </row>
    <row r="1113" ht="15.0" customHeight="1">
      <c r="A1113" s="1"/>
      <c r="B1113" s="58"/>
      <c r="C1113" s="35"/>
      <c r="D1113" s="35"/>
      <c r="E1113" s="33" t="s">
        <v>27</v>
      </c>
      <c r="F1113" s="41" t="s">
        <v>28</v>
      </c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8"/>
      <c r="T1113" s="37"/>
      <c r="U1113" s="38"/>
      <c r="V1113" s="37"/>
      <c r="W1113" s="37"/>
      <c r="X1113" s="37"/>
      <c r="Y1113" s="37"/>
      <c r="Z1113" s="37"/>
      <c r="AA1113" s="37"/>
      <c r="AB1113" s="37"/>
      <c r="AC1113" s="37"/>
      <c r="AD1113" s="38"/>
      <c r="AE1113" s="37"/>
      <c r="AF1113" s="37"/>
      <c r="AG1113" s="37"/>
      <c r="AH1113" s="37"/>
      <c r="AI1113" s="37"/>
      <c r="AJ1113" s="37"/>
      <c r="AK1113" s="37"/>
      <c r="AL1113" s="37"/>
      <c r="AM1113" s="37"/>
      <c r="AN1113" s="37"/>
      <c r="AO1113" s="37"/>
      <c r="AP1113" s="39">
        <f t="shared" si="517"/>
        <v>0</v>
      </c>
      <c r="AQ1113" s="1"/>
    </row>
    <row r="1114" ht="15.0" customHeight="1">
      <c r="A1114" s="1"/>
      <c r="B1114" s="58"/>
      <c r="C1114" s="35"/>
      <c r="D1114" s="35"/>
      <c r="E1114" s="33"/>
      <c r="F1114" s="41" t="s">
        <v>29</v>
      </c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8"/>
      <c r="T1114" s="37"/>
      <c r="U1114" s="38"/>
      <c r="V1114" s="37"/>
      <c r="W1114" s="37"/>
      <c r="X1114" s="37"/>
      <c r="Y1114" s="37"/>
      <c r="Z1114" s="37"/>
      <c r="AA1114" s="37"/>
      <c r="AB1114" s="37"/>
      <c r="AC1114" s="37"/>
      <c r="AD1114" s="38"/>
      <c r="AE1114" s="37"/>
      <c r="AF1114" s="37"/>
      <c r="AG1114" s="37"/>
      <c r="AH1114" s="37"/>
      <c r="AI1114" s="37"/>
      <c r="AJ1114" s="37"/>
      <c r="AK1114" s="37"/>
      <c r="AL1114" s="37"/>
      <c r="AM1114" s="37"/>
      <c r="AN1114" s="37"/>
      <c r="AO1114" s="37"/>
      <c r="AP1114" s="39">
        <f t="shared" si="517"/>
        <v>0</v>
      </c>
      <c r="AQ1114" s="1"/>
    </row>
    <row r="1115" ht="15.0" customHeight="1">
      <c r="A1115" s="1"/>
      <c r="B1115" s="61"/>
      <c r="C1115" s="42"/>
      <c r="D1115" s="42"/>
      <c r="E1115" s="52"/>
      <c r="F1115" s="62" t="s">
        <v>30</v>
      </c>
      <c r="G1115" s="44"/>
      <c r="H1115" s="34">
        <f t="shared" ref="H1115:AN1115" si="518">H1110+H1111-H1112+H1113-H1114</f>
        <v>0</v>
      </c>
      <c r="I1115" s="34">
        <f t="shared" si="518"/>
        <v>0</v>
      </c>
      <c r="J1115" s="34">
        <f t="shared" si="518"/>
        <v>0</v>
      </c>
      <c r="K1115" s="34">
        <f t="shared" si="518"/>
        <v>0</v>
      </c>
      <c r="L1115" s="34">
        <f t="shared" si="518"/>
        <v>46</v>
      </c>
      <c r="M1115" s="34">
        <f t="shared" si="518"/>
        <v>46</v>
      </c>
      <c r="N1115" s="34">
        <f t="shared" si="518"/>
        <v>46</v>
      </c>
      <c r="O1115" s="34">
        <f t="shared" si="518"/>
        <v>46</v>
      </c>
      <c r="P1115" s="34">
        <f t="shared" si="518"/>
        <v>0</v>
      </c>
      <c r="Q1115" s="34">
        <f t="shared" si="518"/>
        <v>0</v>
      </c>
      <c r="R1115" s="34">
        <f t="shared" si="518"/>
        <v>0</v>
      </c>
      <c r="S1115" s="34">
        <f t="shared" si="518"/>
        <v>0</v>
      </c>
      <c r="T1115" s="34">
        <f t="shared" si="518"/>
        <v>0</v>
      </c>
      <c r="U1115" s="34">
        <f t="shared" si="518"/>
        <v>0</v>
      </c>
      <c r="V1115" s="34">
        <f t="shared" si="518"/>
        <v>0</v>
      </c>
      <c r="W1115" s="34">
        <f t="shared" si="518"/>
        <v>0</v>
      </c>
      <c r="X1115" s="34">
        <f t="shared" si="518"/>
        <v>0</v>
      </c>
      <c r="Y1115" s="34">
        <f t="shared" si="518"/>
        <v>0</v>
      </c>
      <c r="Z1115" s="34">
        <f t="shared" si="518"/>
        <v>20</v>
      </c>
      <c r="AA1115" s="34">
        <f t="shared" si="518"/>
        <v>20</v>
      </c>
      <c r="AB1115" s="34">
        <f t="shared" si="518"/>
        <v>20</v>
      </c>
      <c r="AC1115" s="34">
        <f t="shared" si="518"/>
        <v>20</v>
      </c>
      <c r="AD1115" s="34">
        <f t="shared" si="518"/>
        <v>20</v>
      </c>
      <c r="AE1115" s="34">
        <f t="shared" si="518"/>
        <v>20</v>
      </c>
      <c r="AF1115" s="34">
        <f t="shared" si="518"/>
        <v>20</v>
      </c>
      <c r="AG1115" s="34">
        <f t="shared" si="518"/>
        <v>20</v>
      </c>
      <c r="AH1115" s="34">
        <f t="shared" si="518"/>
        <v>20</v>
      </c>
      <c r="AI1115" s="34">
        <f t="shared" si="518"/>
        <v>20</v>
      </c>
      <c r="AJ1115" s="34">
        <f t="shared" si="518"/>
        <v>20</v>
      </c>
      <c r="AK1115" s="34">
        <f t="shared" si="518"/>
        <v>20</v>
      </c>
      <c r="AL1115" s="34">
        <f t="shared" si="518"/>
        <v>20</v>
      </c>
      <c r="AM1115" s="34">
        <f t="shared" si="518"/>
        <v>20</v>
      </c>
      <c r="AN1115" s="34">
        <f t="shared" si="518"/>
        <v>20</v>
      </c>
      <c r="AO1115" s="34"/>
      <c r="AP1115" s="45">
        <f>AO1110</f>
        <v>20</v>
      </c>
      <c r="AQ1115" s="1"/>
    </row>
    <row r="1116" ht="15.0" customHeight="1">
      <c r="A1116" s="1"/>
      <c r="B1116" s="56"/>
      <c r="C1116" s="32" t="s">
        <v>378</v>
      </c>
      <c r="D1116" s="57" t="s">
        <v>272</v>
      </c>
      <c r="E1116" s="13"/>
      <c r="F1116" s="41" t="s">
        <v>23</v>
      </c>
      <c r="G1116" s="44"/>
      <c r="H1116" s="34" t="str">
        <f t="shared" ref="H1116:AO1116" si="519">G1121</f>
        <v/>
      </c>
      <c r="I1116" s="34">
        <f t="shared" si="519"/>
        <v>0</v>
      </c>
      <c r="J1116" s="34">
        <f t="shared" si="519"/>
        <v>0</v>
      </c>
      <c r="K1116" s="34">
        <f t="shared" si="519"/>
        <v>0</v>
      </c>
      <c r="L1116" s="34">
        <f t="shared" si="519"/>
        <v>0</v>
      </c>
      <c r="M1116" s="34">
        <f t="shared" si="519"/>
        <v>0</v>
      </c>
      <c r="N1116" s="34">
        <f t="shared" si="519"/>
        <v>0</v>
      </c>
      <c r="O1116" s="34">
        <f t="shared" si="519"/>
        <v>0</v>
      </c>
      <c r="P1116" s="34">
        <f t="shared" si="519"/>
        <v>0</v>
      </c>
      <c r="Q1116" s="34">
        <f t="shared" si="519"/>
        <v>0</v>
      </c>
      <c r="R1116" s="34">
        <f t="shared" si="519"/>
        <v>0</v>
      </c>
      <c r="S1116" s="34">
        <f t="shared" si="519"/>
        <v>0</v>
      </c>
      <c r="T1116" s="34">
        <f t="shared" si="519"/>
        <v>0</v>
      </c>
      <c r="U1116" s="34">
        <f t="shared" si="519"/>
        <v>0</v>
      </c>
      <c r="V1116" s="34">
        <f t="shared" si="519"/>
        <v>0</v>
      </c>
      <c r="W1116" s="34">
        <f t="shared" si="519"/>
        <v>0</v>
      </c>
      <c r="X1116" s="34">
        <f t="shared" si="519"/>
        <v>0</v>
      </c>
      <c r="Y1116" s="34">
        <f t="shared" si="519"/>
        <v>0</v>
      </c>
      <c r="Z1116" s="34">
        <f t="shared" si="519"/>
        <v>0</v>
      </c>
      <c r="AA1116" s="34">
        <f t="shared" si="519"/>
        <v>0</v>
      </c>
      <c r="AB1116" s="34">
        <f t="shared" si="519"/>
        <v>0</v>
      </c>
      <c r="AC1116" s="34">
        <f t="shared" si="519"/>
        <v>0</v>
      </c>
      <c r="AD1116" s="34">
        <f t="shared" si="519"/>
        <v>0</v>
      </c>
      <c r="AE1116" s="34">
        <f t="shared" si="519"/>
        <v>0</v>
      </c>
      <c r="AF1116" s="34">
        <f t="shared" si="519"/>
        <v>0</v>
      </c>
      <c r="AG1116" s="34">
        <f t="shared" si="519"/>
        <v>0</v>
      </c>
      <c r="AH1116" s="34">
        <f t="shared" si="519"/>
        <v>0</v>
      </c>
      <c r="AI1116" s="34">
        <f t="shared" si="519"/>
        <v>0</v>
      </c>
      <c r="AJ1116" s="34">
        <f t="shared" si="519"/>
        <v>0</v>
      </c>
      <c r="AK1116" s="34">
        <f t="shared" si="519"/>
        <v>0</v>
      </c>
      <c r="AL1116" s="34">
        <f t="shared" si="519"/>
        <v>0</v>
      </c>
      <c r="AM1116" s="34">
        <f t="shared" si="519"/>
        <v>0</v>
      </c>
      <c r="AN1116" s="34">
        <f t="shared" si="519"/>
        <v>0</v>
      </c>
      <c r="AO1116" s="34">
        <f t="shared" si="519"/>
        <v>0</v>
      </c>
      <c r="AP1116" s="54"/>
      <c r="AQ1116" s="1"/>
    </row>
    <row r="1117" ht="15.0" customHeight="1">
      <c r="A1117" s="1"/>
      <c r="B1117" s="58"/>
      <c r="C1117" s="35"/>
      <c r="D1117" s="35"/>
      <c r="E1117" s="33" t="s">
        <v>24</v>
      </c>
      <c r="F1117" s="59" t="s">
        <v>25</v>
      </c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8"/>
      <c r="T1117" s="37"/>
      <c r="U1117" s="38"/>
      <c r="V1117" s="37"/>
      <c r="W1117" s="37"/>
      <c r="X1117" s="37"/>
      <c r="Y1117" s="37"/>
      <c r="Z1117" s="37"/>
      <c r="AA1117" s="37"/>
      <c r="AB1117" s="37"/>
      <c r="AC1117" s="37"/>
      <c r="AD1117" s="38"/>
      <c r="AE1117" s="37"/>
      <c r="AF1117" s="37"/>
      <c r="AG1117" s="37"/>
      <c r="AH1117" s="37"/>
      <c r="AI1117" s="37"/>
      <c r="AJ1117" s="37"/>
      <c r="AK1117" s="37"/>
      <c r="AL1117" s="37"/>
      <c r="AM1117" s="37"/>
      <c r="AN1117" s="37"/>
      <c r="AO1117" s="37"/>
      <c r="AP1117" s="39">
        <f t="shared" ref="AP1117:AP1120" si="520">SUM(H1117:AO1117)</f>
        <v>0</v>
      </c>
      <c r="AQ1117" s="1"/>
    </row>
    <row r="1118" ht="15.0" customHeight="1">
      <c r="A1118" s="1"/>
      <c r="B1118" s="58"/>
      <c r="C1118" s="35"/>
      <c r="D1118" s="35"/>
      <c r="E1118" s="33"/>
      <c r="F1118" s="60" t="s">
        <v>26</v>
      </c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8"/>
      <c r="T1118" s="37"/>
      <c r="U1118" s="38"/>
      <c r="V1118" s="37"/>
      <c r="W1118" s="37"/>
      <c r="X1118" s="37"/>
      <c r="Y1118" s="37"/>
      <c r="Z1118" s="37"/>
      <c r="AA1118" s="37"/>
      <c r="AB1118" s="37"/>
      <c r="AC1118" s="37"/>
      <c r="AD1118" s="38"/>
      <c r="AE1118" s="37"/>
      <c r="AF1118" s="37"/>
      <c r="AG1118" s="37"/>
      <c r="AH1118" s="37"/>
      <c r="AI1118" s="37"/>
      <c r="AJ1118" s="37"/>
      <c r="AK1118" s="37"/>
      <c r="AL1118" s="37"/>
      <c r="AM1118" s="37"/>
      <c r="AN1118" s="37"/>
      <c r="AO1118" s="37"/>
      <c r="AP1118" s="39">
        <f t="shared" si="520"/>
        <v>0</v>
      </c>
      <c r="AQ1118" s="1"/>
    </row>
    <row r="1119" ht="15.0" customHeight="1">
      <c r="A1119" s="1"/>
      <c r="B1119" s="58"/>
      <c r="C1119" s="35"/>
      <c r="D1119" s="35"/>
      <c r="E1119" s="33" t="s">
        <v>27</v>
      </c>
      <c r="F1119" s="41" t="s">
        <v>28</v>
      </c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8"/>
      <c r="T1119" s="37"/>
      <c r="U1119" s="38"/>
      <c r="V1119" s="37"/>
      <c r="W1119" s="37"/>
      <c r="X1119" s="37"/>
      <c r="Y1119" s="37"/>
      <c r="Z1119" s="37"/>
      <c r="AA1119" s="37"/>
      <c r="AB1119" s="37"/>
      <c r="AC1119" s="37"/>
      <c r="AD1119" s="38"/>
      <c r="AE1119" s="37"/>
      <c r="AF1119" s="37"/>
      <c r="AG1119" s="37"/>
      <c r="AH1119" s="37"/>
      <c r="AI1119" s="37"/>
      <c r="AJ1119" s="37"/>
      <c r="AK1119" s="37"/>
      <c r="AL1119" s="37"/>
      <c r="AM1119" s="37"/>
      <c r="AN1119" s="37"/>
      <c r="AO1119" s="37"/>
      <c r="AP1119" s="39">
        <f t="shared" si="520"/>
        <v>0</v>
      </c>
      <c r="AQ1119" s="1"/>
    </row>
    <row r="1120" ht="15.0" customHeight="1">
      <c r="A1120" s="1"/>
      <c r="B1120" s="58"/>
      <c r="C1120" s="35"/>
      <c r="D1120" s="35"/>
      <c r="E1120" s="33"/>
      <c r="F1120" s="41" t="s">
        <v>29</v>
      </c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8"/>
      <c r="T1120" s="37"/>
      <c r="U1120" s="38"/>
      <c r="V1120" s="37"/>
      <c r="W1120" s="37"/>
      <c r="X1120" s="37"/>
      <c r="Y1120" s="37"/>
      <c r="Z1120" s="37"/>
      <c r="AA1120" s="37"/>
      <c r="AB1120" s="37"/>
      <c r="AC1120" s="37"/>
      <c r="AD1120" s="38"/>
      <c r="AE1120" s="37"/>
      <c r="AF1120" s="37"/>
      <c r="AG1120" s="37"/>
      <c r="AH1120" s="37"/>
      <c r="AI1120" s="37"/>
      <c r="AJ1120" s="37"/>
      <c r="AK1120" s="37"/>
      <c r="AL1120" s="37"/>
      <c r="AM1120" s="37"/>
      <c r="AN1120" s="37"/>
      <c r="AO1120" s="37"/>
      <c r="AP1120" s="39">
        <f t="shared" si="520"/>
        <v>0</v>
      </c>
      <c r="AQ1120" s="1"/>
    </row>
    <row r="1121" ht="15.0" customHeight="1">
      <c r="A1121" s="1"/>
      <c r="B1121" s="61"/>
      <c r="C1121" s="42"/>
      <c r="D1121" s="42"/>
      <c r="E1121" s="52"/>
      <c r="F1121" s="62" t="s">
        <v>30</v>
      </c>
      <c r="G1121" s="44"/>
      <c r="H1121" s="34">
        <f t="shared" ref="H1121:AN1121" si="521">H1116+H1117-H1118+H1119-H1120</f>
        <v>0</v>
      </c>
      <c r="I1121" s="34">
        <f t="shared" si="521"/>
        <v>0</v>
      </c>
      <c r="J1121" s="34">
        <f t="shared" si="521"/>
        <v>0</v>
      </c>
      <c r="K1121" s="34">
        <f t="shared" si="521"/>
        <v>0</v>
      </c>
      <c r="L1121" s="34">
        <f t="shared" si="521"/>
        <v>0</v>
      </c>
      <c r="M1121" s="34">
        <f t="shared" si="521"/>
        <v>0</v>
      </c>
      <c r="N1121" s="34">
        <f t="shared" si="521"/>
        <v>0</v>
      </c>
      <c r="O1121" s="34">
        <f t="shared" si="521"/>
        <v>0</v>
      </c>
      <c r="P1121" s="34">
        <f t="shared" si="521"/>
        <v>0</v>
      </c>
      <c r="Q1121" s="34">
        <f t="shared" si="521"/>
        <v>0</v>
      </c>
      <c r="R1121" s="34">
        <f t="shared" si="521"/>
        <v>0</v>
      </c>
      <c r="S1121" s="34">
        <f t="shared" si="521"/>
        <v>0</v>
      </c>
      <c r="T1121" s="34">
        <f t="shared" si="521"/>
        <v>0</v>
      </c>
      <c r="U1121" s="34">
        <f t="shared" si="521"/>
        <v>0</v>
      </c>
      <c r="V1121" s="34">
        <f t="shared" si="521"/>
        <v>0</v>
      </c>
      <c r="W1121" s="34">
        <f t="shared" si="521"/>
        <v>0</v>
      </c>
      <c r="X1121" s="34">
        <f t="shared" si="521"/>
        <v>0</v>
      </c>
      <c r="Y1121" s="34">
        <f t="shared" si="521"/>
        <v>0</v>
      </c>
      <c r="Z1121" s="34">
        <f t="shared" si="521"/>
        <v>0</v>
      </c>
      <c r="AA1121" s="34">
        <f t="shared" si="521"/>
        <v>0</v>
      </c>
      <c r="AB1121" s="34">
        <f t="shared" si="521"/>
        <v>0</v>
      </c>
      <c r="AC1121" s="34">
        <f t="shared" si="521"/>
        <v>0</v>
      </c>
      <c r="AD1121" s="34">
        <f t="shared" si="521"/>
        <v>0</v>
      </c>
      <c r="AE1121" s="34">
        <f t="shared" si="521"/>
        <v>0</v>
      </c>
      <c r="AF1121" s="34">
        <f t="shared" si="521"/>
        <v>0</v>
      </c>
      <c r="AG1121" s="34">
        <f t="shared" si="521"/>
        <v>0</v>
      </c>
      <c r="AH1121" s="34">
        <f t="shared" si="521"/>
        <v>0</v>
      </c>
      <c r="AI1121" s="34">
        <f t="shared" si="521"/>
        <v>0</v>
      </c>
      <c r="AJ1121" s="34">
        <f t="shared" si="521"/>
        <v>0</v>
      </c>
      <c r="AK1121" s="34">
        <f t="shared" si="521"/>
        <v>0</v>
      </c>
      <c r="AL1121" s="34">
        <f t="shared" si="521"/>
        <v>0</v>
      </c>
      <c r="AM1121" s="34">
        <f t="shared" si="521"/>
        <v>0</v>
      </c>
      <c r="AN1121" s="34">
        <f t="shared" si="521"/>
        <v>0</v>
      </c>
      <c r="AO1121" s="34"/>
      <c r="AP1121" s="45">
        <f>AO1116</f>
        <v>0</v>
      </c>
      <c r="AQ1121" s="1"/>
    </row>
    <row r="1122" ht="15.0" customHeight="1">
      <c r="A1122" s="1"/>
      <c r="B1122" s="56"/>
      <c r="C1122" s="32" t="s">
        <v>379</v>
      </c>
      <c r="D1122" s="57" t="s">
        <v>380</v>
      </c>
      <c r="E1122" s="13"/>
      <c r="F1122" s="41" t="s">
        <v>23</v>
      </c>
      <c r="G1122" s="44"/>
      <c r="H1122" s="34">
        <v>0.0</v>
      </c>
      <c r="I1122" s="34">
        <f t="shared" ref="I1122:AO1122" si="522">H1127</f>
        <v>0</v>
      </c>
      <c r="J1122" s="34">
        <f t="shared" si="522"/>
        <v>0</v>
      </c>
      <c r="K1122" s="34">
        <f t="shared" si="522"/>
        <v>0</v>
      </c>
      <c r="L1122" s="34">
        <f t="shared" si="522"/>
        <v>0</v>
      </c>
      <c r="M1122" s="34">
        <f t="shared" si="522"/>
        <v>54</v>
      </c>
      <c r="N1122" s="34">
        <f t="shared" si="522"/>
        <v>100</v>
      </c>
      <c r="O1122" s="34">
        <f t="shared" si="522"/>
        <v>0</v>
      </c>
      <c r="P1122" s="34">
        <f t="shared" si="522"/>
        <v>0</v>
      </c>
      <c r="Q1122" s="34">
        <f t="shared" si="522"/>
        <v>0</v>
      </c>
      <c r="R1122" s="34">
        <f t="shared" si="522"/>
        <v>0</v>
      </c>
      <c r="S1122" s="34">
        <f t="shared" si="522"/>
        <v>0</v>
      </c>
      <c r="T1122" s="34">
        <f t="shared" si="522"/>
        <v>0</v>
      </c>
      <c r="U1122" s="34">
        <f t="shared" si="522"/>
        <v>0</v>
      </c>
      <c r="V1122" s="34">
        <f t="shared" si="522"/>
        <v>0</v>
      </c>
      <c r="W1122" s="34">
        <f t="shared" si="522"/>
        <v>0</v>
      </c>
      <c r="X1122" s="34">
        <f t="shared" si="522"/>
        <v>0</v>
      </c>
      <c r="Y1122" s="34">
        <f t="shared" si="522"/>
        <v>0</v>
      </c>
      <c r="Z1122" s="34">
        <f t="shared" si="522"/>
        <v>0</v>
      </c>
      <c r="AA1122" s="34">
        <f t="shared" si="522"/>
        <v>0</v>
      </c>
      <c r="AB1122" s="34">
        <f t="shared" si="522"/>
        <v>0</v>
      </c>
      <c r="AC1122" s="34">
        <f t="shared" si="522"/>
        <v>0</v>
      </c>
      <c r="AD1122" s="34">
        <f t="shared" si="522"/>
        <v>0</v>
      </c>
      <c r="AE1122" s="34">
        <f t="shared" si="522"/>
        <v>0</v>
      </c>
      <c r="AF1122" s="34">
        <f t="shared" si="522"/>
        <v>0</v>
      </c>
      <c r="AG1122" s="34">
        <f t="shared" si="522"/>
        <v>0</v>
      </c>
      <c r="AH1122" s="34">
        <f t="shared" si="522"/>
        <v>0</v>
      </c>
      <c r="AI1122" s="34">
        <f t="shared" si="522"/>
        <v>0</v>
      </c>
      <c r="AJ1122" s="34">
        <f t="shared" si="522"/>
        <v>0</v>
      </c>
      <c r="AK1122" s="34">
        <f t="shared" si="522"/>
        <v>0</v>
      </c>
      <c r="AL1122" s="34">
        <f t="shared" si="522"/>
        <v>0</v>
      </c>
      <c r="AM1122" s="34">
        <f t="shared" si="522"/>
        <v>0</v>
      </c>
      <c r="AN1122" s="34">
        <f t="shared" si="522"/>
        <v>0</v>
      </c>
      <c r="AO1122" s="34">
        <f t="shared" si="522"/>
        <v>0</v>
      </c>
      <c r="AP1122" s="54"/>
      <c r="AQ1122" s="1"/>
    </row>
    <row r="1123" ht="15.0" customHeight="1">
      <c r="A1123" s="1"/>
      <c r="B1123" s="58"/>
      <c r="C1123" s="35"/>
      <c r="D1123" s="35"/>
      <c r="E1123" s="33" t="s">
        <v>24</v>
      </c>
      <c r="F1123" s="59" t="s">
        <v>25</v>
      </c>
      <c r="G1123" s="37"/>
      <c r="H1123" s="37"/>
      <c r="I1123" s="37"/>
      <c r="J1123" s="37"/>
      <c r="K1123" s="37"/>
      <c r="L1123" s="37">
        <v>54.0</v>
      </c>
      <c r="M1123" s="37">
        <v>46.0</v>
      </c>
      <c r="N1123" s="37"/>
      <c r="O1123" s="37"/>
      <c r="P1123" s="37"/>
      <c r="Q1123" s="37"/>
      <c r="R1123" s="37"/>
      <c r="S1123" s="38"/>
      <c r="T1123" s="37"/>
      <c r="U1123" s="38"/>
      <c r="V1123" s="37"/>
      <c r="W1123" s="37"/>
      <c r="X1123" s="37"/>
      <c r="Y1123" s="37"/>
      <c r="Z1123" s="37"/>
      <c r="AA1123" s="37"/>
      <c r="AB1123" s="37"/>
      <c r="AC1123" s="37"/>
      <c r="AD1123" s="38"/>
      <c r="AE1123" s="37"/>
      <c r="AF1123" s="37"/>
      <c r="AG1123" s="37"/>
      <c r="AH1123" s="37"/>
      <c r="AI1123" s="37"/>
      <c r="AJ1123" s="37"/>
      <c r="AK1123" s="37"/>
      <c r="AL1123" s="37"/>
      <c r="AM1123" s="37"/>
      <c r="AN1123" s="37"/>
      <c r="AO1123" s="37"/>
      <c r="AP1123" s="39">
        <f t="shared" ref="AP1123:AP1126" si="523">SUM(H1123:AO1123)</f>
        <v>100</v>
      </c>
      <c r="AQ1123" s="1"/>
    </row>
    <row r="1124" ht="15.0" customHeight="1">
      <c r="A1124" s="1"/>
      <c r="B1124" s="58"/>
      <c r="C1124" s="35"/>
      <c r="D1124" s="35"/>
      <c r="E1124" s="33"/>
      <c r="F1124" s="60" t="s">
        <v>26</v>
      </c>
      <c r="G1124" s="37"/>
      <c r="H1124" s="37"/>
      <c r="I1124" s="37"/>
      <c r="J1124" s="37"/>
      <c r="K1124" s="37"/>
      <c r="L1124" s="37"/>
      <c r="M1124" s="37"/>
      <c r="N1124" s="37">
        <v>100.0</v>
      </c>
      <c r="O1124" s="37"/>
      <c r="P1124" s="37"/>
      <c r="Q1124" s="37"/>
      <c r="R1124" s="37"/>
      <c r="S1124" s="38"/>
      <c r="T1124" s="37"/>
      <c r="U1124" s="38"/>
      <c r="V1124" s="37"/>
      <c r="W1124" s="37"/>
      <c r="X1124" s="37"/>
      <c r="Y1124" s="37"/>
      <c r="Z1124" s="37"/>
      <c r="AA1124" s="37"/>
      <c r="AB1124" s="37"/>
      <c r="AC1124" s="37"/>
      <c r="AD1124" s="38"/>
      <c r="AE1124" s="37"/>
      <c r="AF1124" s="37"/>
      <c r="AG1124" s="37"/>
      <c r="AH1124" s="37"/>
      <c r="AI1124" s="37"/>
      <c r="AJ1124" s="37"/>
      <c r="AK1124" s="37"/>
      <c r="AL1124" s="37"/>
      <c r="AM1124" s="37"/>
      <c r="AN1124" s="37"/>
      <c r="AO1124" s="37"/>
      <c r="AP1124" s="39">
        <f t="shared" si="523"/>
        <v>100</v>
      </c>
      <c r="AQ1124" s="1"/>
    </row>
    <row r="1125" ht="15.0" customHeight="1">
      <c r="A1125" s="1"/>
      <c r="B1125" s="58"/>
      <c r="C1125" s="35"/>
      <c r="D1125" s="35"/>
      <c r="E1125" s="33" t="s">
        <v>27</v>
      </c>
      <c r="F1125" s="41" t="s">
        <v>28</v>
      </c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8"/>
      <c r="T1125" s="37"/>
      <c r="U1125" s="38"/>
      <c r="V1125" s="37"/>
      <c r="W1125" s="37"/>
      <c r="X1125" s="37"/>
      <c r="Y1125" s="37"/>
      <c r="Z1125" s="37"/>
      <c r="AA1125" s="37"/>
      <c r="AB1125" s="37"/>
      <c r="AC1125" s="37"/>
      <c r="AD1125" s="38"/>
      <c r="AE1125" s="37"/>
      <c r="AF1125" s="37"/>
      <c r="AG1125" s="37"/>
      <c r="AH1125" s="37"/>
      <c r="AI1125" s="37"/>
      <c r="AJ1125" s="37"/>
      <c r="AK1125" s="37"/>
      <c r="AL1125" s="37"/>
      <c r="AM1125" s="37"/>
      <c r="AN1125" s="37"/>
      <c r="AO1125" s="37"/>
      <c r="AP1125" s="39">
        <f t="shared" si="523"/>
        <v>0</v>
      </c>
      <c r="AQ1125" s="1"/>
    </row>
    <row r="1126" ht="15.0" customHeight="1">
      <c r="A1126" s="1"/>
      <c r="B1126" s="58"/>
      <c r="C1126" s="35"/>
      <c r="D1126" s="35"/>
      <c r="E1126" s="33"/>
      <c r="F1126" s="41" t="s">
        <v>29</v>
      </c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8"/>
      <c r="T1126" s="37"/>
      <c r="U1126" s="38"/>
      <c r="V1126" s="37"/>
      <c r="W1126" s="37"/>
      <c r="X1126" s="37"/>
      <c r="Y1126" s="37"/>
      <c r="Z1126" s="37"/>
      <c r="AA1126" s="37"/>
      <c r="AB1126" s="37"/>
      <c r="AC1126" s="37"/>
      <c r="AD1126" s="38"/>
      <c r="AE1126" s="37"/>
      <c r="AF1126" s="37"/>
      <c r="AG1126" s="37"/>
      <c r="AH1126" s="37"/>
      <c r="AI1126" s="37"/>
      <c r="AJ1126" s="37"/>
      <c r="AK1126" s="37"/>
      <c r="AL1126" s="37"/>
      <c r="AM1126" s="37"/>
      <c r="AN1126" s="37"/>
      <c r="AO1126" s="37"/>
      <c r="AP1126" s="39">
        <f t="shared" si="523"/>
        <v>0</v>
      </c>
      <c r="AQ1126" s="1"/>
    </row>
    <row r="1127" ht="15.0" customHeight="1">
      <c r="A1127" s="1"/>
      <c r="B1127" s="61"/>
      <c r="C1127" s="42"/>
      <c r="D1127" s="42"/>
      <c r="E1127" s="52"/>
      <c r="F1127" s="62" t="s">
        <v>30</v>
      </c>
      <c r="G1127" s="44"/>
      <c r="H1127" s="34">
        <f t="shared" ref="H1127:AN1127" si="524">H1122+H1123-H1124+H1125-H1126</f>
        <v>0</v>
      </c>
      <c r="I1127" s="34">
        <f t="shared" si="524"/>
        <v>0</v>
      </c>
      <c r="J1127" s="34">
        <f t="shared" si="524"/>
        <v>0</v>
      </c>
      <c r="K1127" s="34">
        <f t="shared" si="524"/>
        <v>0</v>
      </c>
      <c r="L1127" s="34">
        <f t="shared" si="524"/>
        <v>54</v>
      </c>
      <c r="M1127" s="34">
        <f t="shared" si="524"/>
        <v>100</v>
      </c>
      <c r="N1127" s="34">
        <f t="shared" si="524"/>
        <v>0</v>
      </c>
      <c r="O1127" s="34">
        <f t="shared" si="524"/>
        <v>0</v>
      </c>
      <c r="P1127" s="34">
        <f t="shared" si="524"/>
        <v>0</v>
      </c>
      <c r="Q1127" s="34">
        <f t="shared" si="524"/>
        <v>0</v>
      </c>
      <c r="R1127" s="34">
        <f t="shared" si="524"/>
        <v>0</v>
      </c>
      <c r="S1127" s="34">
        <f t="shared" si="524"/>
        <v>0</v>
      </c>
      <c r="T1127" s="34">
        <f t="shared" si="524"/>
        <v>0</v>
      </c>
      <c r="U1127" s="34">
        <f t="shared" si="524"/>
        <v>0</v>
      </c>
      <c r="V1127" s="34">
        <f t="shared" si="524"/>
        <v>0</v>
      </c>
      <c r="W1127" s="34">
        <f t="shared" si="524"/>
        <v>0</v>
      </c>
      <c r="X1127" s="34">
        <f t="shared" si="524"/>
        <v>0</v>
      </c>
      <c r="Y1127" s="34">
        <f t="shared" si="524"/>
        <v>0</v>
      </c>
      <c r="Z1127" s="34">
        <f t="shared" si="524"/>
        <v>0</v>
      </c>
      <c r="AA1127" s="34">
        <f t="shared" si="524"/>
        <v>0</v>
      </c>
      <c r="AB1127" s="34">
        <f t="shared" si="524"/>
        <v>0</v>
      </c>
      <c r="AC1127" s="34">
        <f t="shared" si="524"/>
        <v>0</v>
      </c>
      <c r="AD1127" s="34">
        <f t="shared" si="524"/>
        <v>0</v>
      </c>
      <c r="AE1127" s="34">
        <f t="shared" si="524"/>
        <v>0</v>
      </c>
      <c r="AF1127" s="34">
        <f t="shared" si="524"/>
        <v>0</v>
      </c>
      <c r="AG1127" s="34">
        <f t="shared" si="524"/>
        <v>0</v>
      </c>
      <c r="AH1127" s="34">
        <f t="shared" si="524"/>
        <v>0</v>
      </c>
      <c r="AI1127" s="34">
        <f t="shared" si="524"/>
        <v>0</v>
      </c>
      <c r="AJ1127" s="34">
        <f t="shared" si="524"/>
        <v>0</v>
      </c>
      <c r="AK1127" s="34">
        <f t="shared" si="524"/>
        <v>0</v>
      </c>
      <c r="AL1127" s="34">
        <f t="shared" si="524"/>
        <v>0</v>
      </c>
      <c r="AM1127" s="34">
        <f t="shared" si="524"/>
        <v>0</v>
      </c>
      <c r="AN1127" s="34">
        <f t="shared" si="524"/>
        <v>0</v>
      </c>
      <c r="AO1127" s="34"/>
      <c r="AP1127" s="45">
        <f>AO1122</f>
        <v>0</v>
      </c>
      <c r="AQ1127" s="1"/>
    </row>
    <row r="1128" ht="15.0" customHeight="1">
      <c r="A1128" s="1"/>
      <c r="B1128" s="56"/>
      <c r="C1128" s="32" t="s">
        <v>381</v>
      </c>
      <c r="D1128" s="57" t="s">
        <v>88</v>
      </c>
      <c r="E1128" s="13"/>
      <c r="F1128" s="41" t="s">
        <v>23</v>
      </c>
      <c r="G1128" s="44"/>
      <c r="H1128" s="34" t="str">
        <f t="shared" ref="H1128:AO1128" si="525">G1133</f>
        <v/>
      </c>
      <c r="I1128" s="34">
        <f t="shared" si="525"/>
        <v>0</v>
      </c>
      <c r="J1128" s="34">
        <f t="shared" si="525"/>
        <v>0</v>
      </c>
      <c r="K1128" s="34">
        <f t="shared" si="525"/>
        <v>0</v>
      </c>
      <c r="L1128" s="34">
        <f t="shared" si="525"/>
        <v>0</v>
      </c>
      <c r="M1128" s="34">
        <f t="shared" si="525"/>
        <v>0</v>
      </c>
      <c r="N1128" s="34">
        <f t="shared" si="525"/>
        <v>0</v>
      </c>
      <c r="O1128" s="34">
        <f t="shared" si="525"/>
        <v>0</v>
      </c>
      <c r="P1128" s="34">
        <f t="shared" si="525"/>
        <v>0</v>
      </c>
      <c r="Q1128" s="34">
        <f t="shared" si="525"/>
        <v>0</v>
      </c>
      <c r="R1128" s="34">
        <f t="shared" si="525"/>
        <v>0</v>
      </c>
      <c r="S1128" s="34">
        <f t="shared" si="525"/>
        <v>0</v>
      </c>
      <c r="T1128" s="34">
        <f t="shared" si="525"/>
        <v>0</v>
      </c>
      <c r="U1128" s="34">
        <f t="shared" si="525"/>
        <v>0</v>
      </c>
      <c r="V1128" s="34">
        <f t="shared" si="525"/>
        <v>0</v>
      </c>
      <c r="W1128" s="34">
        <f t="shared" si="525"/>
        <v>0</v>
      </c>
      <c r="X1128" s="34">
        <f t="shared" si="525"/>
        <v>0</v>
      </c>
      <c r="Y1128" s="34">
        <f t="shared" si="525"/>
        <v>0</v>
      </c>
      <c r="Z1128" s="34">
        <f t="shared" si="525"/>
        <v>0</v>
      </c>
      <c r="AA1128" s="34">
        <f t="shared" si="525"/>
        <v>0</v>
      </c>
      <c r="AB1128" s="34">
        <f t="shared" si="525"/>
        <v>0</v>
      </c>
      <c r="AC1128" s="34">
        <f t="shared" si="525"/>
        <v>0</v>
      </c>
      <c r="AD1128" s="34">
        <f t="shared" si="525"/>
        <v>0</v>
      </c>
      <c r="AE1128" s="34">
        <f t="shared" si="525"/>
        <v>0</v>
      </c>
      <c r="AF1128" s="34">
        <f t="shared" si="525"/>
        <v>0</v>
      </c>
      <c r="AG1128" s="34">
        <f t="shared" si="525"/>
        <v>0</v>
      </c>
      <c r="AH1128" s="34">
        <f t="shared" si="525"/>
        <v>0</v>
      </c>
      <c r="AI1128" s="34">
        <f t="shared" si="525"/>
        <v>0</v>
      </c>
      <c r="AJ1128" s="34">
        <f t="shared" si="525"/>
        <v>0</v>
      </c>
      <c r="AK1128" s="34">
        <f t="shared" si="525"/>
        <v>0</v>
      </c>
      <c r="AL1128" s="34">
        <f t="shared" si="525"/>
        <v>0</v>
      </c>
      <c r="AM1128" s="34">
        <f t="shared" si="525"/>
        <v>0</v>
      </c>
      <c r="AN1128" s="34">
        <f t="shared" si="525"/>
        <v>0</v>
      </c>
      <c r="AO1128" s="34">
        <f t="shared" si="525"/>
        <v>0</v>
      </c>
      <c r="AP1128" s="54"/>
      <c r="AQ1128" s="1"/>
    </row>
    <row r="1129" ht="15.0" customHeight="1">
      <c r="A1129" s="1"/>
      <c r="B1129" s="58"/>
      <c r="C1129" s="35"/>
      <c r="D1129" s="35"/>
      <c r="E1129" s="33" t="s">
        <v>24</v>
      </c>
      <c r="F1129" s="59" t="s">
        <v>25</v>
      </c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8"/>
      <c r="T1129" s="37"/>
      <c r="U1129" s="38"/>
      <c r="V1129" s="37"/>
      <c r="W1129" s="37"/>
      <c r="X1129" s="37"/>
      <c r="Y1129" s="37"/>
      <c r="Z1129" s="37"/>
      <c r="AA1129" s="37"/>
      <c r="AB1129" s="37"/>
      <c r="AC1129" s="37"/>
      <c r="AD1129" s="38"/>
      <c r="AE1129" s="37"/>
      <c r="AF1129" s="37"/>
      <c r="AG1129" s="37"/>
      <c r="AH1129" s="37"/>
      <c r="AI1129" s="37"/>
      <c r="AJ1129" s="37"/>
      <c r="AK1129" s="37"/>
      <c r="AL1129" s="37"/>
      <c r="AM1129" s="37"/>
      <c r="AN1129" s="37"/>
      <c r="AO1129" s="37"/>
      <c r="AP1129" s="39">
        <f t="shared" ref="AP1129:AP1132" si="526">SUM(H1129:AO1129)</f>
        <v>0</v>
      </c>
      <c r="AQ1129" s="1"/>
    </row>
    <row r="1130" ht="15.0" customHeight="1">
      <c r="A1130" s="1"/>
      <c r="B1130" s="58"/>
      <c r="C1130" s="35"/>
      <c r="D1130" s="35"/>
      <c r="E1130" s="33"/>
      <c r="F1130" s="60" t="s">
        <v>26</v>
      </c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8"/>
      <c r="T1130" s="37"/>
      <c r="U1130" s="38"/>
      <c r="V1130" s="37"/>
      <c r="W1130" s="37"/>
      <c r="X1130" s="37"/>
      <c r="Y1130" s="37"/>
      <c r="Z1130" s="37"/>
      <c r="AA1130" s="37"/>
      <c r="AB1130" s="37"/>
      <c r="AC1130" s="37"/>
      <c r="AD1130" s="38"/>
      <c r="AE1130" s="37"/>
      <c r="AF1130" s="37"/>
      <c r="AG1130" s="37"/>
      <c r="AH1130" s="37"/>
      <c r="AI1130" s="37"/>
      <c r="AJ1130" s="37"/>
      <c r="AK1130" s="37"/>
      <c r="AL1130" s="37"/>
      <c r="AM1130" s="37"/>
      <c r="AN1130" s="37"/>
      <c r="AO1130" s="37"/>
      <c r="AP1130" s="39">
        <f t="shared" si="526"/>
        <v>0</v>
      </c>
      <c r="AQ1130" s="1"/>
    </row>
    <row r="1131" ht="15.0" customHeight="1">
      <c r="A1131" s="1"/>
      <c r="B1131" s="58"/>
      <c r="C1131" s="35"/>
      <c r="D1131" s="35"/>
      <c r="E1131" s="33" t="s">
        <v>27</v>
      </c>
      <c r="F1131" s="41" t="s">
        <v>28</v>
      </c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8"/>
      <c r="T1131" s="37"/>
      <c r="U1131" s="38"/>
      <c r="V1131" s="37"/>
      <c r="W1131" s="37"/>
      <c r="X1131" s="37"/>
      <c r="Y1131" s="37"/>
      <c r="Z1131" s="37"/>
      <c r="AA1131" s="37"/>
      <c r="AB1131" s="37"/>
      <c r="AC1131" s="37"/>
      <c r="AD1131" s="38"/>
      <c r="AE1131" s="37"/>
      <c r="AF1131" s="37"/>
      <c r="AG1131" s="37"/>
      <c r="AH1131" s="37"/>
      <c r="AI1131" s="37"/>
      <c r="AJ1131" s="37"/>
      <c r="AK1131" s="37"/>
      <c r="AL1131" s="37"/>
      <c r="AM1131" s="37"/>
      <c r="AN1131" s="37"/>
      <c r="AO1131" s="37"/>
      <c r="AP1131" s="39">
        <f t="shared" si="526"/>
        <v>0</v>
      </c>
      <c r="AQ1131" s="1"/>
    </row>
    <row r="1132" ht="15.0" customHeight="1">
      <c r="A1132" s="1"/>
      <c r="B1132" s="58"/>
      <c r="C1132" s="35"/>
      <c r="D1132" s="35"/>
      <c r="E1132" s="33"/>
      <c r="F1132" s="41" t="s">
        <v>29</v>
      </c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8"/>
      <c r="T1132" s="37"/>
      <c r="U1132" s="38"/>
      <c r="V1132" s="37"/>
      <c r="W1132" s="37"/>
      <c r="X1132" s="37"/>
      <c r="Y1132" s="37"/>
      <c r="Z1132" s="37"/>
      <c r="AA1132" s="37"/>
      <c r="AB1132" s="37"/>
      <c r="AC1132" s="37"/>
      <c r="AD1132" s="38"/>
      <c r="AE1132" s="37"/>
      <c r="AF1132" s="37"/>
      <c r="AG1132" s="37"/>
      <c r="AH1132" s="37"/>
      <c r="AI1132" s="37"/>
      <c r="AJ1132" s="37"/>
      <c r="AK1132" s="37"/>
      <c r="AL1132" s="37"/>
      <c r="AM1132" s="37"/>
      <c r="AN1132" s="37"/>
      <c r="AO1132" s="37"/>
      <c r="AP1132" s="39">
        <f t="shared" si="526"/>
        <v>0</v>
      </c>
      <c r="AQ1132" s="1"/>
    </row>
    <row r="1133" ht="15.0" customHeight="1">
      <c r="A1133" s="1"/>
      <c r="B1133" s="61"/>
      <c r="C1133" s="42"/>
      <c r="D1133" s="42"/>
      <c r="E1133" s="52"/>
      <c r="F1133" s="62" t="s">
        <v>30</v>
      </c>
      <c r="G1133" s="44"/>
      <c r="H1133" s="34">
        <f t="shared" ref="H1133:AN1133" si="527">H1128+H1129-H1130+H1131-H1132</f>
        <v>0</v>
      </c>
      <c r="I1133" s="34">
        <f t="shared" si="527"/>
        <v>0</v>
      </c>
      <c r="J1133" s="34">
        <f t="shared" si="527"/>
        <v>0</v>
      </c>
      <c r="K1133" s="34">
        <f t="shared" si="527"/>
        <v>0</v>
      </c>
      <c r="L1133" s="34">
        <f t="shared" si="527"/>
        <v>0</v>
      </c>
      <c r="M1133" s="34">
        <f t="shared" si="527"/>
        <v>0</v>
      </c>
      <c r="N1133" s="34">
        <f t="shared" si="527"/>
        <v>0</v>
      </c>
      <c r="O1133" s="34">
        <f t="shared" si="527"/>
        <v>0</v>
      </c>
      <c r="P1133" s="34">
        <f t="shared" si="527"/>
        <v>0</v>
      </c>
      <c r="Q1133" s="34">
        <f t="shared" si="527"/>
        <v>0</v>
      </c>
      <c r="R1133" s="34">
        <f t="shared" si="527"/>
        <v>0</v>
      </c>
      <c r="S1133" s="34">
        <f t="shared" si="527"/>
        <v>0</v>
      </c>
      <c r="T1133" s="34">
        <f t="shared" si="527"/>
        <v>0</v>
      </c>
      <c r="U1133" s="34">
        <f t="shared" si="527"/>
        <v>0</v>
      </c>
      <c r="V1133" s="34">
        <f t="shared" si="527"/>
        <v>0</v>
      </c>
      <c r="W1133" s="34">
        <f t="shared" si="527"/>
        <v>0</v>
      </c>
      <c r="X1133" s="34">
        <f t="shared" si="527"/>
        <v>0</v>
      </c>
      <c r="Y1133" s="34">
        <f t="shared" si="527"/>
        <v>0</v>
      </c>
      <c r="Z1133" s="34">
        <f t="shared" si="527"/>
        <v>0</v>
      </c>
      <c r="AA1133" s="34">
        <f t="shared" si="527"/>
        <v>0</v>
      </c>
      <c r="AB1133" s="34">
        <f t="shared" si="527"/>
        <v>0</v>
      </c>
      <c r="AC1133" s="34">
        <f t="shared" si="527"/>
        <v>0</v>
      </c>
      <c r="AD1133" s="34">
        <f t="shared" si="527"/>
        <v>0</v>
      </c>
      <c r="AE1133" s="34">
        <f t="shared" si="527"/>
        <v>0</v>
      </c>
      <c r="AF1133" s="34">
        <f t="shared" si="527"/>
        <v>0</v>
      </c>
      <c r="AG1133" s="34">
        <f t="shared" si="527"/>
        <v>0</v>
      </c>
      <c r="AH1133" s="34">
        <f t="shared" si="527"/>
        <v>0</v>
      </c>
      <c r="AI1133" s="34">
        <f t="shared" si="527"/>
        <v>0</v>
      </c>
      <c r="AJ1133" s="34">
        <f t="shared" si="527"/>
        <v>0</v>
      </c>
      <c r="AK1133" s="34">
        <f t="shared" si="527"/>
        <v>0</v>
      </c>
      <c r="AL1133" s="34">
        <f t="shared" si="527"/>
        <v>0</v>
      </c>
      <c r="AM1133" s="34">
        <f t="shared" si="527"/>
        <v>0</v>
      </c>
      <c r="AN1133" s="34">
        <f t="shared" si="527"/>
        <v>0</v>
      </c>
      <c r="AO1133" s="34"/>
      <c r="AP1133" s="45">
        <f>AO1128</f>
        <v>0</v>
      </c>
      <c r="AQ1133" s="1"/>
    </row>
    <row r="1134" ht="15.0" customHeight="1">
      <c r="A1134" s="1"/>
      <c r="B1134" s="56"/>
      <c r="C1134" s="32" t="s">
        <v>382</v>
      </c>
      <c r="D1134" s="57" t="s">
        <v>383</v>
      </c>
      <c r="E1134" s="13"/>
      <c r="F1134" s="41" t="s">
        <v>23</v>
      </c>
      <c r="G1134" s="44"/>
      <c r="H1134" s="34">
        <v>0.0</v>
      </c>
      <c r="I1134" s="34">
        <f t="shared" ref="I1134:AO1134" si="528">H1139</f>
        <v>0</v>
      </c>
      <c r="J1134" s="34">
        <f t="shared" si="528"/>
        <v>0</v>
      </c>
      <c r="K1134" s="34">
        <f t="shared" si="528"/>
        <v>0</v>
      </c>
      <c r="L1134" s="34">
        <f t="shared" si="528"/>
        <v>0</v>
      </c>
      <c r="M1134" s="34">
        <f t="shared" si="528"/>
        <v>0</v>
      </c>
      <c r="N1134" s="34">
        <f t="shared" si="528"/>
        <v>0</v>
      </c>
      <c r="O1134" s="34">
        <f t="shared" si="528"/>
        <v>0</v>
      </c>
      <c r="P1134" s="34">
        <f t="shared" si="528"/>
        <v>0</v>
      </c>
      <c r="Q1134" s="34">
        <f t="shared" si="528"/>
        <v>0</v>
      </c>
      <c r="R1134" s="34">
        <f t="shared" si="528"/>
        <v>0</v>
      </c>
      <c r="S1134" s="34">
        <f t="shared" si="528"/>
        <v>0</v>
      </c>
      <c r="T1134" s="34">
        <f t="shared" si="528"/>
        <v>0</v>
      </c>
      <c r="U1134" s="34">
        <f t="shared" si="528"/>
        <v>0</v>
      </c>
      <c r="V1134" s="34">
        <f t="shared" si="528"/>
        <v>0</v>
      </c>
      <c r="W1134" s="34">
        <f t="shared" si="528"/>
        <v>0</v>
      </c>
      <c r="X1134" s="34">
        <f t="shared" si="528"/>
        <v>0</v>
      </c>
      <c r="Y1134" s="34">
        <f t="shared" si="528"/>
        <v>0</v>
      </c>
      <c r="Z1134" s="34">
        <f t="shared" si="528"/>
        <v>0</v>
      </c>
      <c r="AA1134" s="34">
        <f t="shared" si="528"/>
        <v>0</v>
      </c>
      <c r="AB1134" s="34">
        <f t="shared" si="528"/>
        <v>0</v>
      </c>
      <c r="AC1134" s="34">
        <f t="shared" si="528"/>
        <v>0</v>
      </c>
      <c r="AD1134" s="34">
        <f t="shared" si="528"/>
        <v>0</v>
      </c>
      <c r="AE1134" s="34">
        <f t="shared" si="528"/>
        <v>0</v>
      </c>
      <c r="AF1134" s="34">
        <f t="shared" si="528"/>
        <v>0</v>
      </c>
      <c r="AG1134" s="34">
        <f t="shared" si="528"/>
        <v>0</v>
      </c>
      <c r="AH1134" s="34">
        <f t="shared" si="528"/>
        <v>0</v>
      </c>
      <c r="AI1134" s="34">
        <f t="shared" si="528"/>
        <v>0</v>
      </c>
      <c r="AJ1134" s="34">
        <f t="shared" si="528"/>
        <v>0</v>
      </c>
      <c r="AK1134" s="34">
        <f t="shared" si="528"/>
        <v>0</v>
      </c>
      <c r="AL1134" s="34">
        <f t="shared" si="528"/>
        <v>0</v>
      </c>
      <c r="AM1134" s="34">
        <f t="shared" si="528"/>
        <v>0</v>
      </c>
      <c r="AN1134" s="34">
        <f t="shared" si="528"/>
        <v>0</v>
      </c>
      <c r="AO1134" s="34">
        <f t="shared" si="528"/>
        <v>0</v>
      </c>
      <c r="AP1134" s="54"/>
      <c r="AQ1134" s="1"/>
    </row>
    <row r="1135" ht="15.0" customHeight="1">
      <c r="A1135" s="1"/>
      <c r="B1135" s="58"/>
      <c r="C1135" s="35"/>
      <c r="D1135" s="35"/>
      <c r="E1135" s="33" t="s">
        <v>24</v>
      </c>
      <c r="F1135" s="59" t="s">
        <v>25</v>
      </c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8"/>
      <c r="T1135" s="37"/>
      <c r="U1135" s="38"/>
      <c r="V1135" s="37"/>
      <c r="W1135" s="37"/>
      <c r="X1135" s="37"/>
      <c r="Y1135" s="37"/>
      <c r="Z1135" s="37"/>
      <c r="AA1135" s="37"/>
      <c r="AB1135" s="37"/>
      <c r="AC1135" s="37"/>
      <c r="AD1135" s="38"/>
      <c r="AE1135" s="37"/>
      <c r="AF1135" s="37"/>
      <c r="AG1135" s="37"/>
      <c r="AH1135" s="37"/>
      <c r="AI1135" s="37"/>
      <c r="AJ1135" s="37"/>
      <c r="AK1135" s="37"/>
      <c r="AL1135" s="37"/>
      <c r="AM1135" s="37"/>
      <c r="AN1135" s="37"/>
      <c r="AO1135" s="37"/>
      <c r="AP1135" s="39">
        <f t="shared" ref="AP1135:AP1138" si="529">SUM(H1135:AO1135)</f>
        <v>0</v>
      </c>
      <c r="AQ1135" s="1"/>
    </row>
    <row r="1136" ht="15.0" customHeight="1">
      <c r="A1136" s="1"/>
      <c r="B1136" s="58"/>
      <c r="C1136" s="35"/>
      <c r="D1136" s="35"/>
      <c r="E1136" s="33"/>
      <c r="F1136" s="60" t="s">
        <v>26</v>
      </c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8"/>
      <c r="T1136" s="37"/>
      <c r="U1136" s="38"/>
      <c r="V1136" s="37"/>
      <c r="W1136" s="37"/>
      <c r="X1136" s="37"/>
      <c r="Y1136" s="37"/>
      <c r="Z1136" s="37"/>
      <c r="AA1136" s="37"/>
      <c r="AB1136" s="37"/>
      <c r="AC1136" s="37"/>
      <c r="AD1136" s="38"/>
      <c r="AE1136" s="37"/>
      <c r="AF1136" s="37"/>
      <c r="AG1136" s="37"/>
      <c r="AH1136" s="37"/>
      <c r="AI1136" s="37"/>
      <c r="AJ1136" s="37"/>
      <c r="AK1136" s="37"/>
      <c r="AL1136" s="37"/>
      <c r="AM1136" s="37"/>
      <c r="AN1136" s="37"/>
      <c r="AO1136" s="37"/>
      <c r="AP1136" s="39">
        <f t="shared" si="529"/>
        <v>0</v>
      </c>
      <c r="AQ1136" s="1"/>
    </row>
    <row r="1137" ht="15.75" customHeight="1">
      <c r="A1137" s="1"/>
      <c r="B1137" s="58"/>
      <c r="C1137" s="35"/>
      <c r="D1137" s="35"/>
      <c r="E1137" s="33" t="s">
        <v>27</v>
      </c>
      <c r="F1137" s="41" t="s">
        <v>28</v>
      </c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8"/>
      <c r="T1137" s="37"/>
      <c r="U1137" s="38"/>
      <c r="V1137" s="37"/>
      <c r="W1137" s="37"/>
      <c r="X1137" s="37"/>
      <c r="Y1137" s="37"/>
      <c r="Z1137" s="37"/>
      <c r="AA1137" s="37"/>
      <c r="AB1137" s="37"/>
      <c r="AC1137" s="37"/>
      <c r="AD1137" s="38"/>
      <c r="AE1137" s="37"/>
      <c r="AF1137" s="37"/>
      <c r="AG1137" s="37"/>
      <c r="AH1137" s="37"/>
      <c r="AI1137" s="37"/>
      <c r="AJ1137" s="37"/>
      <c r="AK1137" s="37"/>
      <c r="AL1137" s="37"/>
      <c r="AM1137" s="37"/>
      <c r="AN1137" s="37"/>
      <c r="AO1137" s="37"/>
      <c r="AP1137" s="39">
        <f t="shared" si="529"/>
        <v>0</v>
      </c>
      <c r="AQ1137" s="1"/>
    </row>
    <row r="1138" ht="15.75" customHeight="1">
      <c r="A1138" s="1"/>
      <c r="B1138" s="58"/>
      <c r="C1138" s="35"/>
      <c r="D1138" s="35"/>
      <c r="E1138" s="33"/>
      <c r="F1138" s="41" t="s">
        <v>29</v>
      </c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8"/>
      <c r="T1138" s="37"/>
      <c r="U1138" s="38"/>
      <c r="V1138" s="37"/>
      <c r="W1138" s="37"/>
      <c r="X1138" s="37"/>
      <c r="Y1138" s="37"/>
      <c r="Z1138" s="37"/>
      <c r="AA1138" s="37"/>
      <c r="AB1138" s="37"/>
      <c r="AC1138" s="37"/>
      <c r="AD1138" s="38"/>
      <c r="AE1138" s="37"/>
      <c r="AF1138" s="37"/>
      <c r="AG1138" s="37"/>
      <c r="AH1138" s="37"/>
      <c r="AI1138" s="37"/>
      <c r="AJ1138" s="37"/>
      <c r="AK1138" s="37"/>
      <c r="AL1138" s="37"/>
      <c r="AM1138" s="37"/>
      <c r="AN1138" s="37"/>
      <c r="AO1138" s="37"/>
      <c r="AP1138" s="39">
        <f t="shared" si="529"/>
        <v>0</v>
      </c>
      <c r="AQ1138" s="1"/>
    </row>
    <row r="1139" ht="15.75" customHeight="1">
      <c r="A1139" s="1"/>
      <c r="B1139" s="61"/>
      <c r="C1139" s="42"/>
      <c r="D1139" s="42"/>
      <c r="E1139" s="52"/>
      <c r="F1139" s="62" t="s">
        <v>30</v>
      </c>
      <c r="G1139" s="44"/>
      <c r="H1139" s="34">
        <f t="shared" ref="H1139:AN1139" si="530">H1134+H1135-H1136+H1137-H1138</f>
        <v>0</v>
      </c>
      <c r="I1139" s="34">
        <f t="shared" si="530"/>
        <v>0</v>
      </c>
      <c r="J1139" s="34">
        <f t="shared" si="530"/>
        <v>0</v>
      </c>
      <c r="K1139" s="34">
        <f t="shared" si="530"/>
        <v>0</v>
      </c>
      <c r="L1139" s="34">
        <f t="shared" si="530"/>
        <v>0</v>
      </c>
      <c r="M1139" s="34">
        <f t="shared" si="530"/>
        <v>0</v>
      </c>
      <c r="N1139" s="34">
        <f t="shared" si="530"/>
        <v>0</v>
      </c>
      <c r="O1139" s="34">
        <f t="shared" si="530"/>
        <v>0</v>
      </c>
      <c r="P1139" s="34">
        <f t="shared" si="530"/>
        <v>0</v>
      </c>
      <c r="Q1139" s="34">
        <f t="shared" si="530"/>
        <v>0</v>
      </c>
      <c r="R1139" s="34">
        <f t="shared" si="530"/>
        <v>0</v>
      </c>
      <c r="S1139" s="34">
        <f t="shared" si="530"/>
        <v>0</v>
      </c>
      <c r="T1139" s="34">
        <f t="shared" si="530"/>
        <v>0</v>
      </c>
      <c r="U1139" s="34">
        <f t="shared" si="530"/>
        <v>0</v>
      </c>
      <c r="V1139" s="34">
        <f t="shared" si="530"/>
        <v>0</v>
      </c>
      <c r="W1139" s="34">
        <f t="shared" si="530"/>
        <v>0</v>
      </c>
      <c r="X1139" s="34">
        <f t="shared" si="530"/>
        <v>0</v>
      </c>
      <c r="Y1139" s="34">
        <f t="shared" si="530"/>
        <v>0</v>
      </c>
      <c r="Z1139" s="34">
        <f t="shared" si="530"/>
        <v>0</v>
      </c>
      <c r="AA1139" s="34">
        <f t="shared" si="530"/>
        <v>0</v>
      </c>
      <c r="AB1139" s="34">
        <f t="shared" si="530"/>
        <v>0</v>
      </c>
      <c r="AC1139" s="34">
        <f t="shared" si="530"/>
        <v>0</v>
      </c>
      <c r="AD1139" s="34">
        <f t="shared" si="530"/>
        <v>0</v>
      </c>
      <c r="AE1139" s="34">
        <f t="shared" si="530"/>
        <v>0</v>
      </c>
      <c r="AF1139" s="34">
        <f t="shared" si="530"/>
        <v>0</v>
      </c>
      <c r="AG1139" s="34">
        <f t="shared" si="530"/>
        <v>0</v>
      </c>
      <c r="AH1139" s="34">
        <f t="shared" si="530"/>
        <v>0</v>
      </c>
      <c r="AI1139" s="34">
        <f t="shared" si="530"/>
        <v>0</v>
      </c>
      <c r="AJ1139" s="34">
        <f t="shared" si="530"/>
        <v>0</v>
      </c>
      <c r="AK1139" s="34">
        <f t="shared" si="530"/>
        <v>0</v>
      </c>
      <c r="AL1139" s="34">
        <f t="shared" si="530"/>
        <v>0</v>
      </c>
      <c r="AM1139" s="34">
        <f t="shared" si="530"/>
        <v>0</v>
      </c>
      <c r="AN1139" s="34">
        <f t="shared" si="530"/>
        <v>0</v>
      </c>
      <c r="AO1139" s="34"/>
      <c r="AP1139" s="45">
        <f>AO1134</f>
        <v>0</v>
      </c>
      <c r="AQ1139" s="1"/>
    </row>
    <row r="1140" ht="15.75" customHeight="1">
      <c r="A1140" s="1"/>
      <c r="B1140" s="56"/>
      <c r="C1140" s="32" t="s">
        <v>384</v>
      </c>
      <c r="D1140" s="57"/>
      <c r="E1140" s="13"/>
      <c r="F1140" s="41" t="s">
        <v>23</v>
      </c>
      <c r="G1140" s="44"/>
      <c r="H1140" s="34">
        <v>16.0</v>
      </c>
      <c r="I1140" s="34">
        <f t="shared" ref="I1140:AO1140" si="531">H1145</f>
        <v>16</v>
      </c>
      <c r="J1140" s="34">
        <f t="shared" si="531"/>
        <v>16</v>
      </c>
      <c r="K1140" s="34">
        <f t="shared" si="531"/>
        <v>16</v>
      </c>
      <c r="L1140" s="34">
        <f t="shared" si="531"/>
        <v>16</v>
      </c>
      <c r="M1140" s="34">
        <f t="shared" si="531"/>
        <v>1</v>
      </c>
      <c r="N1140" s="34">
        <f t="shared" si="531"/>
        <v>1</v>
      </c>
      <c r="O1140" s="34">
        <f t="shared" si="531"/>
        <v>1</v>
      </c>
      <c r="P1140" s="34">
        <f t="shared" si="531"/>
        <v>37</v>
      </c>
      <c r="Q1140" s="34">
        <f t="shared" si="531"/>
        <v>0</v>
      </c>
      <c r="R1140" s="34">
        <f t="shared" si="531"/>
        <v>0</v>
      </c>
      <c r="S1140" s="34">
        <f t="shared" si="531"/>
        <v>0</v>
      </c>
      <c r="T1140" s="34">
        <f t="shared" si="531"/>
        <v>0</v>
      </c>
      <c r="U1140" s="34">
        <f t="shared" si="531"/>
        <v>0</v>
      </c>
      <c r="V1140" s="34">
        <f t="shared" si="531"/>
        <v>0</v>
      </c>
      <c r="W1140" s="34">
        <f t="shared" si="531"/>
        <v>0</v>
      </c>
      <c r="X1140" s="34">
        <f t="shared" si="531"/>
        <v>0</v>
      </c>
      <c r="Y1140" s="34">
        <f t="shared" si="531"/>
        <v>0</v>
      </c>
      <c r="Z1140" s="34">
        <f t="shared" si="531"/>
        <v>0</v>
      </c>
      <c r="AA1140" s="34">
        <f t="shared" si="531"/>
        <v>0</v>
      </c>
      <c r="AB1140" s="34">
        <f t="shared" si="531"/>
        <v>0</v>
      </c>
      <c r="AC1140" s="34">
        <f t="shared" si="531"/>
        <v>0</v>
      </c>
      <c r="AD1140" s="34">
        <f t="shared" si="531"/>
        <v>0</v>
      </c>
      <c r="AE1140" s="34">
        <f t="shared" si="531"/>
        <v>0</v>
      </c>
      <c r="AF1140" s="34">
        <f t="shared" si="531"/>
        <v>0</v>
      </c>
      <c r="AG1140" s="34">
        <f t="shared" si="531"/>
        <v>0</v>
      </c>
      <c r="AH1140" s="34">
        <f t="shared" si="531"/>
        <v>0</v>
      </c>
      <c r="AI1140" s="34">
        <f t="shared" si="531"/>
        <v>0</v>
      </c>
      <c r="AJ1140" s="34">
        <f t="shared" si="531"/>
        <v>0</v>
      </c>
      <c r="AK1140" s="34">
        <f t="shared" si="531"/>
        <v>0</v>
      </c>
      <c r="AL1140" s="34">
        <f t="shared" si="531"/>
        <v>0</v>
      </c>
      <c r="AM1140" s="34">
        <f t="shared" si="531"/>
        <v>0</v>
      </c>
      <c r="AN1140" s="34">
        <f t="shared" si="531"/>
        <v>0</v>
      </c>
      <c r="AO1140" s="34">
        <f t="shared" si="531"/>
        <v>0</v>
      </c>
      <c r="AP1140" s="54"/>
      <c r="AQ1140" s="1"/>
    </row>
    <row r="1141" ht="15.75" customHeight="1">
      <c r="A1141" s="1"/>
      <c r="B1141" s="58"/>
      <c r="C1141" s="35"/>
      <c r="D1141" s="35"/>
      <c r="E1141" s="33" t="s">
        <v>24</v>
      </c>
      <c r="F1141" s="59" t="s">
        <v>25</v>
      </c>
      <c r="G1141" s="37"/>
      <c r="H1141" s="37"/>
      <c r="I1141" s="37"/>
      <c r="J1141" s="37"/>
      <c r="K1141" s="37"/>
      <c r="L1141" s="37"/>
      <c r="M1141" s="37"/>
      <c r="N1141" s="37"/>
      <c r="O1141" s="37">
        <v>36.0</v>
      </c>
      <c r="P1141" s="37"/>
      <c r="Q1141" s="37"/>
      <c r="R1141" s="37"/>
      <c r="S1141" s="38"/>
      <c r="T1141" s="37"/>
      <c r="U1141" s="38"/>
      <c r="V1141" s="37"/>
      <c r="W1141" s="37"/>
      <c r="X1141" s="37">
        <v>15.0</v>
      </c>
      <c r="Y1141" s="37"/>
      <c r="Z1141" s="37"/>
      <c r="AA1141" s="37"/>
      <c r="AB1141" s="37"/>
      <c r="AC1141" s="37"/>
      <c r="AD1141" s="38"/>
      <c r="AE1141" s="37"/>
      <c r="AF1141" s="37"/>
      <c r="AG1141" s="37"/>
      <c r="AH1141" s="37"/>
      <c r="AI1141" s="37"/>
      <c r="AJ1141" s="37"/>
      <c r="AK1141" s="37"/>
      <c r="AL1141" s="37"/>
      <c r="AM1141" s="37"/>
      <c r="AN1141" s="37"/>
      <c r="AO1141" s="37"/>
      <c r="AP1141" s="39">
        <f t="shared" ref="AP1141:AP1144" si="532">SUM(H1141:AO1141)</f>
        <v>51</v>
      </c>
      <c r="AQ1141" s="1"/>
    </row>
    <row r="1142" ht="15.75" customHeight="1">
      <c r="A1142" s="1"/>
      <c r="B1142" s="58"/>
      <c r="C1142" s="35"/>
      <c r="D1142" s="35"/>
      <c r="E1142" s="33"/>
      <c r="F1142" s="60" t="s">
        <v>26</v>
      </c>
      <c r="G1142" s="37"/>
      <c r="H1142" s="37"/>
      <c r="I1142" s="37"/>
      <c r="J1142" s="37"/>
      <c r="K1142" s="37"/>
      <c r="L1142" s="37">
        <v>15.0</v>
      </c>
      <c r="M1142" s="37"/>
      <c r="N1142" s="37"/>
      <c r="O1142" s="37"/>
      <c r="P1142" s="37">
        <v>37.0</v>
      </c>
      <c r="Q1142" s="37"/>
      <c r="R1142" s="37"/>
      <c r="S1142" s="38"/>
      <c r="T1142" s="37"/>
      <c r="U1142" s="38"/>
      <c r="V1142" s="37"/>
      <c r="W1142" s="37"/>
      <c r="X1142" s="37">
        <v>15.0</v>
      </c>
      <c r="Y1142" s="37"/>
      <c r="Z1142" s="37"/>
      <c r="AA1142" s="37"/>
      <c r="AB1142" s="37"/>
      <c r="AC1142" s="37"/>
      <c r="AD1142" s="38"/>
      <c r="AE1142" s="37"/>
      <c r="AF1142" s="37"/>
      <c r="AG1142" s="37"/>
      <c r="AH1142" s="37"/>
      <c r="AI1142" s="37"/>
      <c r="AJ1142" s="37"/>
      <c r="AK1142" s="37"/>
      <c r="AL1142" s="37"/>
      <c r="AM1142" s="37"/>
      <c r="AN1142" s="37"/>
      <c r="AO1142" s="37"/>
      <c r="AP1142" s="39">
        <f t="shared" si="532"/>
        <v>67</v>
      </c>
      <c r="AQ1142" s="1"/>
    </row>
    <row r="1143" ht="15.75" customHeight="1">
      <c r="A1143" s="1"/>
      <c r="B1143" s="58"/>
      <c r="C1143" s="35"/>
      <c r="D1143" s="35"/>
      <c r="E1143" s="33" t="s">
        <v>27</v>
      </c>
      <c r="F1143" s="41" t="s">
        <v>28</v>
      </c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8"/>
      <c r="T1143" s="37"/>
      <c r="U1143" s="38"/>
      <c r="V1143" s="37"/>
      <c r="W1143" s="37"/>
      <c r="X1143" s="37"/>
      <c r="Y1143" s="37"/>
      <c r="Z1143" s="37"/>
      <c r="AA1143" s="37"/>
      <c r="AB1143" s="37"/>
      <c r="AC1143" s="37"/>
      <c r="AD1143" s="38"/>
      <c r="AE1143" s="37"/>
      <c r="AF1143" s="37"/>
      <c r="AG1143" s="37"/>
      <c r="AH1143" s="37"/>
      <c r="AI1143" s="37"/>
      <c r="AJ1143" s="37"/>
      <c r="AK1143" s="37"/>
      <c r="AL1143" s="37"/>
      <c r="AM1143" s="37"/>
      <c r="AN1143" s="37"/>
      <c r="AO1143" s="37"/>
      <c r="AP1143" s="39">
        <f t="shared" si="532"/>
        <v>0</v>
      </c>
      <c r="AQ1143" s="1"/>
    </row>
    <row r="1144" ht="15.75" customHeight="1">
      <c r="A1144" s="1"/>
      <c r="B1144" s="58"/>
      <c r="C1144" s="35"/>
      <c r="D1144" s="35"/>
      <c r="E1144" s="33"/>
      <c r="F1144" s="41" t="s">
        <v>29</v>
      </c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8"/>
      <c r="T1144" s="37"/>
      <c r="U1144" s="38"/>
      <c r="V1144" s="37"/>
      <c r="W1144" s="37"/>
      <c r="X1144" s="37"/>
      <c r="Y1144" s="37"/>
      <c r="Z1144" s="37"/>
      <c r="AA1144" s="37"/>
      <c r="AB1144" s="37"/>
      <c r="AC1144" s="37"/>
      <c r="AD1144" s="38"/>
      <c r="AE1144" s="37"/>
      <c r="AF1144" s="37"/>
      <c r="AG1144" s="37"/>
      <c r="AH1144" s="37"/>
      <c r="AI1144" s="37"/>
      <c r="AJ1144" s="37"/>
      <c r="AK1144" s="37"/>
      <c r="AL1144" s="37"/>
      <c r="AM1144" s="37"/>
      <c r="AN1144" s="37"/>
      <c r="AO1144" s="37"/>
      <c r="AP1144" s="39">
        <f t="shared" si="532"/>
        <v>0</v>
      </c>
      <c r="AQ1144" s="1"/>
    </row>
    <row r="1145" ht="15.75" customHeight="1">
      <c r="A1145" s="1"/>
      <c r="B1145" s="61"/>
      <c r="C1145" s="42"/>
      <c r="D1145" s="42"/>
      <c r="E1145" s="52"/>
      <c r="F1145" s="62" t="s">
        <v>30</v>
      </c>
      <c r="G1145" s="44"/>
      <c r="H1145" s="34">
        <f t="shared" ref="H1145:AN1145" si="533">H1140+H1141-H1142+H1143-H1144</f>
        <v>16</v>
      </c>
      <c r="I1145" s="34">
        <f t="shared" si="533"/>
        <v>16</v>
      </c>
      <c r="J1145" s="34">
        <f t="shared" si="533"/>
        <v>16</v>
      </c>
      <c r="K1145" s="34">
        <f t="shared" si="533"/>
        <v>16</v>
      </c>
      <c r="L1145" s="34">
        <f t="shared" si="533"/>
        <v>1</v>
      </c>
      <c r="M1145" s="34">
        <f t="shared" si="533"/>
        <v>1</v>
      </c>
      <c r="N1145" s="34">
        <f t="shared" si="533"/>
        <v>1</v>
      </c>
      <c r="O1145" s="34">
        <f t="shared" si="533"/>
        <v>37</v>
      </c>
      <c r="P1145" s="34">
        <f t="shared" si="533"/>
        <v>0</v>
      </c>
      <c r="Q1145" s="34">
        <f t="shared" si="533"/>
        <v>0</v>
      </c>
      <c r="R1145" s="34">
        <f t="shared" si="533"/>
        <v>0</v>
      </c>
      <c r="S1145" s="34">
        <f t="shared" si="533"/>
        <v>0</v>
      </c>
      <c r="T1145" s="34">
        <f t="shared" si="533"/>
        <v>0</v>
      </c>
      <c r="U1145" s="34">
        <f t="shared" si="533"/>
        <v>0</v>
      </c>
      <c r="V1145" s="34">
        <f t="shared" si="533"/>
        <v>0</v>
      </c>
      <c r="W1145" s="34">
        <f t="shared" si="533"/>
        <v>0</v>
      </c>
      <c r="X1145" s="34">
        <f t="shared" si="533"/>
        <v>0</v>
      </c>
      <c r="Y1145" s="34">
        <f t="shared" si="533"/>
        <v>0</v>
      </c>
      <c r="Z1145" s="34">
        <f t="shared" si="533"/>
        <v>0</v>
      </c>
      <c r="AA1145" s="34">
        <f t="shared" si="533"/>
        <v>0</v>
      </c>
      <c r="AB1145" s="34">
        <f t="shared" si="533"/>
        <v>0</v>
      </c>
      <c r="AC1145" s="34">
        <f t="shared" si="533"/>
        <v>0</v>
      </c>
      <c r="AD1145" s="34">
        <f t="shared" si="533"/>
        <v>0</v>
      </c>
      <c r="AE1145" s="34">
        <f t="shared" si="533"/>
        <v>0</v>
      </c>
      <c r="AF1145" s="34">
        <f t="shared" si="533"/>
        <v>0</v>
      </c>
      <c r="AG1145" s="34">
        <f t="shared" si="533"/>
        <v>0</v>
      </c>
      <c r="AH1145" s="34">
        <f t="shared" si="533"/>
        <v>0</v>
      </c>
      <c r="AI1145" s="34">
        <f t="shared" si="533"/>
        <v>0</v>
      </c>
      <c r="AJ1145" s="34">
        <f t="shared" si="533"/>
        <v>0</v>
      </c>
      <c r="AK1145" s="34">
        <f t="shared" si="533"/>
        <v>0</v>
      </c>
      <c r="AL1145" s="34">
        <f t="shared" si="533"/>
        <v>0</v>
      </c>
      <c r="AM1145" s="34">
        <f t="shared" si="533"/>
        <v>0</v>
      </c>
      <c r="AN1145" s="34">
        <f t="shared" si="533"/>
        <v>0</v>
      </c>
      <c r="AO1145" s="34"/>
      <c r="AP1145" s="45">
        <f>AO1140</f>
        <v>0</v>
      </c>
      <c r="AQ1145" s="1"/>
    </row>
    <row r="1146" ht="15.0" customHeight="1">
      <c r="A1146" s="1"/>
      <c r="B1146" s="100" t="s">
        <v>11</v>
      </c>
      <c r="C1146" s="101"/>
      <c r="D1146" s="69"/>
      <c r="E1146" s="69"/>
      <c r="F1146" s="100" t="s">
        <v>385</v>
      </c>
      <c r="G1146" s="102"/>
      <c r="H1146" s="102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1"/>
    </row>
    <row r="1147" ht="15.0" customHeight="1">
      <c r="A1147" s="1"/>
      <c r="B1147" s="100"/>
      <c r="C1147" s="100"/>
      <c r="D1147" s="100"/>
      <c r="E1147" s="100"/>
      <c r="F1147" s="100" t="s">
        <v>386</v>
      </c>
      <c r="G1147" s="100"/>
      <c r="H1147" s="100">
        <f t="shared" ref="H1147:AL1147" si="534">SUMIF($F$48:$F$1145,"K",H48:H1145)</f>
        <v>0</v>
      </c>
      <c r="I1147" s="100">
        <f t="shared" si="534"/>
        <v>459</v>
      </c>
      <c r="J1147" s="100">
        <f t="shared" si="534"/>
        <v>211</v>
      </c>
      <c r="K1147" s="100">
        <f t="shared" si="534"/>
        <v>407</v>
      </c>
      <c r="L1147" s="100">
        <f t="shared" si="534"/>
        <v>253</v>
      </c>
      <c r="M1147" s="100">
        <f t="shared" si="534"/>
        <v>171</v>
      </c>
      <c r="N1147" s="100">
        <f t="shared" si="534"/>
        <v>100</v>
      </c>
      <c r="O1147" s="100">
        <f t="shared" si="534"/>
        <v>115</v>
      </c>
      <c r="P1147" s="100">
        <f t="shared" si="534"/>
        <v>412</v>
      </c>
      <c r="Q1147" s="100">
        <f t="shared" si="534"/>
        <v>119</v>
      </c>
      <c r="R1147" s="100">
        <f t="shared" si="534"/>
        <v>213</v>
      </c>
      <c r="S1147" s="5">
        <f t="shared" si="534"/>
        <v>339</v>
      </c>
      <c r="T1147" s="100">
        <f t="shared" si="534"/>
        <v>103</v>
      </c>
      <c r="U1147" s="5">
        <f t="shared" si="534"/>
        <v>0</v>
      </c>
      <c r="V1147" s="100">
        <f t="shared" si="534"/>
        <v>100</v>
      </c>
      <c r="W1147" s="100">
        <f t="shared" si="534"/>
        <v>0</v>
      </c>
      <c r="X1147" s="100">
        <f t="shared" si="534"/>
        <v>274</v>
      </c>
      <c r="Y1147" s="100">
        <f t="shared" si="534"/>
        <v>238</v>
      </c>
      <c r="Z1147" s="100">
        <f t="shared" si="534"/>
        <v>231</v>
      </c>
      <c r="AA1147" s="100">
        <f t="shared" si="534"/>
        <v>74</v>
      </c>
      <c r="AB1147" s="100">
        <f t="shared" si="534"/>
        <v>0</v>
      </c>
      <c r="AC1147" s="100">
        <f t="shared" si="534"/>
        <v>0</v>
      </c>
      <c r="AD1147" s="5">
        <f t="shared" si="534"/>
        <v>0</v>
      </c>
      <c r="AE1147" s="100">
        <f t="shared" si="534"/>
        <v>0</v>
      </c>
      <c r="AF1147" s="100">
        <f t="shared" si="534"/>
        <v>0</v>
      </c>
      <c r="AG1147" s="100">
        <f t="shared" si="534"/>
        <v>0</v>
      </c>
      <c r="AH1147" s="100">
        <f t="shared" si="534"/>
        <v>0</v>
      </c>
      <c r="AI1147" s="100">
        <f t="shared" si="534"/>
        <v>0</v>
      </c>
      <c r="AJ1147" s="100">
        <f t="shared" si="534"/>
        <v>0</v>
      </c>
      <c r="AK1147" s="100">
        <f t="shared" si="534"/>
        <v>0</v>
      </c>
      <c r="AL1147" s="100">
        <f t="shared" si="534"/>
        <v>0</v>
      </c>
      <c r="AM1147" s="100"/>
      <c r="AN1147" s="100"/>
      <c r="AO1147" s="100">
        <f>SUMIF($F$48:$F$1145,"K",AO48:AO1145)</f>
        <v>0</v>
      </c>
      <c r="AP1147" s="39">
        <f t="shared" ref="AP1147:AP1149" si="536">SUM(H1147:AO1147)</f>
        <v>3819</v>
      </c>
      <c r="AQ1147" s="1"/>
    </row>
    <row r="1148" ht="15.0" customHeight="1">
      <c r="A1148" s="1"/>
      <c r="B1148" s="100"/>
      <c r="C1148" s="100"/>
      <c r="D1148" s="100"/>
      <c r="E1148" s="100"/>
      <c r="F1148" s="100" t="s">
        <v>387</v>
      </c>
      <c r="G1148" s="100"/>
      <c r="H1148" s="100">
        <f t="shared" ref="H1148:AL1148" si="535">SUMIF($F$48:$F$1145,"R",H48:H1145)</f>
        <v>0</v>
      </c>
      <c r="I1148" s="100">
        <f t="shared" si="535"/>
        <v>0</v>
      </c>
      <c r="J1148" s="100">
        <f t="shared" si="535"/>
        <v>0</v>
      </c>
      <c r="K1148" s="100">
        <f t="shared" si="535"/>
        <v>0</v>
      </c>
      <c r="L1148" s="100">
        <f t="shared" si="535"/>
        <v>0</v>
      </c>
      <c r="M1148" s="100">
        <f t="shared" si="535"/>
        <v>0</v>
      </c>
      <c r="N1148" s="100">
        <f t="shared" si="535"/>
        <v>0</v>
      </c>
      <c r="O1148" s="100">
        <f t="shared" si="535"/>
        <v>0</v>
      </c>
      <c r="P1148" s="100">
        <f t="shared" si="535"/>
        <v>0</v>
      </c>
      <c r="Q1148" s="100">
        <f t="shared" si="535"/>
        <v>0</v>
      </c>
      <c r="R1148" s="100">
        <f t="shared" si="535"/>
        <v>0</v>
      </c>
      <c r="S1148" s="5">
        <f t="shared" si="535"/>
        <v>0</v>
      </c>
      <c r="T1148" s="100">
        <f t="shared" si="535"/>
        <v>0</v>
      </c>
      <c r="U1148" s="5">
        <f t="shared" si="535"/>
        <v>0</v>
      </c>
      <c r="V1148" s="100">
        <f t="shared" si="535"/>
        <v>0</v>
      </c>
      <c r="W1148" s="100">
        <f t="shared" si="535"/>
        <v>0</v>
      </c>
      <c r="X1148" s="100">
        <f t="shared" si="535"/>
        <v>0</v>
      </c>
      <c r="Y1148" s="100">
        <f t="shared" si="535"/>
        <v>0</v>
      </c>
      <c r="Z1148" s="100">
        <f t="shared" si="535"/>
        <v>0</v>
      </c>
      <c r="AA1148" s="100">
        <f t="shared" si="535"/>
        <v>0</v>
      </c>
      <c r="AB1148" s="100">
        <f t="shared" si="535"/>
        <v>0</v>
      </c>
      <c r="AC1148" s="100">
        <f t="shared" si="535"/>
        <v>0</v>
      </c>
      <c r="AD1148" s="5">
        <f t="shared" si="535"/>
        <v>0</v>
      </c>
      <c r="AE1148" s="100">
        <f t="shared" si="535"/>
        <v>0</v>
      </c>
      <c r="AF1148" s="100">
        <f t="shared" si="535"/>
        <v>0</v>
      </c>
      <c r="AG1148" s="100">
        <f t="shared" si="535"/>
        <v>0</v>
      </c>
      <c r="AH1148" s="100">
        <f t="shared" si="535"/>
        <v>0</v>
      </c>
      <c r="AI1148" s="100">
        <f t="shared" si="535"/>
        <v>0</v>
      </c>
      <c r="AJ1148" s="100">
        <f t="shared" si="535"/>
        <v>0</v>
      </c>
      <c r="AK1148" s="100">
        <f t="shared" si="535"/>
        <v>0</v>
      </c>
      <c r="AL1148" s="100">
        <f t="shared" si="535"/>
        <v>0</v>
      </c>
      <c r="AM1148" s="100"/>
      <c r="AN1148" s="100"/>
      <c r="AO1148" s="100">
        <f>SUMIF($F$48:$F$1145,"R",AO48:AO1145)</f>
        <v>0</v>
      </c>
      <c r="AP1148" s="39">
        <f t="shared" si="536"/>
        <v>0</v>
      </c>
      <c r="AQ1148" s="1"/>
    </row>
    <row r="1149" ht="15.0" customHeight="1">
      <c r="A1149" s="1"/>
      <c r="B1149" s="100"/>
      <c r="C1149" s="100"/>
      <c r="D1149" s="100"/>
      <c r="E1149" s="100"/>
      <c r="F1149" s="100" t="s">
        <v>388</v>
      </c>
      <c r="G1149" s="100"/>
      <c r="H1149" s="100">
        <f t="shared" ref="H1149:AL1149" si="537">H1147-H1148</f>
        <v>0</v>
      </c>
      <c r="I1149" s="100">
        <f t="shared" si="537"/>
        <v>459</v>
      </c>
      <c r="J1149" s="100">
        <f t="shared" si="537"/>
        <v>211</v>
      </c>
      <c r="K1149" s="100">
        <f t="shared" si="537"/>
        <v>407</v>
      </c>
      <c r="L1149" s="100">
        <f t="shared" si="537"/>
        <v>253</v>
      </c>
      <c r="M1149" s="100">
        <f t="shared" si="537"/>
        <v>171</v>
      </c>
      <c r="N1149" s="100">
        <f t="shared" si="537"/>
        <v>100</v>
      </c>
      <c r="O1149" s="100">
        <f t="shared" si="537"/>
        <v>115</v>
      </c>
      <c r="P1149" s="100">
        <f t="shared" si="537"/>
        <v>412</v>
      </c>
      <c r="Q1149" s="100">
        <f t="shared" si="537"/>
        <v>119</v>
      </c>
      <c r="R1149" s="100">
        <f t="shared" si="537"/>
        <v>213</v>
      </c>
      <c r="S1149" s="5">
        <f t="shared" si="537"/>
        <v>339</v>
      </c>
      <c r="T1149" s="100">
        <f t="shared" si="537"/>
        <v>103</v>
      </c>
      <c r="U1149" s="5">
        <f t="shared" si="537"/>
        <v>0</v>
      </c>
      <c r="V1149" s="100">
        <f t="shared" si="537"/>
        <v>100</v>
      </c>
      <c r="W1149" s="100">
        <f t="shared" si="537"/>
        <v>0</v>
      </c>
      <c r="X1149" s="100">
        <f t="shared" si="537"/>
        <v>274</v>
      </c>
      <c r="Y1149" s="100">
        <f t="shared" si="537"/>
        <v>238</v>
      </c>
      <c r="Z1149" s="100">
        <f t="shared" si="537"/>
        <v>231</v>
      </c>
      <c r="AA1149" s="100">
        <f t="shared" si="537"/>
        <v>74</v>
      </c>
      <c r="AB1149" s="100">
        <f t="shared" si="537"/>
        <v>0</v>
      </c>
      <c r="AC1149" s="100">
        <f t="shared" si="537"/>
        <v>0</v>
      </c>
      <c r="AD1149" s="5">
        <f t="shared" si="537"/>
        <v>0</v>
      </c>
      <c r="AE1149" s="100">
        <f t="shared" si="537"/>
        <v>0</v>
      </c>
      <c r="AF1149" s="100">
        <f t="shared" si="537"/>
        <v>0</v>
      </c>
      <c r="AG1149" s="100">
        <f t="shared" si="537"/>
        <v>0</v>
      </c>
      <c r="AH1149" s="100">
        <f t="shared" si="537"/>
        <v>0</v>
      </c>
      <c r="AI1149" s="100">
        <f t="shared" si="537"/>
        <v>0</v>
      </c>
      <c r="AJ1149" s="100">
        <f t="shared" si="537"/>
        <v>0</v>
      </c>
      <c r="AK1149" s="100">
        <f t="shared" si="537"/>
        <v>0</v>
      </c>
      <c r="AL1149" s="100">
        <f t="shared" si="537"/>
        <v>0</v>
      </c>
      <c r="AM1149" s="100"/>
      <c r="AN1149" s="100"/>
      <c r="AO1149" s="100">
        <f>AO1147-AO1148</f>
        <v>0</v>
      </c>
      <c r="AP1149" s="39">
        <f t="shared" si="536"/>
        <v>3819</v>
      </c>
      <c r="AQ1149" s="1"/>
    </row>
    <row r="1150" ht="15.75" customHeight="1">
      <c r="A1150" s="1"/>
      <c r="B1150" s="100"/>
      <c r="C1150" s="100"/>
      <c r="D1150" s="100"/>
      <c r="E1150" s="100"/>
      <c r="F1150" s="100"/>
      <c r="G1150" s="100"/>
      <c r="H1150" s="100"/>
      <c r="I1150" s="100"/>
      <c r="J1150" s="100"/>
      <c r="K1150" s="100"/>
      <c r="L1150" s="100"/>
      <c r="M1150" s="100"/>
      <c r="N1150" s="100"/>
      <c r="O1150" s="100"/>
      <c r="P1150" s="100"/>
      <c r="Q1150" s="100"/>
      <c r="R1150" s="100"/>
      <c r="S1150" s="5"/>
      <c r="T1150" s="100"/>
      <c r="U1150" s="5"/>
      <c r="V1150" s="100"/>
      <c r="W1150" s="100"/>
      <c r="X1150" s="100"/>
      <c r="Y1150" s="100"/>
      <c r="Z1150" s="100"/>
      <c r="AA1150" s="100"/>
      <c r="AB1150" s="100"/>
      <c r="AC1150" s="100"/>
      <c r="AD1150" s="5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  <c r="AQ1150" s="1"/>
    </row>
    <row r="1151" ht="15.75" customHeight="1">
      <c r="A1151" s="1"/>
      <c r="B1151" s="100"/>
      <c r="C1151" s="100"/>
      <c r="D1151" s="100"/>
      <c r="E1151" s="100"/>
      <c r="F1151" s="100" t="s">
        <v>389</v>
      </c>
      <c r="G1151" s="100"/>
      <c r="H1151" s="100">
        <f t="shared" ref="H1151:AL1151" si="538">SUMIF($F$48:$F$1145,"M",H48:H1145)</f>
        <v>0</v>
      </c>
      <c r="I1151" s="100">
        <f t="shared" si="538"/>
        <v>411</v>
      </c>
      <c r="J1151" s="100">
        <f t="shared" si="538"/>
        <v>110</v>
      </c>
      <c r="K1151" s="100">
        <f t="shared" si="538"/>
        <v>117</v>
      </c>
      <c r="L1151" s="100">
        <f t="shared" si="538"/>
        <v>344</v>
      </c>
      <c r="M1151" s="100">
        <f t="shared" si="538"/>
        <v>157</v>
      </c>
      <c r="N1151" s="100">
        <f t="shared" si="538"/>
        <v>0</v>
      </c>
      <c r="O1151" s="100">
        <f t="shared" si="538"/>
        <v>119</v>
      </c>
      <c r="P1151" s="100">
        <f t="shared" si="538"/>
        <v>386</v>
      </c>
      <c r="Q1151" s="100">
        <f t="shared" si="538"/>
        <v>287</v>
      </c>
      <c r="R1151" s="100">
        <f t="shared" si="538"/>
        <v>104</v>
      </c>
      <c r="S1151" s="5">
        <f t="shared" si="538"/>
        <v>128</v>
      </c>
      <c r="T1151" s="100">
        <f t="shared" si="538"/>
        <v>0</v>
      </c>
      <c r="U1151" s="5">
        <f t="shared" si="538"/>
        <v>0</v>
      </c>
      <c r="V1151" s="100">
        <f t="shared" si="538"/>
        <v>332</v>
      </c>
      <c r="W1151" s="100">
        <f t="shared" si="538"/>
        <v>0</v>
      </c>
      <c r="X1151" s="100">
        <f t="shared" si="538"/>
        <v>144</v>
      </c>
      <c r="Y1151" s="100">
        <f t="shared" si="538"/>
        <v>142</v>
      </c>
      <c r="Z1151" s="100">
        <f t="shared" si="538"/>
        <v>148</v>
      </c>
      <c r="AA1151" s="100">
        <f t="shared" si="538"/>
        <v>137</v>
      </c>
      <c r="AB1151" s="100">
        <f t="shared" si="538"/>
        <v>0</v>
      </c>
      <c r="AC1151" s="100">
        <f t="shared" si="538"/>
        <v>0</v>
      </c>
      <c r="AD1151" s="5">
        <f t="shared" si="538"/>
        <v>0</v>
      </c>
      <c r="AE1151" s="100">
        <f t="shared" si="538"/>
        <v>0</v>
      </c>
      <c r="AF1151" s="100">
        <f t="shared" si="538"/>
        <v>0</v>
      </c>
      <c r="AG1151" s="100">
        <f t="shared" si="538"/>
        <v>0</v>
      </c>
      <c r="AH1151" s="100">
        <f t="shared" si="538"/>
        <v>0</v>
      </c>
      <c r="AI1151" s="100">
        <f t="shared" si="538"/>
        <v>0</v>
      </c>
      <c r="AJ1151" s="100">
        <f t="shared" si="538"/>
        <v>0</v>
      </c>
      <c r="AK1151" s="100">
        <f t="shared" si="538"/>
        <v>0</v>
      </c>
      <c r="AL1151" s="100">
        <f t="shared" si="538"/>
        <v>0</v>
      </c>
      <c r="AM1151" s="100"/>
      <c r="AN1151" s="100"/>
      <c r="AO1151" s="100">
        <f>SUMIF($F$48:$F$1145,"M",AO48:AO1145)</f>
        <v>0</v>
      </c>
      <c r="AP1151" s="39">
        <f t="shared" ref="AP1151:AP1152" si="540">SUM(H1151:AO1151)</f>
        <v>3066</v>
      </c>
      <c r="AQ1151" s="1"/>
    </row>
    <row r="1152" ht="15.75" customHeight="1">
      <c r="A1152" s="1"/>
      <c r="B1152" s="100"/>
      <c r="C1152" s="100"/>
      <c r="D1152" s="100"/>
      <c r="E1152" s="100"/>
      <c r="F1152" s="100" t="s">
        <v>390</v>
      </c>
      <c r="G1152" s="100"/>
      <c r="H1152" s="100">
        <f t="shared" ref="H1152:AL1152" si="539">SUMIF($F$48:$F$1145,"MS",H48:H1145)</f>
        <v>0</v>
      </c>
      <c r="I1152" s="100">
        <f t="shared" si="539"/>
        <v>97</v>
      </c>
      <c r="J1152" s="100">
        <f t="shared" si="539"/>
        <v>0</v>
      </c>
      <c r="K1152" s="100">
        <f t="shared" si="539"/>
        <v>0</v>
      </c>
      <c r="L1152" s="100">
        <f t="shared" si="539"/>
        <v>49</v>
      </c>
      <c r="M1152" s="100">
        <f t="shared" si="539"/>
        <v>0</v>
      </c>
      <c r="N1152" s="100">
        <f t="shared" si="539"/>
        <v>0</v>
      </c>
      <c r="O1152" s="100">
        <f t="shared" si="539"/>
        <v>0</v>
      </c>
      <c r="P1152" s="100">
        <f t="shared" si="539"/>
        <v>0</v>
      </c>
      <c r="Q1152" s="100">
        <f t="shared" si="539"/>
        <v>0</v>
      </c>
      <c r="R1152" s="100">
        <f t="shared" si="539"/>
        <v>92</v>
      </c>
      <c r="S1152" s="5">
        <f t="shared" si="539"/>
        <v>0</v>
      </c>
      <c r="T1152" s="100">
        <f t="shared" si="539"/>
        <v>0</v>
      </c>
      <c r="U1152" s="5">
        <f t="shared" si="539"/>
        <v>0</v>
      </c>
      <c r="V1152" s="100">
        <f t="shared" si="539"/>
        <v>185</v>
      </c>
      <c r="W1152" s="100">
        <f t="shared" si="539"/>
        <v>0</v>
      </c>
      <c r="X1152" s="100">
        <f t="shared" si="539"/>
        <v>0</v>
      </c>
      <c r="Y1152" s="100">
        <f t="shared" si="539"/>
        <v>0</v>
      </c>
      <c r="Z1152" s="100">
        <f t="shared" si="539"/>
        <v>0</v>
      </c>
      <c r="AA1152" s="100">
        <f t="shared" si="539"/>
        <v>0</v>
      </c>
      <c r="AB1152" s="100">
        <f t="shared" si="539"/>
        <v>0</v>
      </c>
      <c r="AC1152" s="100">
        <f t="shared" si="539"/>
        <v>0</v>
      </c>
      <c r="AD1152" s="5">
        <f t="shared" si="539"/>
        <v>0</v>
      </c>
      <c r="AE1152" s="100">
        <f t="shared" si="539"/>
        <v>0</v>
      </c>
      <c r="AF1152" s="100">
        <f t="shared" si="539"/>
        <v>0</v>
      </c>
      <c r="AG1152" s="100">
        <f t="shared" si="539"/>
        <v>0</v>
      </c>
      <c r="AH1152" s="100">
        <f t="shared" si="539"/>
        <v>0</v>
      </c>
      <c r="AI1152" s="100">
        <f t="shared" si="539"/>
        <v>0</v>
      </c>
      <c r="AJ1152" s="100">
        <f t="shared" si="539"/>
        <v>0</v>
      </c>
      <c r="AK1152" s="100">
        <f t="shared" si="539"/>
        <v>0</v>
      </c>
      <c r="AL1152" s="100">
        <f t="shared" si="539"/>
        <v>0</v>
      </c>
      <c r="AM1152" s="100"/>
      <c r="AN1152" s="100"/>
      <c r="AO1152" s="100">
        <f>SUMIF($F$48:$F$1145,"MS",AO48:AO1145)</f>
        <v>0</v>
      </c>
      <c r="AP1152" s="39">
        <f t="shared" si="540"/>
        <v>423</v>
      </c>
      <c r="AQ1152" s="1"/>
    </row>
    <row r="1153" ht="15.75" customHeight="1">
      <c r="A1153" s="1"/>
      <c r="B1153" s="100"/>
      <c r="C1153" s="100"/>
      <c r="D1153" s="100"/>
      <c r="E1153" s="100"/>
      <c r="F1153" s="100" t="s">
        <v>391</v>
      </c>
      <c r="G1153" s="100"/>
      <c r="H1153" s="100">
        <f t="shared" ref="H1153:AL1153" si="541">SUMIF($F$48:$F$1145,"S",H48:H1145)</f>
        <v>1770</v>
      </c>
      <c r="I1153" s="100">
        <f t="shared" si="541"/>
        <v>1829</v>
      </c>
      <c r="J1153" s="100">
        <f t="shared" si="541"/>
        <v>1728</v>
      </c>
      <c r="K1153" s="100">
        <f t="shared" si="541"/>
        <v>1438</v>
      </c>
      <c r="L1153" s="100">
        <f t="shared" si="541"/>
        <v>1578</v>
      </c>
      <c r="M1153" s="100">
        <f t="shared" si="541"/>
        <v>1565</v>
      </c>
      <c r="N1153" s="100">
        <f t="shared" si="541"/>
        <v>1465</v>
      </c>
      <c r="O1153" s="100">
        <f t="shared" si="541"/>
        <v>1469</v>
      </c>
      <c r="P1153" s="100">
        <f t="shared" si="541"/>
        <v>1443</v>
      </c>
      <c r="Q1153" s="100">
        <f t="shared" si="541"/>
        <v>1611</v>
      </c>
      <c r="R1153" s="100">
        <f t="shared" si="541"/>
        <v>1594</v>
      </c>
      <c r="S1153" s="5">
        <f t="shared" si="541"/>
        <v>1383</v>
      </c>
      <c r="T1153" s="100">
        <f t="shared" si="541"/>
        <v>1280</v>
      </c>
      <c r="U1153" s="5">
        <f t="shared" si="541"/>
        <v>1280</v>
      </c>
      <c r="V1153" s="100">
        <f t="shared" si="541"/>
        <v>1697</v>
      </c>
      <c r="W1153" s="100">
        <f t="shared" si="541"/>
        <v>1697</v>
      </c>
      <c r="X1153" s="100">
        <f t="shared" si="541"/>
        <v>1567</v>
      </c>
      <c r="Y1153" s="100">
        <f t="shared" si="541"/>
        <v>1471</v>
      </c>
      <c r="Z1153" s="100">
        <f t="shared" si="541"/>
        <v>1388</v>
      </c>
      <c r="AA1153" s="100">
        <f t="shared" si="541"/>
        <v>1451</v>
      </c>
      <c r="AB1153" s="100">
        <f t="shared" si="541"/>
        <v>1451</v>
      </c>
      <c r="AC1153" s="100">
        <f t="shared" si="541"/>
        <v>1451</v>
      </c>
      <c r="AD1153" s="100">
        <f t="shared" si="541"/>
        <v>1451</v>
      </c>
      <c r="AE1153" s="100">
        <f t="shared" si="541"/>
        <v>1451</v>
      </c>
      <c r="AF1153" s="100">
        <f t="shared" si="541"/>
        <v>1451</v>
      </c>
      <c r="AG1153" s="100">
        <f t="shared" si="541"/>
        <v>1451</v>
      </c>
      <c r="AH1153" s="100">
        <f t="shared" si="541"/>
        <v>1451</v>
      </c>
      <c r="AI1153" s="100">
        <f t="shared" si="541"/>
        <v>1451</v>
      </c>
      <c r="AJ1153" s="100">
        <f t="shared" si="541"/>
        <v>1451</v>
      </c>
      <c r="AK1153" s="100">
        <f t="shared" si="541"/>
        <v>1451</v>
      </c>
      <c r="AL1153" s="100">
        <f t="shared" si="541"/>
        <v>1451</v>
      </c>
      <c r="AM1153" s="100"/>
      <c r="AN1153" s="100"/>
      <c r="AO1153" s="100">
        <f>SUMIF($F$48:$F$1145,"S",AO48:AO1145)</f>
        <v>0</v>
      </c>
      <c r="AP1153" s="100">
        <f>SUMIF($F$48:$F$1145,"S",AP48:AP1145)-AP1103-AP1028-AP1177</f>
        <v>1348</v>
      </c>
      <c r="AQ1153" s="1"/>
    </row>
    <row r="1154" ht="15.75" customHeight="1">
      <c r="A1154" s="1"/>
      <c r="B1154" s="100"/>
      <c r="C1154" s="100"/>
      <c r="D1154" s="100"/>
      <c r="E1154" s="100"/>
      <c r="F1154" s="100"/>
      <c r="G1154" s="100"/>
      <c r="H1154" s="100">
        <f t="shared" ref="H1154:AL1154" si="542">H1153-87</f>
        <v>1683</v>
      </c>
      <c r="I1154" s="100">
        <f t="shared" si="542"/>
        <v>1742</v>
      </c>
      <c r="J1154" s="100">
        <f t="shared" si="542"/>
        <v>1641</v>
      </c>
      <c r="K1154" s="100">
        <f t="shared" si="542"/>
        <v>1351</v>
      </c>
      <c r="L1154" s="100">
        <f t="shared" si="542"/>
        <v>1491</v>
      </c>
      <c r="M1154" s="100">
        <f t="shared" si="542"/>
        <v>1478</v>
      </c>
      <c r="N1154" s="100">
        <f t="shared" si="542"/>
        <v>1378</v>
      </c>
      <c r="O1154" s="100">
        <f t="shared" si="542"/>
        <v>1382</v>
      </c>
      <c r="P1154" s="100">
        <f t="shared" si="542"/>
        <v>1356</v>
      </c>
      <c r="Q1154" s="100">
        <f t="shared" si="542"/>
        <v>1524</v>
      </c>
      <c r="R1154" s="100">
        <f t="shared" si="542"/>
        <v>1507</v>
      </c>
      <c r="S1154" s="100">
        <f t="shared" si="542"/>
        <v>1296</v>
      </c>
      <c r="T1154" s="100">
        <f t="shared" si="542"/>
        <v>1193</v>
      </c>
      <c r="U1154" s="100">
        <f t="shared" si="542"/>
        <v>1193</v>
      </c>
      <c r="V1154" s="100">
        <f t="shared" si="542"/>
        <v>1610</v>
      </c>
      <c r="W1154" s="100">
        <f t="shared" si="542"/>
        <v>1610</v>
      </c>
      <c r="X1154" s="100">
        <f t="shared" si="542"/>
        <v>1480</v>
      </c>
      <c r="Y1154" s="100">
        <f t="shared" si="542"/>
        <v>1384</v>
      </c>
      <c r="Z1154" s="100">
        <f t="shared" si="542"/>
        <v>1301</v>
      </c>
      <c r="AA1154" s="100">
        <f t="shared" si="542"/>
        <v>1364</v>
      </c>
      <c r="AB1154" s="100">
        <f t="shared" si="542"/>
        <v>1364</v>
      </c>
      <c r="AC1154" s="100">
        <f t="shared" si="542"/>
        <v>1364</v>
      </c>
      <c r="AD1154" s="100">
        <f t="shared" si="542"/>
        <v>1364</v>
      </c>
      <c r="AE1154" s="100">
        <f t="shared" si="542"/>
        <v>1364</v>
      </c>
      <c r="AF1154" s="100">
        <f t="shared" si="542"/>
        <v>1364</v>
      </c>
      <c r="AG1154" s="100">
        <f t="shared" si="542"/>
        <v>1364</v>
      </c>
      <c r="AH1154" s="100">
        <f t="shared" si="542"/>
        <v>1364</v>
      </c>
      <c r="AI1154" s="100">
        <f t="shared" si="542"/>
        <v>1364</v>
      </c>
      <c r="AJ1154" s="100">
        <f t="shared" si="542"/>
        <v>1364</v>
      </c>
      <c r="AK1154" s="100">
        <f t="shared" si="542"/>
        <v>1364</v>
      </c>
      <c r="AL1154" s="100">
        <f t="shared" si="542"/>
        <v>1364</v>
      </c>
      <c r="AM1154" s="100"/>
      <c r="AN1154" s="100"/>
      <c r="AO1154" s="100"/>
      <c r="AP1154" s="100"/>
      <c r="AQ1154" s="1"/>
    </row>
    <row r="1155" ht="15.75" hidden="1" customHeight="1">
      <c r="A1155" s="1"/>
      <c r="B1155" s="100"/>
      <c r="C1155" s="100"/>
      <c r="D1155" s="100"/>
      <c r="E1155" s="100"/>
      <c r="F1155" s="100"/>
      <c r="G1155" s="100"/>
      <c r="H1155" s="100"/>
      <c r="I1155" s="100"/>
      <c r="J1155" s="100"/>
      <c r="K1155" s="100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5"/>
      <c r="V1155" s="100"/>
      <c r="W1155" s="100"/>
      <c r="X1155" s="100"/>
      <c r="Y1155" s="100"/>
      <c r="Z1155" s="100"/>
      <c r="AA1155" s="100"/>
      <c r="AB1155" s="100"/>
      <c r="AC1155" s="100"/>
      <c r="AD1155" s="5"/>
      <c r="AE1155" s="5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  <c r="AQ1155" s="1"/>
    </row>
    <row r="1156" ht="15.75" hidden="1" customHeight="1">
      <c r="A1156" s="1"/>
      <c r="B1156" s="32"/>
      <c r="C1156" s="32"/>
      <c r="D1156" s="13"/>
      <c r="E1156" s="13"/>
      <c r="F1156" s="21" t="s">
        <v>23</v>
      </c>
      <c r="G1156" s="38"/>
      <c r="H1156" s="38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 t="str">
        <f>AH1163</f>
        <v/>
      </c>
      <c r="AP1156" s="90"/>
      <c r="AQ1156" s="1"/>
    </row>
    <row r="1157" ht="15.75" hidden="1" customHeight="1">
      <c r="A1157" s="1"/>
      <c r="B1157" s="70">
        <v>1.0</v>
      </c>
      <c r="C1157" s="70" t="s">
        <v>392</v>
      </c>
      <c r="D1157" s="70"/>
      <c r="E1157" s="70" t="s">
        <v>24</v>
      </c>
      <c r="F1157" s="59" t="s">
        <v>25</v>
      </c>
      <c r="G1157" s="37"/>
      <c r="H1157" s="59"/>
      <c r="I1157" s="59"/>
      <c r="J1157" s="59"/>
      <c r="K1157" s="59"/>
      <c r="L1157" s="59"/>
      <c r="M1157" s="59"/>
      <c r="N1157" s="59"/>
      <c r="O1157" s="59"/>
      <c r="P1157" s="37"/>
      <c r="Q1157" s="37"/>
      <c r="R1157" s="37"/>
      <c r="S1157" s="37"/>
      <c r="T1157" s="37"/>
      <c r="U1157" s="38"/>
      <c r="V1157" s="37"/>
      <c r="W1157" s="37"/>
      <c r="X1157" s="37"/>
      <c r="Y1157" s="37"/>
      <c r="Z1157" s="37"/>
      <c r="AA1157" s="37"/>
      <c r="AB1157" s="37"/>
      <c r="AC1157" s="37"/>
      <c r="AD1157" s="38"/>
      <c r="AE1157" s="38"/>
      <c r="AF1157" s="37"/>
      <c r="AG1157" s="37"/>
      <c r="AH1157" s="37"/>
      <c r="AI1157" s="37"/>
      <c r="AJ1157" s="37"/>
      <c r="AK1157" s="37"/>
      <c r="AL1157" s="37"/>
      <c r="AM1157" s="37"/>
      <c r="AN1157" s="37"/>
      <c r="AO1157" s="37"/>
      <c r="AP1157" s="39">
        <v>0.0</v>
      </c>
      <c r="AQ1157" s="1"/>
    </row>
    <row r="1158" ht="15.75" hidden="1" customHeight="1">
      <c r="A1158" s="1"/>
      <c r="B1158" s="70"/>
      <c r="C1158" s="70"/>
      <c r="D1158" s="70"/>
      <c r="E1158" s="70" t="s">
        <v>393</v>
      </c>
      <c r="F1158" s="59" t="s">
        <v>25</v>
      </c>
      <c r="G1158" s="37"/>
      <c r="H1158" s="59"/>
      <c r="I1158" s="59"/>
      <c r="J1158" s="59"/>
      <c r="K1158" s="59"/>
      <c r="L1158" s="59"/>
      <c r="M1158" s="59"/>
      <c r="N1158" s="59"/>
      <c r="O1158" s="59"/>
      <c r="P1158" s="37"/>
      <c r="Q1158" s="37"/>
      <c r="R1158" s="37"/>
      <c r="S1158" s="37"/>
      <c r="T1158" s="37"/>
      <c r="U1158" s="38"/>
      <c r="V1158" s="37"/>
      <c r="W1158" s="37"/>
      <c r="X1158" s="37"/>
      <c r="Y1158" s="37"/>
      <c r="Z1158" s="37"/>
      <c r="AA1158" s="37"/>
      <c r="AB1158" s="37"/>
      <c r="AC1158" s="37"/>
      <c r="AD1158" s="38"/>
      <c r="AE1158" s="38"/>
      <c r="AF1158" s="37"/>
      <c r="AG1158" s="37"/>
      <c r="AH1158" s="37"/>
      <c r="AI1158" s="37"/>
      <c r="AJ1158" s="37"/>
      <c r="AK1158" s="37"/>
      <c r="AL1158" s="37"/>
      <c r="AM1158" s="37"/>
      <c r="AN1158" s="37"/>
      <c r="AO1158" s="37"/>
      <c r="AP1158" s="39">
        <v>0.0</v>
      </c>
      <c r="AQ1158" s="1"/>
    </row>
    <row r="1159" ht="15.75" hidden="1" customHeight="1">
      <c r="A1159" s="1"/>
      <c r="B1159" s="70"/>
      <c r="C1159" s="70"/>
      <c r="D1159" s="70"/>
      <c r="E1159" s="70" t="s">
        <v>394</v>
      </c>
      <c r="F1159" s="59" t="s">
        <v>25</v>
      </c>
      <c r="G1159" s="37"/>
      <c r="H1159" s="59"/>
      <c r="I1159" s="59"/>
      <c r="J1159" s="59"/>
      <c r="K1159" s="59"/>
      <c r="L1159" s="59"/>
      <c r="M1159" s="59"/>
      <c r="N1159" s="59"/>
      <c r="O1159" s="59"/>
      <c r="P1159" s="37"/>
      <c r="Q1159" s="37"/>
      <c r="R1159" s="37"/>
      <c r="S1159" s="37"/>
      <c r="T1159" s="37"/>
      <c r="U1159" s="38"/>
      <c r="V1159" s="37"/>
      <c r="W1159" s="37"/>
      <c r="X1159" s="37"/>
      <c r="Y1159" s="37"/>
      <c r="Z1159" s="37"/>
      <c r="AA1159" s="37"/>
      <c r="AB1159" s="37"/>
      <c r="AC1159" s="37"/>
      <c r="AD1159" s="38"/>
      <c r="AE1159" s="38"/>
      <c r="AF1159" s="37"/>
      <c r="AG1159" s="37"/>
      <c r="AH1159" s="37"/>
      <c r="AI1159" s="37"/>
      <c r="AJ1159" s="37"/>
      <c r="AK1159" s="37"/>
      <c r="AL1159" s="37"/>
      <c r="AM1159" s="37"/>
      <c r="AN1159" s="37"/>
      <c r="AO1159" s="37"/>
      <c r="AP1159" s="39">
        <v>0.0</v>
      </c>
      <c r="AQ1159" s="1"/>
    </row>
    <row r="1160" ht="15.75" hidden="1" customHeight="1">
      <c r="A1160" s="1"/>
      <c r="B1160" s="70"/>
      <c r="C1160" s="70"/>
      <c r="D1160" s="70"/>
      <c r="E1160" s="70" t="s">
        <v>395</v>
      </c>
      <c r="F1160" s="59" t="s">
        <v>25</v>
      </c>
      <c r="G1160" s="37"/>
      <c r="H1160" s="59"/>
      <c r="I1160" s="59"/>
      <c r="J1160" s="59"/>
      <c r="K1160" s="59"/>
      <c r="L1160" s="59"/>
      <c r="M1160" s="59"/>
      <c r="N1160" s="59"/>
      <c r="O1160" s="59"/>
      <c r="P1160" s="37"/>
      <c r="Q1160" s="37"/>
      <c r="R1160" s="37"/>
      <c r="S1160" s="37"/>
      <c r="T1160" s="37"/>
      <c r="U1160" s="38"/>
      <c r="V1160" s="37"/>
      <c r="W1160" s="37"/>
      <c r="X1160" s="37"/>
      <c r="Y1160" s="37"/>
      <c r="Z1160" s="37"/>
      <c r="AA1160" s="37"/>
      <c r="AB1160" s="37"/>
      <c r="AC1160" s="37"/>
      <c r="AD1160" s="38"/>
      <c r="AE1160" s="38"/>
      <c r="AF1160" s="37"/>
      <c r="AG1160" s="37"/>
      <c r="AH1160" s="37"/>
      <c r="AI1160" s="37"/>
      <c r="AJ1160" s="37"/>
      <c r="AK1160" s="37"/>
      <c r="AL1160" s="37"/>
      <c r="AM1160" s="37"/>
      <c r="AN1160" s="37"/>
      <c r="AO1160" s="37"/>
      <c r="AP1160" s="39">
        <v>0.0</v>
      </c>
      <c r="AQ1160" s="1"/>
    </row>
    <row r="1161" ht="15.75" hidden="1" customHeight="1">
      <c r="A1161" s="1"/>
      <c r="B1161" s="70"/>
      <c r="C1161" s="70"/>
      <c r="D1161" s="70"/>
      <c r="E1161" s="70" t="s">
        <v>396</v>
      </c>
      <c r="F1161" s="59" t="s">
        <v>25</v>
      </c>
      <c r="G1161" s="37"/>
      <c r="H1161" s="59"/>
      <c r="I1161" s="59"/>
      <c r="J1161" s="59"/>
      <c r="K1161" s="59"/>
      <c r="L1161" s="59"/>
      <c r="M1161" s="59"/>
      <c r="N1161" s="59"/>
      <c r="O1161" s="59"/>
      <c r="P1161" s="37"/>
      <c r="Q1161" s="37"/>
      <c r="R1161" s="37"/>
      <c r="S1161" s="37"/>
      <c r="T1161" s="37"/>
      <c r="U1161" s="38"/>
      <c r="V1161" s="37"/>
      <c r="W1161" s="37"/>
      <c r="X1161" s="37"/>
      <c r="Y1161" s="37"/>
      <c r="Z1161" s="37"/>
      <c r="AA1161" s="37"/>
      <c r="AB1161" s="37"/>
      <c r="AC1161" s="37"/>
      <c r="AD1161" s="38"/>
      <c r="AE1161" s="38"/>
      <c r="AF1161" s="37"/>
      <c r="AG1161" s="37"/>
      <c r="AH1161" s="37"/>
      <c r="AI1161" s="37"/>
      <c r="AJ1161" s="37"/>
      <c r="AK1161" s="37"/>
      <c r="AL1161" s="37"/>
      <c r="AM1161" s="37"/>
      <c r="AN1161" s="37"/>
      <c r="AO1161" s="37"/>
      <c r="AP1161" s="39">
        <v>0.0</v>
      </c>
      <c r="AQ1161" s="1"/>
    </row>
    <row r="1162" ht="15.75" hidden="1" customHeight="1">
      <c r="A1162" s="1"/>
      <c r="B1162" s="70"/>
      <c r="C1162" s="70"/>
      <c r="D1162" s="70"/>
      <c r="E1162" s="70" t="s">
        <v>397</v>
      </c>
      <c r="F1162" s="21" t="s">
        <v>26</v>
      </c>
      <c r="G1162" s="38"/>
      <c r="H1162" s="21"/>
      <c r="I1162" s="38"/>
      <c r="J1162" s="38"/>
      <c r="K1162" s="38"/>
      <c r="L1162" s="38"/>
      <c r="M1162" s="38"/>
      <c r="N1162" s="38"/>
      <c r="O1162" s="38"/>
      <c r="P1162" s="38"/>
      <c r="Q1162" s="38"/>
      <c r="R1162" s="38"/>
      <c r="S1162" s="38"/>
      <c r="T1162" s="38"/>
      <c r="U1162" s="38"/>
      <c r="V1162" s="38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38"/>
      <c r="AJ1162" s="38"/>
      <c r="AK1162" s="38"/>
      <c r="AL1162" s="38"/>
      <c r="AM1162" s="38"/>
      <c r="AN1162" s="38"/>
      <c r="AO1162" s="38"/>
      <c r="AP1162" s="39">
        <v>0.0</v>
      </c>
      <c r="AQ1162" s="1"/>
    </row>
    <row r="1163" ht="15.75" hidden="1" customHeight="1">
      <c r="A1163" s="1"/>
      <c r="B1163" s="19"/>
      <c r="C1163" s="19"/>
      <c r="D1163" s="19"/>
      <c r="E1163" s="19"/>
      <c r="F1163" s="34" t="s">
        <v>30</v>
      </c>
      <c r="G1163" s="4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>
        <f>AO1156+AO1157+AO1158+AO1159+AO1160+AO1161-AO1162</f>
        <v>0</v>
      </c>
      <c r="AP1163" s="54"/>
      <c r="AQ1163" s="1"/>
    </row>
    <row r="1164" ht="15.75" hidden="1" customHeight="1">
      <c r="A1164" s="1"/>
      <c r="B1164" s="1"/>
      <c r="C1164" s="1"/>
      <c r="D1164" s="1"/>
      <c r="E1164" s="1"/>
      <c r="F1164" s="1"/>
      <c r="G1164" s="1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  <c r="S1164" s="99"/>
      <c r="T1164" s="99"/>
      <c r="U1164" s="103"/>
      <c r="V1164" s="99"/>
      <c r="W1164" s="99"/>
      <c r="X1164" s="99"/>
      <c r="Y1164" s="99"/>
      <c r="Z1164" s="99"/>
      <c r="AA1164" s="99"/>
      <c r="AB1164" s="99"/>
      <c r="AC1164" s="99"/>
      <c r="AD1164" s="103"/>
      <c r="AE1164" s="103"/>
      <c r="AF1164" s="99"/>
      <c r="AG1164" s="99"/>
      <c r="AH1164" s="99"/>
      <c r="AI1164" s="99"/>
      <c r="AJ1164" s="99"/>
      <c r="AK1164" s="99"/>
      <c r="AL1164" s="99"/>
      <c r="AM1164" s="99"/>
      <c r="AN1164" s="99"/>
      <c r="AO1164" s="99"/>
      <c r="AP1164" s="1"/>
      <c r="AQ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99"/>
      <c r="AJ1165" s="99"/>
      <c r="AK1165" s="99"/>
      <c r="AL1165" s="99"/>
      <c r="AM1165" s="99"/>
      <c r="AN1165" s="99"/>
      <c r="AO1165" s="99"/>
      <c r="AP1165" s="1"/>
      <c r="AQ1165" s="1"/>
    </row>
    <row r="1166" ht="15.75" customHeight="1">
      <c r="A1166" s="1"/>
      <c r="B1166" s="104" t="s">
        <v>398</v>
      </c>
      <c r="C1166" s="105"/>
      <c r="D1166" s="1"/>
      <c r="E1166" s="1"/>
      <c r="F1166" s="1"/>
      <c r="G1166" s="1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  <c r="S1166" s="99"/>
      <c r="T1166" s="99"/>
      <c r="U1166" s="99"/>
      <c r="V1166" s="99"/>
      <c r="W1166" s="99"/>
      <c r="X1166" s="99"/>
      <c r="Y1166" s="99"/>
      <c r="Z1166" s="99"/>
      <c r="AA1166" s="99"/>
      <c r="AB1166" s="99"/>
      <c r="AC1166" s="99"/>
      <c r="AD1166" s="103"/>
      <c r="AE1166" s="99"/>
      <c r="AF1166" s="99"/>
      <c r="AG1166" s="99"/>
      <c r="AH1166" s="99"/>
      <c r="AI1166" s="99"/>
      <c r="AJ1166" s="99"/>
      <c r="AK1166" s="99"/>
      <c r="AL1166" s="99"/>
      <c r="AM1166" s="99"/>
      <c r="AN1166" s="99"/>
      <c r="AO1166" s="99"/>
      <c r="AP1166" s="1"/>
      <c r="AQ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  <c r="S1167" s="103"/>
      <c r="T1167" s="99"/>
      <c r="U1167" s="103"/>
      <c r="V1167" s="99"/>
      <c r="W1167" s="99"/>
      <c r="X1167" s="99"/>
      <c r="Y1167" s="99"/>
      <c r="Z1167" s="99"/>
      <c r="AA1167" s="99"/>
      <c r="AB1167" s="99"/>
      <c r="AC1167" s="99"/>
      <c r="AD1167" s="103"/>
      <c r="AE1167" s="99"/>
      <c r="AF1167" s="99"/>
      <c r="AG1167" s="99"/>
      <c r="AH1167" s="99"/>
      <c r="AI1167" s="99"/>
      <c r="AJ1167" s="99"/>
      <c r="AK1167" s="99"/>
      <c r="AL1167" s="99"/>
      <c r="AM1167" s="99"/>
      <c r="AN1167" s="99"/>
      <c r="AO1167" s="99"/>
      <c r="AP1167" s="1"/>
      <c r="AQ1167" s="1"/>
    </row>
    <row r="1168" ht="15.75" customHeight="1">
      <c r="A1168" s="1"/>
      <c r="B1168" s="12" t="s">
        <v>5</v>
      </c>
      <c r="C1168" s="12" t="s">
        <v>6</v>
      </c>
      <c r="D1168" s="13" t="s">
        <v>7</v>
      </c>
      <c r="E1168" s="12" t="s">
        <v>8</v>
      </c>
      <c r="F1168" s="12" t="s">
        <v>9</v>
      </c>
      <c r="G1168" s="14" t="s">
        <v>10</v>
      </c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6"/>
      <c r="AP1168" s="17" t="s">
        <v>11</v>
      </c>
      <c r="AQ1168" s="1"/>
    </row>
    <row r="1169" ht="15.75" customHeight="1">
      <c r="A1169" s="1"/>
      <c r="B1169" s="18"/>
      <c r="C1169" s="19" t="s">
        <v>12</v>
      </c>
      <c r="D1169" s="20" t="s">
        <v>13</v>
      </c>
      <c r="E1169" s="18"/>
      <c r="F1169" s="18"/>
      <c r="G1169" s="21"/>
      <c r="H1169" s="23">
        <v>1.0</v>
      </c>
      <c r="I1169" s="23">
        <v>2.0</v>
      </c>
      <c r="J1169" s="22">
        <v>3.0</v>
      </c>
      <c r="K1169" s="23">
        <v>4.0</v>
      </c>
      <c r="L1169" s="22">
        <v>5.0</v>
      </c>
      <c r="M1169" s="23">
        <v>6.0</v>
      </c>
      <c r="N1169" s="23">
        <v>7.0</v>
      </c>
      <c r="O1169" s="23">
        <v>8.0</v>
      </c>
      <c r="P1169" s="23">
        <v>9.0</v>
      </c>
      <c r="Q1169" s="23">
        <v>10.0</v>
      </c>
      <c r="R1169" s="23">
        <v>11.0</v>
      </c>
      <c r="S1169" s="22">
        <v>12.0</v>
      </c>
      <c r="T1169" s="23">
        <v>13.0</v>
      </c>
      <c r="U1169" s="23">
        <v>14.0</v>
      </c>
      <c r="V1169" s="23">
        <v>15.0</v>
      </c>
      <c r="W1169" s="23">
        <v>16.0</v>
      </c>
      <c r="X1169" s="23">
        <v>17.0</v>
      </c>
      <c r="Y1169" s="23">
        <v>18.0</v>
      </c>
      <c r="Z1169" s="22">
        <v>19.0</v>
      </c>
      <c r="AA1169" s="23">
        <v>20.0</v>
      </c>
      <c r="AB1169" s="23">
        <v>21.0</v>
      </c>
      <c r="AC1169" s="23">
        <v>22.0</v>
      </c>
      <c r="AD1169" s="23">
        <v>23.0</v>
      </c>
      <c r="AE1169" s="23">
        <v>24.0</v>
      </c>
      <c r="AF1169" s="23">
        <v>25.0</v>
      </c>
      <c r="AG1169" s="22">
        <v>26.0</v>
      </c>
      <c r="AH1169" s="23">
        <v>27.0</v>
      </c>
      <c r="AI1169" s="23">
        <v>28.0</v>
      </c>
      <c r="AJ1169" s="23">
        <v>29.0</v>
      </c>
      <c r="AK1169" s="23">
        <v>30.0</v>
      </c>
      <c r="AL1169" s="23">
        <v>31.0</v>
      </c>
      <c r="AM1169" s="106"/>
      <c r="AN1169" s="106"/>
      <c r="AO1169" s="21"/>
      <c r="AP1169" s="20"/>
      <c r="AQ1169" s="1"/>
    </row>
    <row r="1170" ht="15.75" customHeight="1">
      <c r="A1170" s="25"/>
      <c r="B1170" s="26"/>
      <c r="C1170" s="27"/>
      <c r="D1170" s="28"/>
      <c r="E1170" s="29"/>
      <c r="F1170" s="29"/>
      <c r="G1170" s="30"/>
      <c r="H1170" s="31" t="s">
        <v>18</v>
      </c>
      <c r="I1170" s="30" t="s">
        <v>19</v>
      </c>
      <c r="J1170" s="31" t="s">
        <v>20</v>
      </c>
      <c r="K1170" s="31" t="s">
        <v>14</v>
      </c>
      <c r="L1170" s="31" t="s">
        <v>15</v>
      </c>
      <c r="M1170" s="31" t="s">
        <v>16</v>
      </c>
      <c r="N1170" s="30" t="s">
        <v>17</v>
      </c>
      <c r="O1170" s="30" t="s">
        <v>18</v>
      </c>
      <c r="P1170" s="30" t="s">
        <v>19</v>
      </c>
      <c r="Q1170" s="31" t="s">
        <v>20</v>
      </c>
      <c r="R1170" s="31" t="s">
        <v>14</v>
      </c>
      <c r="S1170" s="31" t="s">
        <v>15</v>
      </c>
      <c r="T1170" s="31" t="s">
        <v>16</v>
      </c>
      <c r="U1170" s="30" t="s">
        <v>17</v>
      </c>
      <c r="V1170" s="30" t="s">
        <v>18</v>
      </c>
      <c r="W1170" s="30" t="s">
        <v>19</v>
      </c>
      <c r="X1170" s="31" t="s">
        <v>20</v>
      </c>
      <c r="Y1170" s="31" t="s">
        <v>14</v>
      </c>
      <c r="Z1170" s="31" t="s">
        <v>15</v>
      </c>
      <c r="AA1170" s="31" t="s">
        <v>16</v>
      </c>
      <c r="AB1170" s="30" t="s">
        <v>17</v>
      </c>
      <c r="AC1170" s="30" t="s">
        <v>18</v>
      </c>
      <c r="AD1170" s="30" t="s">
        <v>19</v>
      </c>
      <c r="AE1170" s="31" t="s">
        <v>20</v>
      </c>
      <c r="AF1170" s="31" t="s">
        <v>14</v>
      </c>
      <c r="AG1170" s="31" t="s">
        <v>15</v>
      </c>
      <c r="AH1170" s="31" t="s">
        <v>16</v>
      </c>
      <c r="AI1170" s="30" t="s">
        <v>17</v>
      </c>
      <c r="AJ1170" s="30" t="s">
        <v>18</v>
      </c>
      <c r="AK1170" s="30" t="s">
        <v>19</v>
      </c>
      <c r="AL1170" s="31" t="s">
        <v>20</v>
      </c>
      <c r="AM1170" s="30"/>
      <c r="AN1170" s="30"/>
      <c r="AO1170" s="30"/>
      <c r="AP1170" s="30"/>
      <c r="AQ1170" s="25"/>
    </row>
    <row r="1171" ht="15.75" customHeight="1">
      <c r="A1171" s="1"/>
      <c r="B1171" s="32">
        <v>1.0</v>
      </c>
      <c r="C1171" s="57" t="s">
        <v>399</v>
      </c>
      <c r="D1171" s="32" t="s">
        <v>64</v>
      </c>
      <c r="E1171" s="13"/>
      <c r="F1171" s="14" t="s">
        <v>23</v>
      </c>
      <c r="G1171" s="44"/>
      <c r="H1171" s="21">
        <v>162.0</v>
      </c>
      <c r="I1171" s="34">
        <f t="shared" ref="I1171:AO1171" si="543">H1177</f>
        <v>162</v>
      </c>
      <c r="J1171" s="34">
        <f t="shared" si="543"/>
        <v>162</v>
      </c>
      <c r="K1171" s="34">
        <f t="shared" si="543"/>
        <v>103</v>
      </c>
      <c r="L1171" s="34">
        <f t="shared" si="543"/>
        <v>103</v>
      </c>
      <c r="M1171" s="34">
        <f t="shared" si="543"/>
        <v>103</v>
      </c>
      <c r="N1171" s="34">
        <f t="shared" si="543"/>
        <v>103</v>
      </c>
      <c r="O1171" s="34">
        <f t="shared" si="543"/>
        <v>103</v>
      </c>
      <c r="P1171" s="34">
        <f t="shared" si="543"/>
        <v>103</v>
      </c>
      <c r="Q1171" s="34">
        <f t="shared" si="543"/>
        <v>103</v>
      </c>
      <c r="R1171" s="34">
        <f t="shared" si="543"/>
        <v>103</v>
      </c>
      <c r="S1171" s="34">
        <f t="shared" si="543"/>
        <v>103</v>
      </c>
      <c r="T1171" s="34">
        <f t="shared" si="543"/>
        <v>103</v>
      </c>
      <c r="U1171" s="34">
        <f t="shared" si="543"/>
        <v>103</v>
      </c>
      <c r="V1171" s="34">
        <f t="shared" si="543"/>
        <v>103</v>
      </c>
      <c r="W1171" s="34">
        <f t="shared" si="543"/>
        <v>103</v>
      </c>
      <c r="X1171" s="34">
        <f t="shared" si="543"/>
        <v>103</v>
      </c>
      <c r="Y1171" s="34">
        <f t="shared" si="543"/>
        <v>103</v>
      </c>
      <c r="Z1171" s="34">
        <f t="shared" si="543"/>
        <v>103</v>
      </c>
      <c r="AA1171" s="34">
        <f t="shared" si="543"/>
        <v>103</v>
      </c>
      <c r="AB1171" s="34">
        <f t="shared" si="543"/>
        <v>103</v>
      </c>
      <c r="AC1171" s="34">
        <f t="shared" si="543"/>
        <v>103</v>
      </c>
      <c r="AD1171" s="34">
        <f t="shared" si="543"/>
        <v>103</v>
      </c>
      <c r="AE1171" s="34">
        <f t="shared" si="543"/>
        <v>103</v>
      </c>
      <c r="AF1171" s="34">
        <f t="shared" si="543"/>
        <v>103</v>
      </c>
      <c r="AG1171" s="34">
        <f t="shared" si="543"/>
        <v>103</v>
      </c>
      <c r="AH1171" s="34">
        <f t="shared" si="543"/>
        <v>103</v>
      </c>
      <c r="AI1171" s="34">
        <f t="shared" si="543"/>
        <v>103</v>
      </c>
      <c r="AJ1171" s="34">
        <f t="shared" si="543"/>
        <v>103</v>
      </c>
      <c r="AK1171" s="34">
        <f t="shared" si="543"/>
        <v>103</v>
      </c>
      <c r="AL1171" s="34">
        <f t="shared" si="543"/>
        <v>103</v>
      </c>
      <c r="AM1171" s="34">
        <f t="shared" si="543"/>
        <v>103</v>
      </c>
      <c r="AN1171" s="34">
        <f t="shared" si="543"/>
        <v>103</v>
      </c>
      <c r="AO1171" s="34">
        <f t="shared" si="543"/>
        <v>103</v>
      </c>
      <c r="AP1171" s="54"/>
      <c r="AQ1171" s="1"/>
    </row>
    <row r="1172" ht="15.0" customHeight="1">
      <c r="A1172" s="1"/>
      <c r="B1172" s="35"/>
      <c r="C1172" s="35"/>
      <c r="D1172" s="35"/>
      <c r="E1172" s="33" t="s">
        <v>24</v>
      </c>
      <c r="F1172" s="36" t="s">
        <v>25</v>
      </c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37"/>
      <c r="S1172" s="38"/>
      <c r="T1172" s="37"/>
      <c r="U1172" s="38"/>
      <c r="V1172" s="37"/>
      <c r="W1172" s="37"/>
      <c r="X1172" s="37"/>
      <c r="Y1172" s="37"/>
      <c r="Z1172" s="37"/>
      <c r="AA1172" s="37"/>
      <c r="AB1172" s="37"/>
      <c r="AC1172" s="37"/>
      <c r="AD1172" s="38"/>
      <c r="AE1172" s="37"/>
      <c r="AF1172" s="37"/>
      <c r="AG1172" s="37"/>
      <c r="AH1172" s="37"/>
      <c r="AI1172" s="37"/>
      <c r="AJ1172" s="37"/>
      <c r="AK1172" s="37"/>
      <c r="AL1172" s="37"/>
      <c r="AM1172" s="37"/>
      <c r="AN1172" s="37"/>
      <c r="AO1172" s="37"/>
      <c r="AP1172" s="39">
        <f t="shared" ref="AP1172:AP1176" si="544">SUM(H1172:AO1172)</f>
        <v>0</v>
      </c>
      <c r="AQ1172" s="1"/>
    </row>
    <row r="1173" ht="15.0" customHeight="1">
      <c r="A1173" s="1"/>
      <c r="B1173" s="35"/>
      <c r="C1173" s="35"/>
      <c r="D1173" s="35"/>
      <c r="E1173" s="33" t="s">
        <v>400</v>
      </c>
      <c r="F1173" s="36" t="s">
        <v>401</v>
      </c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37"/>
      <c r="S1173" s="38"/>
      <c r="T1173" s="37"/>
      <c r="U1173" s="38"/>
      <c r="V1173" s="37"/>
      <c r="W1173" s="37"/>
      <c r="X1173" s="37"/>
      <c r="Y1173" s="37"/>
      <c r="Z1173" s="37"/>
      <c r="AA1173" s="37"/>
      <c r="AB1173" s="37"/>
      <c r="AC1173" s="37"/>
      <c r="AD1173" s="38"/>
      <c r="AE1173" s="37"/>
      <c r="AF1173" s="37"/>
      <c r="AG1173" s="37"/>
      <c r="AH1173" s="37"/>
      <c r="AI1173" s="37"/>
      <c r="AJ1173" s="37"/>
      <c r="AK1173" s="37"/>
      <c r="AL1173" s="37"/>
      <c r="AM1173" s="37"/>
      <c r="AN1173" s="37"/>
      <c r="AO1173" s="37"/>
      <c r="AP1173" s="39">
        <f t="shared" si="544"/>
        <v>0</v>
      </c>
      <c r="AQ1173" s="1"/>
    </row>
    <row r="1174" ht="15.0" customHeight="1">
      <c r="A1174" s="51"/>
      <c r="B1174" s="35"/>
      <c r="C1174" s="35"/>
      <c r="D1174" s="35"/>
      <c r="E1174" s="47"/>
      <c r="F1174" s="40" t="s">
        <v>26</v>
      </c>
      <c r="G1174" s="49"/>
      <c r="H1174" s="48"/>
      <c r="I1174" s="48"/>
      <c r="J1174" s="48">
        <v>59.0</v>
      </c>
      <c r="K1174" s="48"/>
      <c r="L1174" s="48"/>
      <c r="M1174" s="48"/>
      <c r="N1174" s="48"/>
      <c r="O1174" s="48"/>
      <c r="P1174" s="48"/>
      <c r="Q1174" s="48"/>
      <c r="R1174" s="48"/>
      <c r="S1174" s="48"/>
      <c r="T1174" s="48"/>
      <c r="U1174" s="48"/>
      <c r="V1174" s="48"/>
      <c r="W1174" s="48"/>
      <c r="X1174" s="48"/>
      <c r="Y1174" s="48"/>
      <c r="Z1174" s="48"/>
      <c r="AA1174" s="48"/>
      <c r="AB1174" s="48"/>
      <c r="AC1174" s="48"/>
      <c r="AD1174" s="48"/>
      <c r="AE1174" s="48"/>
      <c r="AF1174" s="48"/>
      <c r="AG1174" s="48"/>
      <c r="AH1174" s="48"/>
      <c r="AI1174" s="48"/>
      <c r="AJ1174" s="48"/>
      <c r="AK1174" s="48"/>
      <c r="AL1174" s="48"/>
      <c r="AM1174" s="48"/>
      <c r="AN1174" s="48"/>
      <c r="AO1174" s="49"/>
      <c r="AP1174" s="50">
        <f t="shared" si="544"/>
        <v>59</v>
      </c>
      <c r="AQ1174" s="51"/>
    </row>
    <row r="1175" ht="15.0" customHeight="1">
      <c r="A1175" s="1"/>
      <c r="B1175" s="35"/>
      <c r="C1175" s="35"/>
      <c r="D1175" s="35"/>
      <c r="E1175" s="33" t="s">
        <v>27</v>
      </c>
      <c r="F1175" s="41" t="s">
        <v>28</v>
      </c>
      <c r="G1175" s="37"/>
      <c r="H1175" s="38"/>
      <c r="I1175" s="38"/>
      <c r="J1175" s="38"/>
      <c r="K1175" s="38"/>
      <c r="L1175" s="38"/>
      <c r="M1175" s="38"/>
      <c r="N1175" s="38"/>
      <c r="O1175" s="38"/>
      <c r="P1175" s="38"/>
      <c r="Q1175" s="38"/>
      <c r="R1175" s="38"/>
      <c r="S1175" s="38"/>
      <c r="T1175" s="38"/>
      <c r="U1175" s="38"/>
      <c r="V1175" s="38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38"/>
      <c r="AI1175" s="38"/>
      <c r="AJ1175" s="38"/>
      <c r="AK1175" s="38"/>
      <c r="AL1175" s="38"/>
      <c r="AM1175" s="38"/>
      <c r="AN1175" s="38"/>
      <c r="AO1175" s="37"/>
      <c r="AP1175" s="39">
        <f t="shared" si="544"/>
        <v>0</v>
      </c>
      <c r="AQ1175" s="1"/>
    </row>
    <row r="1176" ht="15.0" customHeight="1">
      <c r="A1176" s="1"/>
      <c r="B1176" s="35"/>
      <c r="C1176" s="35"/>
      <c r="D1176" s="35"/>
      <c r="E1176" s="33"/>
      <c r="F1176" s="41" t="s">
        <v>29</v>
      </c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37"/>
      <c r="S1176" s="38"/>
      <c r="T1176" s="37"/>
      <c r="U1176" s="38"/>
      <c r="V1176" s="37"/>
      <c r="W1176" s="37"/>
      <c r="X1176" s="37"/>
      <c r="Y1176" s="37"/>
      <c r="Z1176" s="37"/>
      <c r="AA1176" s="37"/>
      <c r="AB1176" s="37"/>
      <c r="AC1176" s="37"/>
      <c r="AD1176" s="38"/>
      <c r="AE1176" s="37"/>
      <c r="AF1176" s="37"/>
      <c r="AG1176" s="37"/>
      <c r="AH1176" s="37"/>
      <c r="AI1176" s="37"/>
      <c r="AJ1176" s="37"/>
      <c r="AK1176" s="37"/>
      <c r="AL1176" s="37"/>
      <c r="AM1176" s="37"/>
      <c r="AN1176" s="37"/>
      <c r="AO1176" s="37"/>
      <c r="AP1176" s="39">
        <f t="shared" si="544"/>
        <v>0</v>
      </c>
      <c r="AQ1176" s="1"/>
    </row>
    <row r="1177" ht="15.75" customHeight="1">
      <c r="A1177" s="1"/>
      <c r="B1177" s="42"/>
      <c r="C1177" s="42"/>
      <c r="D1177" s="42"/>
      <c r="E1177" s="52"/>
      <c r="F1177" s="43" t="s">
        <v>30</v>
      </c>
      <c r="G1177" s="55"/>
      <c r="H1177" s="34">
        <f t="shared" ref="H1177:AN1177" si="545">H1171+H1172+H1173-H1174+H1175-H1176</f>
        <v>162</v>
      </c>
      <c r="I1177" s="34">
        <f t="shared" si="545"/>
        <v>162</v>
      </c>
      <c r="J1177" s="34">
        <f t="shared" si="545"/>
        <v>103</v>
      </c>
      <c r="K1177" s="34">
        <f t="shared" si="545"/>
        <v>103</v>
      </c>
      <c r="L1177" s="34">
        <f t="shared" si="545"/>
        <v>103</v>
      </c>
      <c r="M1177" s="34">
        <f t="shared" si="545"/>
        <v>103</v>
      </c>
      <c r="N1177" s="34">
        <f t="shared" si="545"/>
        <v>103</v>
      </c>
      <c r="O1177" s="34">
        <f t="shared" si="545"/>
        <v>103</v>
      </c>
      <c r="P1177" s="34">
        <f t="shared" si="545"/>
        <v>103</v>
      </c>
      <c r="Q1177" s="34">
        <f t="shared" si="545"/>
        <v>103</v>
      </c>
      <c r="R1177" s="34">
        <f t="shared" si="545"/>
        <v>103</v>
      </c>
      <c r="S1177" s="34">
        <f t="shared" si="545"/>
        <v>103</v>
      </c>
      <c r="T1177" s="34">
        <f t="shared" si="545"/>
        <v>103</v>
      </c>
      <c r="U1177" s="34">
        <f t="shared" si="545"/>
        <v>103</v>
      </c>
      <c r="V1177" s="34">
        <f t="shared" si="545"/>
        <v>103</v>
      </c>
      <c r="W1177" s="34">
        <f t="shared" si="545"/>
        <v>103</v>
      </c>
      <c r="X1177" s="34">
        <f t="shared" si="545"/>
        <v>103</v>
      </c>
      <c r="Y1177" s="34">
        <f t="shared" si="545"/>
        <v>103</v>
      </c>
      <c r="Z1177" s="34">
        <f t="shared" si="545"/>
        <v>103</v>
      </c>
      <c r="AA1177" s="34">
        <f t="shared" si="545"/>
        <v>103</v>
      </c>
      <c r="AB1177" s="34">
        <f t="shared" si="545"/>
        <v>103</v>
      </c>
      <c r="AC1177" s="34">
        <f t="shared" si="545"/>
        <v>103</v>
      </c>
      <c r="AD1177" s="34">
        <f t="shared" si="545"/>
        <v>103</v>
      </c>
      <c r="AE1177" s="34">
        <f t="shared" si="545"/>
        <v>103</v>
      </c>
      <c r="AF1177" s="34">
        <f t="shared" si="545"/>
        <v>103</v>
      </c>
      <c r="AG1177" s="34">
        <f t="shared" si="545"/>
        <v>103</v>
      </c>
      <c r="AH1177" s="34">
        <f t="shared" si="545"/>
        <v>103</v>
      </c>
      <c r="AI1177" s="34">
        <f t="shared" si="545"/>
        <v>103</v>
      </c>
      <c r="AJ1177" s="34">
        <f t="shared" si="545"/>
        <v>103</v>
      </c>
      <c r="AK1177" s="34">
        <f t="shared" si="545"/>
        <v>103</v>
      </c>
      <c r="AL1177" s="34">
        <f t="shared" si="545"/>
        <v>103</v>
      </c>
      <c r="AM1177" s="34">
        <f t="shared" si="545"/>
        <v>103</v>
      </c>
      <c r="AN1177" s="34">
        <f t="shared" si="545"/>
        <v>103</v>
      </c>
      <c r="AO1177" s="34"/>
      <c r="AP1177" s="45">
        <f>AO1171</f>
        <v>103</v>
      </c>
      <c r="AQ1177" s="1"/>
    </row>
    <row r="1178" ht="15.75" hidden="1" customHeight="1">
      <c r="A1178" s="1"/>
      <c r="B1178" s="32">
        <v>2.0</v>
      </c>
      <c r="C1178" s="57" t="s">
        <v>402</v>
      </c>
      <c r="D1178" s="32" t="s">
        <v>403</v>
      </c>
      <c r="E1178" s="13"/>
      <c r="F1178" s="14" t="s">
        <v>23</v>
      </c>
      <c r="G1178" s="44"/>
      <c r="H1178" s="21">
        <v>0.0</v>
      </c>
      <c r="I1178" s="34">
        <f t="shared" ref="I1178:AO1178" si="546">H1185</f>
        <v>0</v>
      </c>
      <c r="J1178" s="34">
        <f t="shared" si="546"/>
        <v>0</v>
      </c>
      <c r="K1178" s="34">
        <f t="shared" si="546"/>
        <v>0</v>
      </c>
      <c r="L1178" s="34">
        <f t="shared" si="546"/>
        <v>0</v>
      </c>
      <c r="M1178" s="34">
        <f t="shared" si="546"/>
        <v>0</v>
      </c>
      <c r="N1178" s="34">
        <f t="shared" si="546"/>
        <v>0</v>
      </c>
      <c r="O1178" s="34">
        <f t="shared" si="546"/>
        <v>0</v>
      </c>
      <c r="P1178" s="34">
        <f t="shared" si="546"/>
        <v>0</v>
      </c>
      <c r="Q1178" s="34">
        <f t="shared" si="546"/>
        <v>0</v>
      </c>
      <c r="R1178" s="34">
        <f t="shared" si="546"/>
        <v>0</v>
      </c>
      <c r="S1178" s="34">
        <f t="shared" si="546"/>
        <v>0</v>
      </c>
      <c r="T1178" s="34">
        <f t="shared" si="546"/>
        <v>0</v>
      </c>
      <c r="U1178" s="34">
        <f t="shared" si="546"/>
        <v>0</v>
      </c>
      <c r="V1178" s="34">
        <f t="shared" si="546"/>
        <v>0</v>
      </c>
      <c r="W1178" s="34">
        <f t="shared" si="546"/>
        <v>0</v>
      </c>
      <c r="X1178" s="34">
        <f t="shared" si="546"/>
        <v>0</v>
      </c>
      <c r="Y1178" s="34">
        <f t="shared" si="546"/>
        <v>0</v>
      </c>
      <c r="Z1178" s="34">
        <f t="shared" si="546"/>
        <v>0</v>
      </c>
      <c r="AA1178" s="34">
        <f t="shared" si="546"/>
        <v>0</v>
      </c>
      <c r="AB1178" s="34">
        <f t="shared" si="546"/>
        <v>0</v>
      </c>
      <c r="AC1178" s="34">
        <f t="shared" si="546"/>
        <v>0</v>
      </c>
      <c r="AD1178" s="34">
        <f t="shared" si="546"/>
        <v>0</v>
      </c>
      <c r="AE1178" s="34">
        <f t="shared" si="546"/>
        <v>0</v>
      </c>
      <c r="AF1178" s="34">
        <f t="shared" si="546"/>
        <v>0</v>
      </c>
      <c r="AG1178" s="34">
        <f t="shared" si="546"/>
        <v>0</v>
      </c>
      <c r="AH1178" s="34">
        <f t="shared" si="546"/>
        <v>0</v>
      </c>
      <c r="AI1178" s="34">
        <f t="shared" si="546"/>
        <v>0</v>
      </c>
      <c r="AJ1178" s="34">
        <f t="shared" si="546"/>
        <v>0</v>
      </c>
      <c r="AK1178" s="34">
        <f t="shared" si="546"/>
        <v>0</v>
      </c>
      <c r="AL1178" s="34">
        <f t="shared" si="546"/>
        <v>0</v>
      </c>
      <c r="AM1178" s="34">
        <f t="shared" si="546"/>
        <v>0</v>
      </c>
      <c r="AN1178" s="34">
        <f t="shared" si="546"/>
        <v>0</v>
      </c>
      <c r="AO1178" s="34">
        <f t="shared" si="546"/>
        <v>0</v>
      </c>
      <c r="AP1178" s="54"/>
      <c r="AQ1178" s="1"/>
    </row>
    <row r="1179" ht="15.75" hidden="1" customHeight="1">
      <c r="A1179" s="1"/>
      <c r="B1179" s="35"/>
      <c r="C1179" s="35"/>
      <c r="D1179" s="35"/>
      <c r="E1179" s="107" t="s">
        <v>24</v>
      </c>
      <c r="F1179" s="14" t="s">
        <v>404</v>
      </c>
      <c r="G1179" s="44"/>
      <c r="H1179" s="21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54"/>
      <c r="AQ1179" s="1"/>
    </row>
    <row r="1180" ht="15.75" hidden="1" customHeight="1">
      <c r="A1180" s="1"/>
      <c r="B1180" s="35"/>
      <c r="C1180" s="35"/>
      <c r="D1180" s="35"/>
      <c r="E1180" s="1"/>
      <c r="F1180" s="36" t="s">
        <v>405</v>
      </c>
      <c r="G1180" s="44"/>
      <c r="H1180" s="21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21"/>
      <c r="AP1180" s="39">
        <f t="shared" ref="AP1180:AP1184" si="547">SUM(H1180:AO1180)</f>
        <v>0</v>
      </c>
      <c r="AQ1180" s="1"/>
    </row>
    <row r="1181" ht="15.75" hidden="1" customHeight="1">
      <c r="A1181" s="1"/>
      <c r="B1181" s="35"/>
      <c r="C1181" s="35"/>
      <c r="D1181" s="35"/>
      <c r="E1181" s="33"/>
      <c r="F1181" s="36" t="s">
        <v>93</v>
      </c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37"/>
      <c r="S1181" s="38"/>
      <c r="T1181" s="37"/>
      <c r="U1181" s="38"/>
      <c r="V1181" s="37"/>
      <c r="W1181" s="37"/>
      <c r="X1181" s="37"/>
      <c r="Y1181" s="37"/>
      <c r="Z1181" s="37"/>
      <c r="AA1181" s="37"/>
      <c r="AB1181" s="37"/>
      <c r="AC1181" s="37"/>
      <c r="AD1181" s="38"/>
      <c r="AE1181" s="37"/>
      <c r="AF1181" s="37"/>
      <c r="AG1181" s="37"/>
      <c r="AH1181" s="37"/>
      <c r="AI1181" s="37"/>
      <c r="AJ1181" s="37"/>
      <c r="AK1181" s="37"/>
      <c r="AL1181" s="37"/>
      <c r="AM1181" s="37"/>
      <c r="AN1181" s="37"/>
      <c r="AO1181" s="37"/>
      <c r="AP1181" s="39">
        <f t="shared" si="547"/>
        <v>0</v>
      </c>
      <c r="AQ1181" s="1"/>
    </row>
    <row r="1182" ht="15.75" hidden="1" customHeight="1">
      <c r="A1182" s="1"/>
      <c r="B1182" s="35"/>
      <c r="C1182" s="35"/>
      <c r="D1182" s="35"/>
      <c r="E1182" s="33" t="s">
        <v>406</v>
      </c>
      <c r="F1182" s="40" t="s">
        <v>406</v>
      </c>
      <c r="G1182" s="37"/>
      <c r="H1182" s="38"/>
      <c r="I1182" s="38"/>
      <c r="J1182" s="38"/>
      <c r="K1182" s="38"/>
      <c r="L1182" s="38"/>
      <c r="M1182" s="38"/>
      <c r="N1182" s="38"/>
      <c r="O1182" s="38"/>
      <c r="P1182" s="38"/>
      <c r="Q1182" s="38"/>
      <c r="R1182" s="38"/>
      <c r="S1182" s="38"/>
      <c r="T1182" s="38"/>
      <c r="U1182" s="38"/>
      <c r="V1182" s="38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38"/>
      <c r="AI1182" s="38"/>
      <c r="AJ1182" s="38"/>
      <c r="AK1182" s="38"/>
      <c r="AL1182" s="38"/>
      <c r="AM1182" s="38"/>
      <c r="AN1182" s="38"/>
      <c r="AO1182" s="37"/>
      <c r="AP1182" s="39">
        <f t="shared" si="547"/>
        <v>0</v>
      </c>
      <c r="AQ1182" s="1"/>
    </row>
    <row r="1183" ht="15.75" hidden="1" customHeight="1">
      <c r="A1183" s="1"/>
      <c r="B1183" s="35"/>
      <c r="C1183" s="35"/>
      <c r="D1183" s="35"/>
      <c r="E1183" s="33" t="s">
        <v>404</v>
      </c>
      <c r="F1183" s="41" t="s">
        <v>407</v>
      </c>
      <c r="G1183" s="37"/>
      <c r="H1183" s="38"/>
      <c r="I1183" s="38"/>
      <c r="J1183" s="38"/>
      <c r="K1183" s="38"/>
      <c r="L1183" s="38"/>
      <c r="M1183" s="38"/>
      <c r="N1183" s="38"/>
      <c r="O1183" s="38"/>
      <c r="P1183" s="38"/>
      <c r="Q1183" s="38"/>
      <c r="R1183" s="38"/>
      <c r="S1183" s="38"/>
      <c r="T1183" s="38"/>
      <c r="U1183" s="38"/>
      <c r="V1183" s="38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38"/>
      <c r="AI1183" s="38"/>
      <c r="AJ1183" s="38"/>
      <c r="AK1183" s="38"/>
      <c r="AL1183" s="38"/>
      <c r="AM1183" s="38"/>
      <c r="AN1183" s="38"/>
      <c r="AO1183" s="37"/>
      <c r="AP1183" s="39">
        <f t="shared" si="547"/>
        <v>0</v>
      </c>
      <c r="AQ1183" s="1"/>
    </row>
    <row r="1184" ht="15.75" hidden="1" customHeight="1">
      <c r="A1184" s="1"/>
      <c r="B1184" s="35"/>
      <c r="C1184" s="35"/>
      <c r="D1184" s="35"/>
      <c r="E1184" s="33" t="s">
        <v>397</v>
      </c>
      <c r="F1184" s="41" t="s">
        <v>408</v>
      </c>
      <c r="G1184" s="37"/>
      <c r="H1184" s="38"/>
      <c r="I1184" s="38"/>
      <c r="J1184" s="38"/>
      <c r="K1184" s="38"/>
      <c r="L1184" s="38"/>
      <c r="M1184" s="38"/>
      <c r="N1184" s="38"/>
      <c r="O1184" s="38"/>
      <c r="P1184" s="38"/>
      <c r="Q1184" s="38"/>
      <c r="R1184" s="38"/>
      <c r="S1184" s="38"/>
      <c r="T1184" s="38"/>
      <c r="U1184" s="38"/>
      <c r="V1184" s="38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38"/>
      <c r="AI1184" s="38"/>
      <c r="AJ1184" s="38"/>
      <c r="AK1184" s="38"/>
      <c r="AL1184" s="38"/>
      <c r="AM1184" s="38"/>
      <c r="AN1184" s="38"/>
      <c r="AO1184" s="37"/>
      <c r="AP1184" s="39">
        <f t="shared" si="547"/>
        <v>0</v>
      </c>
      <c r="AQ1184" s="1"/>
    </row>
    <row r="1185" ht="15.75" hidden="1" customHeight="1">
      <c r="A1185" s="1"/>
      <c r="B1185" s="42"/>
      <c r="C1185" s="42"/>
      <c r="D1185" s="42"/>
      <c r="E1185" s="52"/>
      <c r="F1185" s="43" t="s">
        <v>30</v>
      </c>
      <c r="G1185" s="55"/>
      <c r="H1185" s="34">
        <f t="shared" ref="H1185:AN1185" si="548">H1178+H1179+H1180+H1181-H1182+H1183-H1184</f>
        <v>0</v>
      </c>
      <c r="I1185" s="34">
        <f t="shared" si="548"/>
        <v>0</v>
      </c>
      <c r="J1185" s="34">
        <f t="shared" si="548"/>
        <v>0</v>
      </c>
      <c r="K1185" s="34">
        <f t="shared" si="548"/>
        <v>0</v>
      </c>
      <c r="L1185" s="34">
        <f t="shared" si="548"/>
        <v>0</v>
      </c>
      <c r="M1185" s="34">
        <f t="shared" si="548"/>
        <v>0</v>
      </c>
      <c r="N1185" s="34">
        <f t="shared" si="548"/>
        <v>0</v>
      </c>
      <c r="O1185" s="34">
        <f t="shared" si="548"/>
        <v>0</v>
      </c>
      <c r="P1185" s="34">
        <f t="shared" si="548"/>
        <v>0</v>
      </c>
      <c r="Q1185" s="34">
        <f t="shared" si="548"/>
        <v>0</v>
      </c>
      <c r="R1185" s="34">
        <f t="shared" si="548"/>
        <v>0</v>
      </c>
      <c r="S1185" s="34">
        <f t="shared" si="548"/>
        <v>0</v>
      </c>
      <c r="T1185" s="34">
        <f t="shared" si="548"/>
        <v>0</v>
      </c>
      <c r="U1185" s="34">
        <f t="shared" si="548"/>
        <v>0</v>
      </c>
      <c r="V1185" s="34">
        <f t="shared" si="548"/>
        <v>0</v>
      </c>
      <c r="W1185" s="34">
        <f t="shared" si="548"/>
        <v>0</v>
      </c>
      <c r="X1185" s="34">
        <f t="shared" si="548"/>
        <v>0</v>
      </c>
      <c r="Y1185" s="34">
        <f t="shared" si="548"/>
        <v>0</v>
      </c>
      <c r="Z1185" s="34">
        <f t="shared" si="548"/>
        <v>0</v>
      </c>
      <c r="AA1185" s="34">
        <f t="shared" si="548"/>
        <v>0</v>
      </c>
      <c r="AB1185" s="34">
        <f t="shared" si="548"/>
        <v>0</v>
      </c>
      <c r="AC1185" s="34">
        <f t="shared" si="548"/>
        <v>0</v>
      </c>
      <c r="AD1185" s="34">
        <f t="shared" si="548"/>
        <v>0</v>
      </c>
      <c r="AE1185" s="34">
        <f t="shared" si="548"/>
        <v>0</v>
      </c>
      <c r="AF1185" s="34">
        <f t="shared" si="548"/>
        <v>0</v>
      </c>
      <c r="AG1185" s="34">
        <f t="shared" si="548"/>
        <v>0</v>
      </c>
      <c r="AH1185" s="34">
        <f t="shared" si="548"/>
        <v>0</v>
      </c>
      <c r="AI1185" s="34">
        <f t="shared" si="548"/>
        <v>0</v>
      </c>
      <c r="AJ1185" s="34">
        <f t="shared" si="548"/>
        <v>0</v>
      </c>
      <c r="AK1185" s="34">
        <f t="shared" si="548"/>
        <v>0</v>
      </c>
      <c r="AL1185" s="34">
        <f t="shared" si="548"/>
        <v>0</v>
      </c>
      <c r="AM1185" s="34">
        <f t="shared" si="548"/>
        <v>0</v>
      </c>
      <c r="AN1185" s="34">
        <f t="shared" si="548"/>
        <v>0</v>
      </c>
      <c r="AO1185" s="34"/>
      <c r="AP1185" s="45">
        <f>AO1178</f>
        <v>0</v>
      </c>
      <c r="AQ1185" s="1"/>
    </row>
    <row r="1186" ht="15.75" hidden="1" customHeight="1">
      <c r="A1186" s="1"/>
      <c r="B1186" s="32">
        <v>3.0</v>
      </c>
      <c r="C1186" s="57" t="s">
        <v>409</v>
      </c>
      <c r="D1186" s="32" t="s">
        <v>410</v>
      </c>
      <c r="E1186" s="13"/>
      <c r="F1186" s="14" t="s">
        <v>23</v>
      </c>
      <c r="G1186" s="44"/>
      <c r="H1186" s="21">
        <v>0.0</v>
      </c>
      <c r="I1186" s="34">
        <f t="shared" ref="I1186:AO1186" si="549">H1192</f>
        <v>0</v>
      </c>
      <c r="J1186" s="34">
        <f t="shared" si="549"/>
        <v>0</v>
      </c>
      <c r="K1186" s="34">
        <f t="shared" si="549"/>
        <v>0</v>
      </c>
      <c r="L1186" s="34">
        <f t="shared" si="549"/>
        <v>0</v>
      </c>
      <c r="M1186" s="34">
        <f t="shared" si="549"/>
        <v>0</v>
      </c>
      <c r="N1186" s="34">
        <f t="shared" si="549"/>
        <v>0</v>
      </c>
      <c r="O1186" s="34">
        <f t="shared" si="549"/>
        <v>0</v>
      </c>
      <c r="P1186" s="34">
        <f t="shared" si="549"/>
        <v>0</v>
      </c>
      <c r="Q1186" s="34">
        <f t="shared" si="549"/>
        <v>0</v>
      </c>
      <c r="R1186" s="34">
        <f t="shared" si="549"/>
        <v>0</v>
      </c>
      <c r="S1186" s="34">
        <f t="shared" si="549"/>
        <v>0</v>
      </c>
      <c r="T1186" s="34">
        <f t="shared" si="549"/>
        <v>0</v>
      </c>
      <c r="U1186" s="34">
        <f t="shared" si="549"/>
        <v>0</v>
      </c>
      <c r="V1186" s="34">
        <f t="shared" si="549"/>
        <v>0</v>
      </c>
      <c r="W1186" s="34">
        <f t="shared" si="549"/>
        <v>0</v>
      </c>
      <c r="X1186" s="34">
        <f t="shared" si="549"/>
        <v>0</v>
      </c>
      <c r="Y1186" s="34">
        <f t="shared" si="549"/>
        <v>0</v>
      </c>
      <c r="Z1186" s="34">
        <f t="shared" si="549"/>
        <v>0</v>
      </c>
      <c r="AA1186" s="34">
        <f t="shared" si="549"/>
        <v>0</v>
      </c>
      <c r="AB1186" s="34">
        <f t="shared" si="549"/>
        <v>0</v>
      </c>
      <c r="AC1186" s="34">
        <f t="shared" si="549"/>
        <v>0</v>
      </c>
      <c r="AD1186" s="34">
        <f t="shared" si="549"/>
        <v>0</v>
      </c>
      <c r="AE1186" s="34">
        <f t="shared" si="549"/>
        <v>0</v>
      </c>
      <c r="AF1186" s="34">
        <f t="shared" si="549"/>
        <v>0</v>
      </c>
      <c r="AG1186" s="34">
        <f t="shared" si="549"/>
        <v>0</v>
      </c>
      <c r="AH1186" s="34">
        <f t="shared" si="549"/>
        <v>0</v>
      </c>
      <c r="AI1186" s="34">
        <f t="shared" si="549"/>
        <v>0</v>
      </c>
      <c r="AJ1186" s="34">
        <f t="shared" si="549"/>
        <v>0</v>
      </c>
      <c r="AK1186" s="34">
        <f t="shared" si="549"/>
        <v>0</v>
      </c>
      <c r="AL1186" s="34">
        <f t="shared" si="549"/>
        <v>0</v>
      </c>
      <c r="AM1186" s="34">
        <f t="shared" si="549"/>
        <v>0</v>
      </c>
      <c r="AN1186" s="34">
        <f t="shared" si="549"/>
        <v>0</v>
      </c>
      <c r="AO1186" s="34">
        <f t="shared" si="549"/>
        <v>0</v>
      </c>
      <c r="AP1186" s="54"/>
      <c r="AQ1186" s="1"/>
    </row>
    <row r="1187" ht="15.75" hidden="1" customHeight="1">
      <c r="A1187" s="1"/>
      <c r="B1187" s="35"/>
      <c r="C1187" s="35"/>
      <c r="D1187" s="35"/>
      <c r="E1187" s="107" t="s">
        <v>24</v>
      </c>
      <c r="F1187" s="14" t="s">
        <v>25</v>
      </c>
      <c r="G1187" s="44"/>
      <c r="H1187" s="21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21"/>
      <c r="AP1187" s="39">
        <f t="shared" ref="AP1187:AP1191" si="550">SUM(H1187:AO1187)</f>
        <v>0</v>
      </c>
      <c r="AQ1187" s="1"/>
    </row>
    <row r="1188" ht="15.75" hidden="1" customHeight="1">
      <c r="A1188" s="1"/>
      <c r="B1188" s="35"/>
      <c r="C1188" s="35"/>
      <c r="D1188" s="35"/>
      <c r="E1188" s="33"/>
      <c r="F1188" s="36" t="s">
        <v>411</v>
      </c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37"/>
      <c r="S1188" s="38"/>
      <c r="T1188" s="37"/>
      <c r="U1188" s="38"/>
      <c r="V1188" s="37"/>
      <c r="W1188" s="37"/>
      <c r="X1188" s="37"/>
      <c r="Y1188" s="37"/>
      <c r="Z1188" s="37"/>
      <c r="AA1188" s="37"/>
      <c r="AB1188" s="37"/>
      <c r="AC1188" s="37"/>
      <c r="AD1188" s="38"/>
      <c r="AE1188" s="37"/>
      <c r="AF1188" s="37"/>
      <c r="AG1188" s="37"/>
      <c r="AH1188" s="37"/>
      <c r="AI1188" s="37"/>
      <c r="AJ1188" s="37"/>
      <c r="AK1188" s="37"/>
      <c r="AL1188" s="37"/>
      <c r="AM1188" s="37"/>
      <c r="AN1188" s="37"/>
      <c r="AO1188" s="37"/>
      <c r="AP1188" s="39">
        <f t="shared" si="550"/>
        <v>0</v>
      </c>
      <c r="AQ1188" s="1"/>
    </row>
    <row r="1189" ht="15.75" hidden="1" customHeight="1">
      <c r="A1189" s="1"/>
      <c r="B1189" s="35"/>
      <c r="C1189" s="35"/>
      <c r="D1189" s="35"/>
      <c r="E1189" s="33"/>
      <c r="F1189" s="40" t="s">
        <v>26</v>
      </c>
      <c r="G1189" s="37"/>
      <c r="H1189" s="38"/>
      <c r="I1189" s="38"/>
      <c r="J1189" s="38"/>
      <c r="K1189" s="38"/>
      <c r="L1189" s="38"/>
      <c r="M1189" s="38"/>
      <c r="N1189" s="38"/>
      <c r="O1189" s="38"/>
      <c r="P1189" s="38"/>
      <c r="Q1189" s="38"/>
      <c r="R1189" s="38"/>
      <c r="S1189" s="38"/>
      <c r="T1189" s="38"/>
      <c r="U1189" s="38"/>
      <c r="V1189" s="38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38"/>
      <c r="AI1189" s="38"/>
      <c r="AJ1189" s="38"/>
      <c r="AK1189" s="38"/>
      <c r="AL1189" s="38"/>
      <c r="AM1189" s="38"/>
      <c r="AN1189" s="38"/>
      <c r="AO1189" s="37"/>
      <c r="AP1189" s="39">
        <f t="shared" si="550"/>
        <v>0</v>
      </c>
      <c r="AQ1189" s="1"/>
    </row>
    <row r="1190" ht="15.75" hidden="1" customHeight="1">
      <c r="A1190" s="1"/>
      <c r="B1190" s="35"/>
      <c r="C1190" s="35"/>
      <c r="D1190" s="35"/>
      <c r="E1190" s="33" t="s">
        <v>27</v>
      </c>
      <c r="F1190" s="41" t="s">
        <v>28</v>
      </c>
      <c r="G1190" s="37"/>
      <c r="H1190" s="38"/>
      <c r="I1190" s="38"/>
      <c r="J1190" s="38"/>
      <c r="K1190" s="38"/>
      <c r="L1190" s="38"/>
      <c r="M1190" s="38"/>
      <c r="N1190" s="38"/>
      <c r="O1190" s="38"/>
      <c r="P1190" s="38"/>
      <c r="Q1190" s="38"/>
      <c r="R1190" s="38"/>
      <c r="S1190" s="38"/>
      <c r="T1190" s="38"/>
      <c r="U1190" s="38"/>
      <c r="V1190" s="38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38"/>
      <c r="AI1190" s="38"/>
      <c r="AJ1190" s="38"/>
      <c r="AK1190" s="38"/>
      <c r="AL1190" s="38"/>
      <c r="AM1190" s="38"/>
      <c r="AN1190" s="38"/>
      <c r="AO1190" s="37"/>
      <c r="AP1190" s="39">
        <f t="shared" si="550"/>
        <v>0</v>
      </c>
      <c r="AQ1190" s="1"/>
    </row>
    <row r="1191" ht="15.75" hidden="1" customHeight="1">
      <c r="A1191" s="1"/>
      <c r="B1191" s="35"/>
      <c r="C1191" s="35"/>
      <c r="D1191" s="35"/>
      <c r="E1191" s="33"/>
      <c r="F1191" s="41" t="s">
        <v>408</v>
      </c>
      <c r="G1191" s="37"/>
      <c r="H1191" s="38"/>
      <c r="I1191" s="38"/>
      <c r="J1191" s="38"/>
      <c r="K1191" s="38"/>
      <c r="L1191" s="38"/>
      <c r="M1191" s="38"/>
      <c r="N1191" s="38"/>
      <c r="O1191" s="38"/>
      <c r="P1191" s="38"/>
      <c r="Q1191" s="38"/>
      <c r="R1191" s="38"/>
      <c r="S1191" s="38"/>
      <c r="T1191" s="38"/>
      <c r="U1191" s="38"/>
      <c r="V1191" s="38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38"/>
      <c r="AI1191" s="38"/>
      <c r="AJ1191" s="38"/>
      <c r="AK1191" s="38"/>
      <c r="AL1191" s="38"/>
      <c r="AM1191" s="38"/>
      <c r="AN1191" s="38"/>
      <c r="AO1191" s="37"/>
      <c r="AP1191" s="39">
        <f t="shared" si="550"/>
        <v>0</v>
      </c>
      <c r="AQ1191" s="1"/>
    </row>
    <row r="1192" ht="15.75" hidden="1" customHeight="1">
      <c r="A1192" s="1"/>
      <c r="B1192" s="42"/>
      <c r="C1192" s="42"/>
      <c r="D1192" s="42"/>
      <c r="E1192" s="52"/>
      <c r="F1192" s="43" t="s">
        <v>30</v>
      </c>
      <c r="G1192" s="55"/>
      <c r="H1192" s="34">
        <f t="shared" ref="H1192:AN1192" si="551">H1186+H1187+H1188-H1189+H1190-H1191</f>
        <v>0</v>
      </c>
      <c r="I1192" s="34">
        <f t="shared" si="551"/>
        <v>0</v>
      </c>
      <c r="J1192" s="34">
        <f t="shared" si="551"/>
        <v>0</v>
      </c>
      <c r="K1192" s="34">
        <f t="shared" si="551"/>
        <v>0</v>
      </c>
      <c r="L1192" s="34">
        <f t="shared" si="551"/>
        <v>0</v>
      </c>
      <c r="M1192" s="34">
        <f t="shared" si="551"/>
        <v>0</v>
      </c>
      <c r="N1192" s="34">
        <f t="shared" si="551"/>
        <v>0</v>
      </c>
      <c r="O1192" s="34">
        <f t="shared" si="551"/>
        <v>0</v>
      </c>
      <c r="P1192" s="34">
        <f t="shared" si="551"/>
        <v>0</v>
      </c>
      <c r="Q1192" s="34">
        <f t="shared" si="551"/>
        <v>0</v>
      </c>
      <c r="R1192" s="34">
        <f t="shared" si="551"/>
        <v>0</v>
      </c>
      <c r="S1192" s="34">
        <f t="shared" si="551"/>
        <v>0</v>
      </c>
      <c r="T1192" s="34">
        <f t="shared" si="551"/>
        <v>0</v>
      </c>
      <c r="U1192" s="34">
        <f t="shared" si="551"/>
        <v>0</v>
      </c>
      <c r="V1192" s="34">
        <f t="shared" si="551"/>
        <v>0</v>
      </c>
      <c r="W1192" s="34">
        <f t="shared" si="551"/>
        <v>0</v>
      </c>
      <c r="X1192" s="34">
        <f t="shared" si="551"/>
        <v>0</v>
      </c>
      <c r="Y1192" s="34">
        <f t="shared" si="551"/>
        <v>0</v>
      </c>
      <c r="Z1192" s="34">
        <f t="shared" si="551"/>
        <v>0</v>
      </c>
      <c r="AA1192" s="34">
        <f t="shared" si="551"/>
        <v>0</v>
      </c>
      <c r="AB1192" s="34">
        <f t="shared" si="551"/>
        <v>0</v>
      </c>
      <c r="AC1192" s="34">
        <f t="shared" si="551"/>
        <v>0</v>
      </c>
      <c r="AD1192" s="34">
        <f t="shared" si="551"/>
        <v>0</v>
      </c>
      <c r="AE1192" s="34">
        <f t="shared" si="551"/>
        <v>0</v>
      </c>
      <c r="AF1192" s="34">
        <f t="shared" si="551"/>
        <v>0</v>
      </c>
      <c r="AG1192" s="34">
        <f t="shared" si="551"/>
        <v>0</v>
      </c>
      <c r="AH1192" s="34">
        <f t="shared" si="551"/>
        <v>0</v>
      </c>
      <c r="AI1192" s="34">
        <f t="shared" si="551"/>
        <v>0</v>
      </c>
      <c r="AJ1192" s="34">
        <f t="shared" si="551"/>
        <v>0</v>
      </c>
      <c r="AK1192" s="34">
        <f t="shared" si="551"/>
        <v>0</v>
      </c>
      <c r="AL1192" s="34">
        <f t="shared" si="551"/>
        <v>0</v>
      </c>
      <c r="AM1192" s="34">
        <f t="shared" si="551"/>
        <v>0</v>
      </c>
      <c r="AN1192" s="34">
        <f t="shared" si="551"/>
        <v>0</v>
      </c>
      <c r="AO1192" s="34"/>
      <c r="AP1192" s="45">
        <f>AO1186</f>
        <v>0</v>
      </c>
      <c r="AQ1192" s="1"/>
    </row>
    <row r="1193" ht="15.75" hidden="1" customHeight="1">
      <c r="A1193" s="1"/>
      <c r="B1193" s="32">
        <v>4.0</v>
      </c>
      <c r="C1193" s="57" t="s">
        <v>412</v>
      </c>
      <c r="D1193" s="32" t="s">
        <v>413</v>
      </c>
      <c r="E1193" s="13"/>
      <c r="F1193" s="14" t="s">
        <v>23</v>
      </c>
      <c r="G1193" s="44"/>
      <c r="H1193" s="21">
        <v>0.0</v>
      </c>
      <c r="I1193" s="34">
        <f t="shared" ref="I1193:AO1193" si="552">H1199</f>
        <v>0</v>
      </c>
      <c r="J1193" s="34">
        <f t="shared" si="552"/>
        <v>0</v>
      </c>
      <c r="K1193" s="34">
        <f t="shared" si="552"/>
        <v>0</v>
      </c>
      <c r="L1193" s="34">
        <f t="shared" si="552"/>
        <v>0</v>
      </c>
      <c r="M1193" s="34">
        <f t="shared" si="552"/>
        <v>0</v>
      </c>
      <c r="N1193" s="34">
        <f t="shared" si="552"/>
        <v>0</v>
      </c>
      <c r="O1193" s="34">
        <f t="shared" si="552"/>
        <v>0</v>
      </c>
      <c r="P1193" s="34">
        <f t="shared" si="552"/>
        <v>0</v>
      </c>
      <c r="Q1193" s="34">
        <f t="shared" si="552"/>
        <v>0</v>
      </c>
      <c r="R1193" s="34">
        <f t="shared" si="552"/>
        <v>0</v>
      </c>
      <c r="S1193" s="34">
        <f t="shared" si="552"/>
        <v>0</v>
      </c>
      <c r="T1193" s="34">
        <f t="shared" si="552"/>
        <v>0</v>
      </c>
      <c r="U1193" s="34">
        <f t="shared" si="552"/>
        <v>0</v>
      </c>
      <c r="V1193" s="34">
        <f t="shared" si="552"/>
        <v>0</v>
      </c>
      <c r="W1193" s="34">
        <f t="shared" si="552"/>
        <v>0</v>
      </c>
      <c r="X1193" s="34">
        <f t="shared" si="552"/>
        <v>0</v>
      </c>
      <c r="Y1193" s="34">
        <f t="shared" si="552"/>
        <v>0</v>
      </c>
      <c r="Z1193" s="34">
        <f t="shared" si="552"/>
        <v>0</v>
      </c>
      <c r="AA1193" s="34">
        <f t="shared" si="552"/>
        <v>0</v>
      </c>
      <c r="AB1193" s="34">
        <f t="shared" si="552"/>
        <v>0</v>
      </c>
      <c r="AC1193" s="34">
        <f t="shared" si="552"/>
        <v>0</v>
      </c>
      <c r="AD1193" s="34">
        <f t="shared" si="552"/>
        <v>0</v>
      </c>
      <c r="AE1193" s="34">
        <f t="shared" si="552"/>
        <v>0</v>
      </c>
      <c r="AF1193" s="34">
        <f t="shared" si="552"/>
        <v>0</v>
      </c>
      <c r="AG1193" s="34">
        <f t="shared" si="552"/>
        <v>0</v>
      </c>
      <c r="AH1193" s="34">
        <f t="shared" si="552"/>
        <v>0</v>
      </c>
      <c r="AI1193" s="34">
        <f t="shared" si="552"/>
        <v>0</v>
      </c>
      <c r="AJ1193" s="34">
        <f t="shared" si="552"/>
        <v>0</v>
      </c>
      <c r="AK1193" s="34">
        <f t="shared" si="552"/>
        <v>0</v>
      </c>
      <c r="AL1193" s="34">
        <f t="shared" si="552"/>
        <v>0</v>
      </c>
      <c r="AM1193" s="34">
        <f t="shared" si="552"/>
        <v>0</v>
      </c>
      <c r="AN1193" s="34">
        <f t="shared" si="552"/>
        <v>0</v>
      </c>
      <c r="AO1193" s="34">
        <f t="shared" si="552"/>
        <v>0</v>
      </c>
      <c r="AP1193" s="54"/>
      <c r="AQ1193" s="1"/>
    </row>
    <row r="1194" ht="15.75" hidden="1" customHeight="1">
      <c r="A1194" s="1"/>
      <c r="B1194" s="35"/>
      <c r="C1194" s="35"/>
      <c r="D1194" s="35"/>
      <c r="E1194" s="107"/>
      <c r="F1194" s="14" t="s">
        <v>25</v>
      </c>
      <c r="G1194" s="44"/>
      <c r="H1194" s="21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21"/>
      <c r="AP1194" s="39">
        <f t="shared" ref="AP1194:AP1198" si="553">SUM(H1194:AO1194)</f>
        <v>0</v>
      </c>
      <c r="AQ1194" s="1"/>
    </row>
    <row r="1195" ht="15.75" hidden="1" customHeight="1">
      <c r="A1195" s="1"/>
      <c r="B1195" s="35"/>
      <c r="C1195" s="35"/>
      <c r="D1195" s="35"/>
      <c r="E1195" s="33"/>
      <c r="F1195" s="36" t="s">
        <v>405</v>
      </c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37"/>
      <c r="S1195" s="38"/>
      <c r="T1195" s="37"/>
      <c r="U1195" s="38"/>
      <c r="V1195" s="34"/>
      <c r="W1195" s="37"/>
      <c r="X1195" s="37"/>
      <c r="Y1195" s="37"/>
      <c r="Z1195" s="37"/>
      <c r="AA1195" s="37"/>
      <c r="AB1195" s="37"/>
      <c r="AC1195" s="37"/>
      <c r="AD1195" s="38"/>
      <c r="AE1195" s="37"/>
      <c r="AF1195" s="37"/>
      <c r="AG1195" s="37"/>
      <c r="AH1195" s="37"/>
      <c r="AI1195" s="37"/>
      <c r="AJ1195" s="37"/>
      <c r="AK1195" s="37"/>
      <c r="AL1195" s="37"/>
      <c r="AM1195" s="37"/>
      <c r="AN1195" s="37"/>
      <c r="AO1195" s="37"/>
      <c r="AP1195" s="39">
        <f t="shared" si="553"/>
        <v>0</v>
      </c>
      <c r="AQ1195" s="1"/>
    </row>
    <row r="1196" ht="15.75" hidden="1" customHeight="1">
      <c r="A1196" s="1"/>
      <c r="B1196" s="35"/>
      <c r="C1196" s="35"/>
      <c r="D1196" s="35"/>
      <c r="E1196" s="33" t="s">
        <v>406</v>
      </c>
      <c r="F1196" s="40" t="s">
        <v>26</v>
      </c>
      <c r="G1196" s="37"/>
      <c r="H1196" s="38"/>
      <c r="I1196" s="38"/>
      <c r="J1196" s="38"/>
      <c r="K1196" s="38"/>
      <c r="L1196" s="38"/>
      <c r="M1196" s="38"/>
      <c r="N1196" s="38"/>
      <c r="O1196" s="38"/>
      <c r="P1196" s="38"/>
      <c r="Q1196" s="38"/>
      <c r="R1196" s="38"/>
      <c r="S1196" s="38"/>
      <c r="T1196" s="38"/>
      <c r="U1196" s="38"/>
      <c r="V1196" s="38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38"/>
      <c r="AI1196" s="38"/>
      <c r="AJ1196" s="38"/>
      <c r="AK1196" s="38"/>
      <c r="AL1196" s="38"/>
      <c r="AM1196" s="38"/>
      <c r="AN1196" s="38"/>
      <c r="AO1196" s="37"/>
      <c r="AP1196" s="39">
        <f t="shared" si="553"/>
        <v>0</v>
      </c>
      <c r="AQ1196" s="1"/>
    </row>
    <row r="1197" ht="15.75" hidden="1" customHeight="1">
      <c r="A1197" s="1"/>
      <c r="B1197" s="35"/>
      <c r="C1197" s="35"/>
      <c r="D1197" s="35"/>
      <c r="E1197" s="33" t="s">
        <v>27</v>
      </c>
      <c r="F1197" s="41" t="s">
        <v>28</v>
      </c>
      <c r="G1197" s="37"/>
      <c r="H1197" s="38"/>
      <c r="I1197" s="38"/>
      <c r="J1197" s="38"/>
      <c r="K1197" s="38"/>
      <c r="L1197" s="38"/>
      <c r="M1197" s="38"/>
      <c r="N1197" s="38"/>
      <c r="O1197" s="38"/>
      <c r="P1197" s="38"/>
      <c r="Q1197" s="38"/>
      <c r="R1197" s="38"/>
      <c r="S1197" s="38"/>
      <c r="T1197" s="38"/>
      <c r="U1197" s="38"/>
      <c r="V1197" s="38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38"/>
      <c r="AI1197" s="38"/>
      <c r="AJ1197" s="38"/>
      <c r="AK1197" s="38"/>
      <c r="AL1197" s="38"/>
      <c r="AM1197" s="38"/>
      <c r="AN1197" s="38"/>
      <c r="AO1197" s="37"/>
      <c r="AP1197" s="39">
        <f t="shared" si="553"/>
        <v>0</v>
      </c>
      <c r="AQ1197" s="1"/>
    </row>
    <row r="1198" ht="15.75" hidden="1" customHeight="1">
      <c r="A1198" s="1"/>
      <c r="B1198" s="35"/>
      <c r="C1198" s="35"/>
      <c r="D1198" s="35"/>
      <c r="E1198" s="33"/>
      <c r="F1198" s="41" t="s">
        <v>414</v>
      </c>
      <c r="G1198" s="37"/>
      <c r="H1198" s="38"/>
      <c r="I1198" s="38"/>
      <c r="J1198" s="38"/>
      <c r="K1198" s="38"/>
      <c r="L1198" s="38"/>
      <c r="M1198" s="38"/>
      <c r="N1198" s="38"/>
      <c r="O1198" s="38"/>
      <c r="P1198" s="38"/>
      <c r="Q1198" s="38"/>
      <c r="R1198" s="38"/>
      <c r="S1198" s="38"/>
      <c r="T1198" s="38"/>
      <c r="U1198" s="38"/>
      <c r="V1198" s="38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38"/>
      <c r="AI1198" s="38"/>
      <c r="AJ1198" s="38"/>
      <c r="AK1198" s="38"/>
      <c r="AL1198" s="38"/>
      <c r="AM1198" s="38"/>
      <c r="AN1198" s="38"/>
      <c r="AO1198" s="37"/>
      <c r="AP1198" s="39">
        <f t="shared" si="553"/>
        <v>0</v>
      </c>
      <c r="AQ1198" s="1"/>
    </row>
    <row r="1199" ht="15.75" hidden="1" customHeight="1">
      <c r="A1199" s="1"/>
      <c r="B1199" s="42"/>
      <c r="C1199" s="42"/>
      <c r="D1199" s="42"/>
      <c r="E1199" s="52"/>
      <c r="F1199" s="43" t="s">
        <v>30</v>
      </c>
      <c r="G1199" s="55"/>
      <c r="H1199" s="34">
        <f t="shared" ref="H1199:AN1199" si="554">H1193+H1194+H1195-H1196+H1197-H1198</f>
        <v>0</v>
      </c>
      <c r="I1199" s="34">
        <f t="shared" si="554"/>
        <v>0</v>
      </c>
      <c r="J1199" s="34">
        <f t="shared" si="554"/>
        <v>0</v>
      </c>
      <c r="K1199" s="34">
        <f t="shared" si="554"/>
        <v>0</v>
      </c>
      <c r="L1199" s="34">
        <f t="shared" si="554"/>
        <v>0</v>
      </c>
      <c r="M1199" s="34">
        <f t="shared" si="554"/>
        <v>0</v>
      </c>
      <c r="N1199" s="34">
        <f t="shared" si="554"/>
        <v>0</v>
      </c>
      <c r="O1199" s="34">
        <f t="shared" si="554"/>
        <v>0</v>
      </c>
      <c r="P1199" s="34">
        <f t="shared" si="554"/>
        <v>0</v>
      </c>
      <c r="Q1199" s="34">
        <f t="shared" si="554"/>
        <v>0</v>
      </c>
      <c r="R1199" s="34">
        <f t="shared" si="554"/>
        <v>0</v>
      </c>
      <c r="S1199" s="34">
        <f t="shared" si="554"/>
        <v>0</v>
      </c>
      <c r="T1199" s="34">
        <f t="shared" si="554"/>
        <v>0</v>
      </c>
      <c r="U1199" s="34">
        <f t="shared" si="554"/>
        <v>0</v>
      </c>
      <c r="V1199" s="34">
        <f t="shared" si="554"/>
        <v>0</v>
      </c>
      <c r="W1199" s="34">
        <f t="shared" si="554"/>
        <v>0</v>
      </c>
      <c r="X1199" s="34">
        <f t="shared" si="554"/>
        <v>0</v>
      </c>
      <c r="Y1199" s="34">
        <f t="shared" si="554"/>
        <v>0</v>
      </c>
      <c r="Z1199" s="34">
        <f t="shared" si="554"/>
        <v>0</v>
      </c>
      <c r="AA1199" s="34">
        <f t="shared" si="554"/>
        <v>0</v>
      </c>
      <c r="AB1199" s="34">
        <f t="shared" si="554"/>
        <v>0</v>
      </c>
      <c r="AC1199" s="34">
        <f t="shared" si="554"/>
        <v>0</v>
      </c>
      <c r="AD1199" s="34">
        <f t="shared" si="554"/>
        <v>0</v>
      </c>
      <c r="AE1199" s="34">
        <f t="shared" si="554"/>
        <v>0</v>
      </c>
      <c r="AF1199" s="34">
        <f t="shared" si="554"/>
        <v>0</v>
      </c>
      <c r="AG1199" s="34">
        <f t="shared" si="554"/>
        <v>0</v>
      </c>
      <c r="AH1199" s="34">
        <f t="shared" si="554"/>
        <v>0</v>
      </c>
      <c r="AI1199" s="34">
        <f t="shared" si="554"/>
        <v>0</v>
      </c>
      <c r="AJ1199" s="34">
        <f t="shared" si="554"/>
        <v>0</v>
      </c>
      <c r="AK1199" s="34">
        <f t="shared" si="554"/>
        <v>0</v>
      </c>
      <c r="AL1199" s="34">
        <f t="shared" si="554"/>
        <v>0</v>
      </c>
      <c r="AM1199" s="34">
        <f t="shared" si="554"/>
        <v>0</v>
      </c>
      <c r="AN1199" s="34">
        <f t="shared" si="554"/>
        <v>0</v>
      </c>
      <c r="AO1199" s="34"/>
      <c r="AP1199" s="45">
        <f>AO1193</f>
        <v>0</v>
      </c>
      <c r="AQ1199" s="1"/>
    </row>
    <row r="1200" ht="15.75" hidden="1" customHeight="1">
      <c r="A1200" s="1"/>
      <c r="B1200" s="32">
        <v>5.0</v>
      </c>
      <c r="C1200" s="57"/>
      <c r="D1200" s="32"/>
      <c r="E1200" s="13"/>
      <c r="F1200" s="14" t="s">
        <v>23</v>
      </c>
      <c r="G1200" s="44"/>
      <c r="H1200" s="21">
        <v>0.0</v>
      </c>
      <c r="I1200" s="34">
        <f t="shared" ref="I1200:AO1200" si="555">H1205</f>
        <v>0</v>
      </c>
      <c r="J1200" s="34">
        <f t="shared" si="555"/>
        <v>0</v>
      </c>
      <c r="K1200" s="34">
        <f t="shared" si="555"/>
        <v>0</v>
      </c>
      <c r="L1200" s="34">
        <f t="shared" si="555"/>
        <v>0</v>
      </c>
      <c r="M1200" s="34">
        <f t="shared" si="555"/>
        <v>0</v>
      </c>
      <c r="N1200" s="34">
        <f t="shared" si="555"/>
        <v>0</v>
      </c>
      <c r="O1200" s="34">
        <f t="shared" si="555"/>
        <v>0</v>
      </c>
      <c r="P1200" s="34">
        <f t="shared" si="555"/>
        <v>0</v>
      </c>
      <c r="Q1200" s="34">
        <f t="shared" si="555"/>
        <v>0</v>
      </c>
      <c r="R1200" s="34">
        <f t="shared" si="555"/>
        <v>0</v>
      </c>
      <c r="S1200" s="34">
        <f t="shared" si="555"/>
        <v>0</v>
      </c>
      <c r="T1200" s="34">
        <f t="shared" si="555"/>
        <v>0</v>
      </c>
      <c r="U1200" s="34">
        <f t="shared" si="555"/>
        <v>0</v>
      </c>
      <c r="V1200" s="34">
        <f t="shared" si="555"/>
        <v>0</v>
      </c>
      <c r="W1200" s="34">
        <f t="shared" si="555"/>
        <v>0</v>
      </c>
      <c r="X1200" s="34">
        <f t="shared" si="555"/>
        <v>0</v>
      </c>
      <c r="Y1200" s="34">
        <f t="shared" si="555"/>
        <v>0</v>
      </c>
      <c r="Z1200" s="34">
        <f t="shared" si="555"/>
        <v>0</v>
      </c>
      <c r="AA1200" s="34">
        <f t="shared" si="555"/>
        <v>0</v>
      </c>
      <c r="AB1200" s="34">
        <f t="shared" si="555"/>
        <v>0</v>
      </c>
      <c r="AC1200" s="34">
        <f t="shared" si="555"/>
        <v>0</v>
      </c>
      <c r="AD1200" s="34">
        <f t="shared" si="555"/>
        <v>0</v>
      </c>
      <c r="AE1200" s="34">
        <f t="shared" si="555"/>
        <v>0</v>
      </c>
      <c r="AF1200" s="34">
        <f t="shared" si="555"/>
        <v>0</v>
      </c>
      <c r="AG1200" s="34">
        <f t="shared" si="555"/>
        <v>0</v>
      </c>
      <c r="AH1200" s="34">
        <f t="shared" si="555"/>
        <v>0</v>
      </c>
      <c r="AI1200" s="34">
        <f t="shared" si="555"/>
        <v>0</v>
      </c>
      <c r="AJ1200" s="34">
        <f t="shared" si="555"/>
        <v>0</v>
      </c>
      <c r="AK1200" s="34">
        <f t="shared" si="555"/>
        <v>0</v>
      </c>
      <c r="AL1200" s="34">
        <f t="shared" si="555"/>
        <v>0</v>
      </c>
      <c r="AM1200" s="34">
        <f t="shared" si="555"/>
        <v>0</v>
      </c>
      <c r="AN1200" s="34">
        <f t="shared" si="555"/>
        <v>0</v>
      </c>
      <c r="AO1200" s="34">
        <f t="shared" si="555"/>
        <v>0</v>
      </c>
      <c r="AP1200" s="54"/>
      <c r="AQ1200" s="1"/>
    </row>
    <row r="1201" ht="15.75" hidden="1" customHeight="1">
      <c r="A1201" s="1"/>
      <c r="B1201" s="35"/>
      <c r="C1201" s="35"/>
      <c r="D1201" s="35"/>
      <c r="E1201" s="33" t="s">
        <v>24</v>
      </c>
      <c r="F1201" s="36" t="s">
        <v>25</v>
      </c>
      <c r="G1201" s="37"/>
      <c r="H1201" s="37"/>
      <c r="I1201" s="37"/>
      <c r="J1201" s="37"/>
      <c r="K1201" s="37"/>
      <c r="L1201" s="37"/>
      <c r="M1201" s="37"/>
      <c r="N1201" s="37"/>
      <c r="O1201" s="37"/>
      <c r="P1201" s="37"/>
      <c r="Q1201" s="37"/>
      <c r="R1201" s="37"/>
      <c r="S1201" s="38"/>
      <c r="T1201" s="37"/>
      <c r="U1201" s="38"/>
      <c r="V1201" s="37"/>
      <c r="W1201" s="37"/>
      <c r="X1201" s="37"/>
      <c r="Y1201" s="37"/>
      <c r="Z1201" s="37"/>
      <c r="AA1201" s="37"/>
      <c r="AB1201" s="37"/>
      <c r="AC1201" s="37"/>
      <c r="AD1201" s="38"/>
      <c r="AE1201" s="37"/>
      <c r="AF1201" s="37"/>
      <c r="AG1201" s="37"/>
      <c r="AH1201" s="37"/>
      <c r="AI1201" s="37"/>
      <c r="AJ1201" s="37"/>
      <c r="AK1201" s="37"/>
      <c r="AL1201" s="37"/>
      <c r="AM1201" s="37"/>
      <c r="AN1201" s="37"/>
      <c r="AO1201" s="37"/>
      <c r="AP1201" s="39">
        <f t="shared" ref="AP1201:AP1204" si="556">SUM(H1201:AO1201)</f>
        <v>0</v>
      </c>
      <c r="AQ1201" s="1"/>
    </row>
    <row r="1202" ht="15.75" hidden="1" customHeight="1">
      <c r="A1202" s="1"/>
      <c r="B1202" s="35"/>
      <c r="C1202" s="35"/>
      <c r="D1202" s="35"/>
      <c r="E1202" s="33"/>
      <c r="F1202" s="40" t="s">
        <v>26</v>
      </c>
      <c r="G1202" s="37"/>
      <c r="H1202" s="38"/>
      <c r="I1202" s="38"/>
      <c r="J1202" s="38"/>
      <c r="K1202" s="38"/>
      <c r="L1202" s="38"/>
      <c r="M1202" s="38"/>
      <c r="N1202" s="38"/>
      <c r="O1202" s="38"/>
      <c r="P1202" s="38"/>
      <c r="Q1202" s="38"/>
      <c r="R1202" s="38"/>
      <c r="S1202" s="38"/>
      <c r="T1202" s="38"/>
      <c r="U1202" s="38"/>
      <c r="V1202" s="38"/>
      <c r="W1202" s="38"/>
      <c r="X1202" s="38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38"/>
      <c r="AI1202" s="38"/>
      <c r="AJ1202" s="38"/>
      <c r="AK1202" s="38"/>
      <c r="AL1202" s="38"/>
      <c r="AM1202" s="38"/>
      <c r="AN1202" s="38"/>
      <c r="AO1202" s="37"/>
      <c r="AP1202" s="39">
        <f t="shared" si="556"/>
        <v>0</v>
      </c>
      <c r="AQ1202" s="1"/>
    </row>
    <row r="1203" ht="15.75" hidden="1" customHeight="1">
      <c r="A1203" s="1"/>
      <c r="B1203" s="35"/>
      <c r="C1203" s="35"/>
      <c r="D1203" s="35"/>
      <c r="E1203" s="33" t="s">
        <v>27</v>
      </c>
      <c r="F1203" s="41" t="s">
        <v>28</v>
      </c>
      <c r="G1203" s="37"/>
      <c r="H1203" s="38"/>
      <c r="I1203" s="38"/>
      <c r="J1203" s="38"/>
      <c r="K1203" s="38"/>
      <c r="L1203" s="38"/>
      <c r="M1203" s="38"/>
      <c r="N1203" s="38"/>
      <c r="O1203" s="38"/>
      <c r="P1203" s="38"/>
      <c r="Q1203" s="38"/>
      <c r="R1203" s="38"/>
      <c r="S1203" s="38"/>
      <c r="T1203" s="38"/>
      <c r="U1203" s="38"/>
      <c r="V1203" s="38"/>
      <c r="W1203" s="38"/>
      <c r="X1203" s="38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38"/>
      <c r="AI1203" s="38"/>
      <c r="AJ1203" s="38"/>
      <c r="AK1203" s="38"/>
      <c r="AL1203" s="38"/>
      <c r="AM1203" s="38"/>
      <c r="AN1203" s="38"/>
      <c r="AO1203" s="37"/>
      <c r="AP1203" s="39">
        <f t="shared" si="556"/>
        <v>0</v>
      </c>
      <c r="AQ1203" s="1"/>
    </row>
    <row r="1204" ht="15.75" hidden="1" customHeight="1">
      <c r="A1204" s="1"/>
      <c r="B1204" s="35"/>
      <c r="C1204" s="35"/>
      <c r="D1204" s="35"/>
      <c r="E1204" s="33"/>
      <c r="F1204" s="41" t="s">
        <v>29</v>
      </c>
      <c r="G1204" s="37"/>
      <c r="H1204" s="38"/>
      <c r="I1204" s="38"/>
      <c r="J1204" s="38"/>
      <c r="K1204" s="38"/>
      <c r="L1204" s="38"/>
      <c r="M1204" s="38"/>
      <c r="N1204" s="38"/>
      <c r="O1204" s="38"/>
      <c r="P1204" s="38"/>
      <c r="Q1204" s="38"/>
      <c r="R1204" s="38"/>
      <c r="S1204" s="38"/>
      <c r="T1204" s="38"/>
      <c r="U1204" s="38"/>
      <c r="V1204" s="38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38"/>
      <c r="AI1204" s="38"/>
      <c r="AJ1204" s="38"/>
      <c r="AK1204" s="38"/>
      <c r="AL1204" s="38"/>
      <c r="AM1204" s="38"/>
      <c r="AN1204" s="38"/>
      <c r="AO1204" s="37"/>
      <c r="AP1204" s="39">
        <f t="shared" si="556"/>
        <v>0</v>
      </c>
      <c r="AQ1204" s="1"/>
    </row>
    <row r="1205" ht="15.75" hidden="1" customHeight="1">
      <c r="A1205" s="1"/>
      <c r="B1205" s="42"/>
      <c r="C1205" s="42"/>
      <c r="D1205" s="42"/>
      <c r="E1205" s="52"/>
      <c r="F1205" s="43" t="s">
        <v>30</v>
      </c>
      <c r="G1205" s="55"/>
      <c r="H1205" s="34">
        <f t="shared" ref="H1205:AN1205" si="557">H1200+H1201-H1202+H1203-H1204</f>
        <v>0</v>
      </c>
      <c r="I1205" s="34">
        <f t="shared" si="557"/>
        <v>0</v>
      </c>
      <c r="J1205" s="34">
        <f t="shared" si="557"/>
        <v>0</v>
      </c>
      <c r="K1205" s="34">
        <f t="shared" si="557"/>
        <v>0</v>
      </c>
      <c r="L1205" s="34">
        <f t="shared" si="557"/>
        <v>0</v>
      </c>
      <c r="M1205" s="34">
        <f t="shared" si="557"/>
        <v>0</v>
      </c>
      <c r="N1205" s="34">
        <f t="shared" si="557"/>
        <v>0</v>
      </c>
      <c r="O1205" s="34">
        <f t="shared" si="557"/>
        <v>0</v>
      </c>
      <c r="P1205" s="34">
        <f t="shared" si="557"/>
        <v>0</v>
      </c>
      <c r="Q1205" s="34">
        <f t="shared" si="557"/>
        <v>0</v>
      </c>
      <c r="R1205" s="34">
        <f t="shared" si="557"/>
        <v>0</v>
      </c>
      <c r="S1205" s="34">
        <f t="shared" si="557"/>
        <v>0</v>
      </c>
      <c r="T1205" s="34">
        <f t="shared" si="557"/>
        <v>0</v>
      </c>
      <c r="U1205" s="34">
        <f t="shared" si="557"/>
        <v>0</v>
      </c>
      <c r="V1205" s="34">
        <f t="shared" si="557"/>
        <v>0</v>
      </c>
      <c r="W1205" s="34">
        <f t="shared" si="557"/>
        <v>0</v>
      </c>
      <c r="X1205" s="34">
        <f t="shared" si="557"/>
        <v>0</v>
      </c>
      <c r="Y1205" s="34">
        <f t="shared" si="557"/>
        <v>0</v>
      </c>
      <c r="Z1205" s="34">
        <f t="shared" si="557"/>
        <v>0</v>
      </c>
      <c r="AA1205" s="34">
        <f t="shared" si="557"/>
        <v>0</v>
      </c>
      <c r="AB1205" s="34">
        <f t="shared" si="557"/>
        <v>0</v>
      </c>
      <c r="AC1205" s="34">
        <f t="shared" si="557"/>
        <v>0</v>
      </c>
      <c r="AD1205" s="34">
        <f t="shared" si="557"/>
        <v>0</v>
      </c>
      <c r="AE1205" s="34">
        <f t="shared" si="557"/>
        <v>0</v>
      </c>
      <c r="AF1205" s="34">
        <f t="shared" si="557"/>
        <v>0</v>
      </c>
      <c r="AG1205" s="34">
        <f t="shared" si="557"/>
        <v>0</v>
      </c>
      <c r="AH1205" s="34">
        <f t="shared" si="557"/>
        <v>0</v>
      </c>
      <c r="AI1205" s="34">
        <f t="shared" si="557"/>
        <v>0</v>
      </c>
      <c r="AJ1205" s="34">
        <f t="shared" si="557"/>
        <v>0</v>
      </c>
      <c r="AK1205" s="34">
        <f t="shared" si="557"/>
        <v>0</v>
      </c>
      <c r="AL1205" s="34">
        <f t="shared" si="557"/>
        <v>0</v>
      </c>
      <c r="AM1205" s="34">
        <f t="shared" si="557"/>
        <v>0</v>
      </c>
      <c r="AN1205" s="34">
        <f t="shared" si="557"/>
        <v>0</v>
      </c>
      <c r="AO1205" s="34"/>
      <c r="AP1205" s="45">
        <f>AO1200</f>
        <v>0</v>
      </c>
      <c r="AQ1205" s="1"/>
    </row>
    <row r="1206" ht="15.75" customHeight="1">
      <c r="A1206" s="1"/>
      <c r="B1206" s="1"/>
      <c r="C1206" s="1"/>
      <c r="D1206" s="1"/>
      <c r="E1206" s="1"/>
      <c r="F1206" s="1"/>
      <c r="G1206" s="1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  <c r="S1206" s="103"/>
      <c r="T1206" s="99"/>
      <c r="U1206" s="103"/>
      <c r="V1206" s="99"/>
      <c r="W1206" s="99"/>
      <c r="X1206" s="99"/>
      <c r="Y1206" s="99"/>
      <c r="Z1206" s="99"/>
      <c r="AA1206" s="99"/>
      <c r="AB1206" s="99"/>
      <c r="AC1206" s="99"/>
      <c r="AD1206" s="103"/>
      <c r="AE1206" s="99"/>
      <c r="AF1206" s="99"/>
      <c r="AG1206" s="99"/>
      <c r="AH1206" s="99"/>
      <c r="AI1206" s="99"/>
      <c r="AJ1206" s="99"/>
      <c r="AK1206" s="99"/>
      <c r="AL1206" s="99"/>
      <c r="AM1206" s="99"/>
      <c r="AN1206" s="99"/>
      <c r="AO1206" s="99"/>
      <c r="AP1206" s="1"/>
      <c r="AQ1206" s="1"/>
    </row>
    <row r="1207" ht="15.75" customHeight="1">
      <c r="A1207" s="1"/>
      <c r="B1207" s="1"/>
      <c r="C1207" s="1"/>
      <c r="D1207" s="1"/>
      <c r="E1207" s="1"/>
      <c r="F1207" s="1"/>
      <c r="G1207" s="1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  <c r="S1207" s="103"/>
      <c r="T1207" s="99"/>
      <c r="U1207" s="103"/>
      <c r="V1207" s="99"/>
      <c r="W1207" s="99"/>
      <c r="X1207" s="99"/>
      <c r="Y1207" s="99"/>
      <c r="Z1207" s="99"/>
      <c r="AA1207" s="99"/>
      <c r="AB1207" s="99"/>
      <c r="AC1207" s="99"/>
      <c r="AD1207" s="103"/>
      <c r="AE1207" s="99"/>
      <c r="AF1207" s="99"/>
      <c r="AG1207" s="99"/>
      <c r="AH1207" s="99"/>
      <c r="AI1207" s="99"/>
      <c r="AJ1207" s="99"/>
      <c r="AK1207" s="99"/>
      <c r="AL1207" s="99"/>
      <c r="AM1207" s="99"/>
      <c r="AN1207" s="99"/>
      <c r="AO1207" s="99"/>
      <c r="AP1207" s="1"/>
      <c r="AQ1207" s="1"/>
    </row>
    <row r="1208" ht="15.75" customHeight="1">
      <c r="A1208" s="1"/>
      <c r="B1208" s="104" t="s">
        <v>415</v>
      </c>
      <c r="C1208" s="105"/>
      <c r="D1208" s="1"/>
      <c r="E1208" s="1"/>
      <c r="F1208" s="1"/>
      <c r="G1208" s="1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  <c r="S1208" s="99"/>
      <c r="T1208" s="99"/>
      <c r="U1208" s="99"/>
      <c r="V1208" s="99"/>
      <c r="W1208" s="99"/>
      <c r="X1208" s="99"/>
      <c r="Y1208" s="99"/>
      <c r="Z1208" s="99"/>
      <c r="AA1208" s="99"/>
      <c r="AB1208" s="99"/>
      <c r="AC1208" s="99"/>
      <c r="AD1208" s="103"/>
      <c r="AE1208" s="99"/>
      <c r="AF1208" s="99"/>
      <c r="AG1208" s="99"/>
      <c r="AH1208" s="99"/>
      <c r="AI1208" s="99"/>
      <c r="AJ1208" s="99"/>
      <c r="AK1208" s="99"/>
      <c r="AL1208" s="99"/>
      <c r="AM1208" s="99"/>
      <c r="AN1208" s="99"/>
      <c r="AO1208" s="99"/>
      <c r="AP1208" s="1"/>
      <c r="AQ1208" s="1"/>
    </row>
    <row r="1209" ht="15.75" hidden="1" customHeight="1">
      <c r="A1209" s="1"/>
      <c r="B1209" s="12" t="s">
        <v>5</v>
      </c>
      <c r="C1209" s="13" t="s">
        <v>416</v>
      </c>
      <c r="D1209" s="13" t="s">
        <v>7</v>
      </c>
      <c r="E1209" s="12" t="s">
        <v>417</v>
      </c>
      <c r="F1209" s="12" t="s">
        <v>9</v>
      </c>
      <c r="G1209" s="14" t="s">
        <v>10</v>
      </c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6"/>
      <c r="AP1209" s="17" t="s">
        <v>11</v>
      </c>
      <c r="AQ1209" s="1"/>
    </row>
    <row r="1210" ht="15.75" hidden="1" customHeight="1">
      <c r="A1210" s="1"/>
      <c r="B1210" s="18"/>
      <c r="C1210" s="20" t="s">
        <v>415</v>
      </c>
      <c r="D1210" s="20" t="s">
        <v>415</v>
      </c>
      <c r="E1210" s="18"/>
      <c r="F1210" s="18"/>
      <c r="G1210" s="21"/>
      <c r="H1210" s="23">
        <v>1.0</v>
      </c>
      <c r="I1210" s="23">
        <v>2.0</v>
      </c>
      <c r="J1210" s="23">
        <v>3.0</v>
      </c>
      <c r="K1210" s="23">
        <v>4.0</v>
      </c>
      <c r="L1210" s="23">
        <v>5.0</v>
      </c>
      <c r="M1210" s="23">
        <v>6.0</v>
      </c>
      <c r="N1210" s="23">
        <v>7.0</v>
      </c>
      <c r="O1210" s="23">
        <v>8.0</v>
      </c>
      <c r="P1210" s="23">
        <v>9.0</v>
      </c>
      <c r="Q1210" s="23">
        <v>10.0</v>
      </c>
      <c r="R1210" s="23">
        <v>11.0</v>
      </c>
      <c r="S1210" s="23">
        <v>12.0</v>
      </c>
      <c r="T1210" s="23">
        <v>13.0</v>
      </c>
      <c r="U1210" s="23">
        <v>14.0</v>
      </c>
      <c r="V1210" s="23">
        <v>15.0</v>
      </c>
      <c r="W1210" s="23">
        <v>16.0</v>
      </c>
      <c r="X1210" s="23">
        <v>17.0</v>
      </c>
      <c r="Y1210" s="23">
        <v>18.0</v>
      </c>
      <c r="Z1210" s="23">
        <v>19.0</v>
      </c>
      <c r="AA1210" s="23">
        <v>20.0</v>
      </c>
      <c r="AB1210" s="23">
        <v>21.0</v>
      </c>
      <c r="AC1210" s="23">
        <v>22.0</v>
      </c>
      <c r="AD1210" s="23">
        <v>23.0</v>
      </c>
      <c r="AE1210" s="23">
        <v>24.0</v>
      </c>
      <c r="AF1210" s="23">
        <v>25.0</v>
      </c>
      <c r="AG1210" s="23">
        <v>26.0</v>
      </c>
      <c r="AH1210" s="23">
        <v>27.0</v>
      </c>
      <c r="AI1210" s="23">
        <v>28.0</v>
      </c>
      <c r="AJ1210" s="23">
        <v>29.0</v>
      </c>
      <c r="AK1210" s="23">
        <v>30.0</v>
      </c>
      <c r="AL1210" s="23">
        <v>31.0</v>
      </c>
      <c r="AM1210" s="106"/>
      <c r="AN1210" s="106"/>
      <c r="AO1210" s="21"/>
      <c r="AP1210" s="20"/>
      <c r="AQ1210" s="1"/>
    </row>
    <row r="1211" ht="15.75" hidden="1" customHeight="1">
      <c r="A1211" s="25"/>
      <c r="B1211" s="26"/>
      <c r="C1211" s="27"/>
      <c r="D1211" s="28"/>
      <c r="E1211" s="29"/>
      <c r="F1211" s="29"/>
      <c r="G1211" s="30"/>
      <c r="H1211" s="31" t="s">
        <v>18</v>
      </c>
      <c r="I1211" s="30" t="s">
        <v>19</v>
      </c>
      <c r="J1211" s="31" t="s">
        <v>20</v>
      </c>
      <c r="K1211" s="31" t="s">
        <v>14</v>
      </c>
      <c r="L1211" s="31" t="s">
        <v>15</v>
      </c>
      <c r="M1211" s="31" t="s">
        <v>16</v>
      </c>
      <c r="N1211" s="30" t="s">
        <v>17</v>
      </c>
      <c r="O1211" s="30" t="s">
        <v>18</v>
      </c>
      <c r="P1211" s="30" t="s">
        <v>19</v>
      </c>
      <c r="Q1211" s="31" t="s">
        <v>20</v>
      </c>
      <c r="R1211" s="31" t="s">
        <v>14</v>
      </c>
      <c r="S1211" s="31" t="s">
        <v>15</v>
      </c>
      <c r="T1211" s="31" t="s">
        <v>16</v>
      </c>
      <c r="U1211" s="30" t="s">
        <v>17</v>
      </c>
      <c r="V1211" s="30" t="s">
        <v>18</v>
      </c>
      <c r="W1211" s="30" t="s">
        <v>19</v>
      </c>
      <c r="X1211" s="31" t="s">
        <v>20</v>
      </c>
      <c r="Y1211" s="31" t="s">
        <v>14</v>
      </c>
      <c r="Z1211" s="31" t="s">
        <v>15</v>
      </c>
      <c r="AA1211" s="31" t="s">
        <v>16</v>
      </c>
      <c r="AB1211" s="30" t="s">
        <v>17</v>
      </c>
      <c r="AC1211" s="30" t="s">
        <v>18</v>
      </c>
      <c r="AD1211" s="30" t="s">
        <v>19</v>
      </c>
      <c r="AE1211" s="31" t="s">
        <v>20</v>
      </c>
      <c r="AF1211" s="31" t="s">
        <v>14</v>
      </c>
      <c r="AG1211" s="31" t="s">
        <v>15</v>
      </c>
      <c r="AH1211" s="31" t="s">
        <v>16</v>
      </c>
      <c r="AI1211" s="30" t="s">
        <v>17</v>
      </c>
      <c r="AJ1211" s="30" t="s">
        <v>18</v>
      </c>
      <c r="AK1211" s="30" t="s">
        <v>19</v>
      </c>
      <c r="AL1211" s="31" t="s">
        <v>20</v>
      </c>
      <c r="AM1211" s="30"/>
      <c r="AN1211" s="30"/>
      <c r="AO1211" s="30"/>
      <c r="AP1211" s="30"/>
      <c r="AQ1211" s="25"/>
    </row>
    <row r="1212" ht="15.75" hidden="1" customHeight="1">
      <c r="A1212" s="1"/>
      <c r="B1212" s="32">
        <v>1.0</v>
      </c>
      <c r="C1212" s="108" t="s">
        <v>418</v>
      </c>
      <c r="D1212" s="32" t="s">
        <v>419</v>
      </c>
      <c r="E1212" s="109" t="s">
        <v>420</v>
      </c>
      <c r="F1212" s="14" t="s">
        <v>23</v>
      </c>
      <c r="G1212" s="44"/>
      <c r="H1212" s="21">
        <v>0.0</v>
      </c>
      <c r="I1212" s="34">
        <f t="shared" ref="I1212:AO1212" si="558">H1216</f>
        <v>0</v>
      </c>
      <c r="J1212" s="34">
        <f t="shared" si="558"/>
        <v>0</v>
      </c>
      <c r="K1212" s="34">
        <f t="shared" si="558"/>
        <v>0</v>
      </c>
      <c r="L1212" s="34">
        <f t="shared" si="558"/>
        <v>0</v>
      </c>
      <c r="M1212" s="34">
        <f t="shared" si="558"/>
        <v>0</v>
      </c>
      <c r="N1212" s="34">
        <f t="shared" si="558"/>
        <v>0</v>
      </c>
      <c r="O1212" s="34">
        <f t="shared" si="558"/>
        <v>0</v>
      </c>
      <c r="P1212" s="34">
        <f t="shared" si="558"/>
        <v>0</v>
      </c>
      <c r="Q1212" s="34">
        <f t="shared" si="558"/>
        <v>0</v>
      </c>
      <c r="R1212" s="34">
        <f t="shared" si="558"/>
        <v>0</v>
      </c>
      <c r="S1212" s="34">
        <f t="shared" si="558"/>
        <v>0</v>
      </c>
      <c r="T1212" s="34">
        <f t="shared" si="558"/>
        <v>0</v>
      </c>
      <c r="U1212" s="34">
        <f t="shared" si="558"/>
        <v>0</v>
      </c>
      <c r="V1212" s="34">
        <f t="shared" si="558"/>
        <v>0</v>
      </c>
      <c r="W1212" s="34">
        <f t="shared" si="558"/>
        <v>0</v>
      </c>
      <c r="X1212" s="34">
        <f t="shared" si="558"/>
        <v>0</v>
      </c>
      <c r="Y1212" s="34">
        <f t="shared" si="558"/>
        <v>0</v>
      </c>
      <c r="Z1212" s="34">
        <f t="shared" si="558"/>
        <v>0</v>
      </c>
      <c r="AA1212" s="34">
        <f t="shared" si="558"/>
        <v>0</v>
      </c>
      <c r="AB1212" s="34">
        <f t="shared" si="558"/>
        <v>0</v>
      </c>
      <c r="AC1212" s="34">
        <f t="shared" si="558"/>
        <v>0</v>
      </c>
      <c r="AD1212" s="34">
        <f t="shared" si="558"/>
        <v>0</v>
      </c>
      <c r="AE1212" s="34">
        <f t="shared" si="558"/>
        <v>160</v>
      </c>
      <c r="AF1212" s="34">
        <f t="shared" si="558"/>
        <v>0</v>
      </c>
      <c r="AG1212" s="34">
        <f t="shared" si="558"/>
        <v>0</v>
      </c>
      <c r="AH1212" s="34">
        <f t="shared" si="558"/>
        <v>0</v>
      </c>
      <c r="AI1212" s="34">
        <f t="shared" si="558"/>
        <v>0</v>
      </c>
      <c r="AJ1212" s="34">
        <f t="shared" si="558"/>
        <v>0</v>
      </c>
      <c r="AK1212" s="34">
        <f t="shared" si="558"/>
        <v>0</v>
      </c>
      <c r="AL1212" s="34">
        <f t="shared" si="558"/>
        <v>0</v>
      </c>
      <c r="AM1212" s="34">
        <f t="shared" si="558"/>
        <v>0</v>
      </c>
      <c r="AN1212" s="34">
        <f t="shared" si="558"/>
        <v>0</v>
      </c>
      <c r="AO1212" s="34">
        <f t="shared" si="558"/>
        <v>0</v>
      </c>
      <c r="AP1212" s="54"/>
      <c r="AQ1212" s="1"/>
    </row>
    <row r="1213" ht="15.0" hidden="1" customHeight="1">
      <c r="A1213" s="1"/>
      <c r="B1213" s="35"/>
      <c r="C1213" s="35"/>
      <c r="D1213" s="35"/>
      <c r="E1213" s="35"/>
      <c r="F1213" s="36" t="s">
        <v>25</v>
      </c>
      <c r="G1213" s="37"/>
      <c r="H1213" s="37"/>
      <c r="I1213" s="37"/>
      <c r="J1213" s="37"/>
      <c r="K1213" s="37"/>
      <c r="L1213" s="37"/>
      <c r="M1213" s="37"/>
      <c r="N1213" s="37"/>
      <c r="O1213" s="37"/>
      <c r="P1213" s="37"/>
      <c r="Q1213" s="37"/>
      <c r="R1213" s="37"/>
      <c r="S1213" s="38"/>
      <c r="T1213" s="37"/>
      <c r="U1213" s="38"/>
      <c r="V1213" s="37"/>
      <c r="W1213" s="37"/>
      <c r="X1213" s="37"/>
      <c r="Y1213" s="37"/>
      <c r="Z1213" s="37"/>
      <c r="AA1213" s="37"/>
      <c r="AB1213" s="37"/>
      <c r="AC1213" s="37"/>
      <c r="AD1213" s="38">
        <v>400.0</v>
      </c>
      <c r="AE1213" s="37"/>
      <c r="AF1213" s="37"/>
      <c r="AG1213" s="37"/>
      <c r="AH1213" s="37"/>
      <c r="AI1213" s="37"/>
      <c r="AJ1213" s="37"/>
      <c r="AK1213" s="37"/>
      <c r="AL1213" s="37"/>
      <c r="AM1213" s="37"/>
      <c r="AN1213" s="37"/>
      <c r="AO1213" s="37"/>
      <c r="AP1213" s="39">
        <f t="shared" ref="AP1213:AP1215" si="559">SUM(H1213:AO1213)</f>
        <v>400</v>
      </c>
      <c r="AQ1213" s="1"/>
    </row>
    <row r="1214" ht="15.0" hidden="1" customHeight="1">
      <c r="A1214" s="1"/>
      <c r="B1214" s="35"/>
      <c r="C1214" s="35"/>
      <c r="D1214" s="35"/>
      <c r="E1214" s="35"/>
      <c r="F1214" s="40" t="s">
        <v>94</v>
      </c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  <c r="S1214" s="38"/>
      <c r="T1214" s="37"/>
      <c r="U1214" s="38"/>
      <c r="V1214" s="37"/>
      <c r="W1214" s="37"/>
      <c r="X1214" s="37"/>
      <c r="Y1214" s="37"/>
      <c r="Z1214" s="37"/>
      <c r="AA1214" s="37"/>
      <c r="AB1214" s="37"/>
      <c r="AC1214" s="37"/>
      <c r="AD1214" s="38">
        <v>240.0</v>
      </c>
      <c r="AE1214" s="37">
        <v>160.0</v>
      </c>
      <c r="AF1214" s="37"/>
      <c r="AG1214" s="37"/>
      <c r="AH1214" s="37"/>
      <c r="AI1214" s="37"/>
      <c r="AJ1214" s="37"/>
      <c r="AK1214" s="37"/>
      <c r="AL1214" s="37"/>
      <c r="AM1214" s="37"/>
      <c r="AN1214" s="37"/>
      <c r="AO1214" s="37"/>
      <c r="AP1214" s="39">
        <f t="shared" si="559"/>
        <v>400</v>
      </c>
      <c r="AQ1214" s="1"/>
    </row>
    <row r="1215" ht="15.0" hidden="1" customHeight="1">
      <c r="A1215" s="1"/>
      <c r="B1215" s="35"/>
      <c r="C1215" s="35"/>
      <c r="D1215" s="35"/>
      <c r="E1215" s="35"/>
      <c r="F1215" s="14" t="s">
        <v>43</v>
      </c>
      <c r="G1215" s="37"/>
      <c r="H1215" s="38"/>
      <c r="I1215" s="38"/>
      <c r="J1215" s="38"/>
      <c r="K1215" s="38"/>
      <c r="L1215" s="38"/>
      <c r="M1215" s="38"/>
      <c r="N1215" s="38"/>
      <c r="O1215" s="38"/>
      <c r="P1215" s="38"/>
      <c r="Q1215" s="38"/>
      <c r="R1215" s="38"/>
      <c r="S1215" s="38"/>
      <c r="T1215" s="38"/>
      <c r="U1215" s="38"/>
      <c r="V1215" s="38"/>
      <c r="W1215" s="38"/>
      <c r="X1215" s="38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38"/>
      <c r="AI1215" s="38"/>
      <c r="AJ1215" s="38"/>
      <c r="AK1215" s="38"/>
      <c r="AL1215" s="38"/>
      <c r="AM1215" s="38"/>
      <c r="AN1215" s="38"/>
      <c r="AO1215" s="37"/>
      <c r="AP1215" s="39">
        <f t="shared" si="559"/>
        <v>0</v>
      </c>
      <c r="AQ1215" s="1"/>
    </row>
    <row r="1216" ht="15.75" hidden="1" customHeight="1">
      <c r="A1216" s="1"/>
      <c r="B1216" s="42"/>
      <c r="C1216" s="42"/>
      <c r="D1216" s="42"/>
      <c r="E1216" s="42"/>
      <c r="F1216" s="43" t="s">
        <v>30</v>
      </c>
      <c r="G1216" s="55"/>
      <c r="H1216" s="34">
        <f t="shared" ref="H1216:AN1216" si="560">H1212+H1213-H1214-H1215</f>
        <v>0</v>
      </c>
      <c r="I1216" s="34">
        <f t="shared" si="560"/>
        <v>0</v>
      </c>
      <c r="J1216" s="34">
        <f t="shared" si="560"/>
        <v>0</v>
      </c>
      <c r="K1216" s="34">
        <f t="shared" si="560"/>
        <v>0</v>
      </c>
      <c r="L1216" s="34">
        <f t="shared" si="560"/>
        <v>0</v>
      </c>
      <c r="M1216" s="34">
        <f t="shared" si="560"/>
        <v>0</v>
      </c>
      <c r="N1216" s="34">
        <f t="shared" si="560"/>
        <v>0</v>
      </c>
      <c r="O1216" s="34">
        <f t="shared" si="560"/>
        <v>0</v>
      </c>
      <c r="P1216" s="34">
        <f t="shared" si="560"/>
        <v>0</v>
      </c>
      <c r="Q1216" s="34">
        <f t="shared" si="560"/>
        <v>0</v>
      </c>
      <c r="R1216" s="34">
        <f t="shared" si="560"/>
        <v>0</v>
      </c>
      <c r="S1216" s="34">
        <f t="shared" si="560"/>
        <v>0</v>
      </c>
      <c r="T1216" s="34">
        <f t="shared" si="560"/>
        <v>0</v>
      </c>
      <c r="U1216" s="34">
        <f t="shared" si="560"/>
        <v>0</v>
      </c>
      <c r="V1216" s="34">
        <f t="shared" si="560"/>
        <v>0</v>
      </c>
      <c r="W1216" s="34">
        <f t="shared" si="560"/>
        <v>0</v>
      </c>
      <c r="X1216" s="34">
        <f t="shared" si="560"/>
        <v>0</v>
      </c>
      <c r="Y1216" s="34">
        <f t="shared" si="560"/>
        <v>0</v>
      </c>
      <c r="Z1216" s="34">
        <f t="shared" si="560"/>
        <v>0</v>
      </c>
      <c r="AA1216" s="34">
        <f t="shared" si="560"/>
        <v>0</v>
      </c>
      <c r="AB1216" s="34">
        <f t="shared" si="560"/>
        <v>0</v>
      </c>
      <c r="AC1216" s="34">
        <f t="shared" si="560"/>
        <v>0</v>
      </c>
      <c r="AD1216" s="34">
        <f t="shared" si="560"/>
        <v>160</v>
      </c>
      <c r="AE1216" s="34">
        <f t="shared" si="560"/>
        <v>0</v>
      </c>
      <c r="AF1216" s="34">
        <f t="shared" si="560"/>
        <v>0</v>
      </c>
      <c r="AG1216" s="34">
        <f t="shared" si="560"/>
        <v>0</v>
      </c>
      <c r="AH1216" s="34">
        <f t="shared" si="560"/>
        <v>0</v>
      </c>
      <c r="AI1216" s="34">
        <f t="shared" si="560"/>
        <v>0</v>
      </c>
      <c r="AJ1216" s="34">
        <f t="shared" si="560"/>
        <v>0</v>
      </c>
      <c r="AK1216" s="34">
        <f t="shared" si="560"/>
        <v>0</v>
      </c>
      <c r="AL1216" s="34">
        <f t="shared" si="560"/>
        <v>0</v>
      </c>
      <c r="AM1216" s="34">
        <f t="shared" si="560"/>
        <v>0</v>
      </c>
      <c r="AN1216" s="34">
        <f t="shared" si="560"/>
        <v>0</v>
      </c>
      <c r="AO1216" s="34"/>
      <c r="AP1216" s="45">
        <f>AO1212</f>
        <v>0</v>
      </c>
      <c r="AQ1216" s="1"/>
    </row>
    <row r="1217" ht="15.75" hidden="1" customHeight="1">
      <c r="A1217" s="1"/>
      <c r="B1217" s="32">
        <v>2.0</v>
      </c>
      <c r="C1217" s="108" t="s">
        <v>418</v>
      </c>
      <c r="D1217" s="32" t="s">
        <v>421</v>
      </c>
      <c r="E1217" s="109" t="s">
        <v>420</v>
      </c>
      <c r="F1217" s="14" t="s">
        <v>23</v>
      </c>
      <c r="G1217" s="44"/>
      <c r="H1217" s="21">
        <v>0.0</v>
      </c>
      <c r="I1217" s="34">
        <f t="shared" ref="I1217:AO1217" si="561">H1221</f>
        <v>0</v>
      </c>
      <c r="J1217" s="34">
        <f t="shared" si="561"/>
        <v>0</v>
      </c>
      <c r="K1217" s="34">
        <f t="shared" si="561"/>
        <v>0</v>
      </c>
      <c r="L1217" s="34">
        <f t="shared" si="561"/>
        <v>0</v>
      </c>
      <c r="M1217" s="34">
        <f t="shared" si="561"/>
        <v>0</v>
      </c>
      <c r="N1217" s="34">
        <f t="shared" si="561"/>
        <v>0</v>
      </c>
      <c r="O1217" s="34">
        <f t="shared" si="561"/>
        <v>0</v>
      </c>
      <c r="P1217" s="34">
        <f t="shared" si="561"/>
        <v>0</v>
      </c>
      <c r="Q1217" s="34">
        <f t="shared" si="561"/>
        <v>0</v>
      </c>
      <c r="R1217" s="34">
        <f t="shared" si="561"/>
        <v>0</v>
      </c>
      <c r="S1217" s="34">
        <f t="shared" si="561"/>
        <v>0</v>
      </c>
      <c r="T1217" s="34">
        <f t="shared" si="561"/>
        <v>0</v>
      </c>
      <c r="U1217" s="34">
        <f t="shared" si="561"/>
        <v>0</v>
      </c>
      <c r="V1217" s="34">
        <f t="shared" si="561"/>
        <v>0</v>
      </c>
      <c r="W1217" s="34">
        <f t="shared" si="561"/>
        <v>0</v>
      </c>
      <c r="X1217" s="34">
        <f t="shared" si="561"/>
        <v>0</v>
      </c>
      <c r="Y1217" s="34">
        <f t="shared" si="561"/>
        <v>0</v>
      </c>
      <c r="Z1217" s="34">
        <f t="shared" si="561"/>
        <v>0</v>
      </c>
      <c r="AA1217" s="34">
        <f t="shared" si="561"/>
        <v>0</v>
      </c>
      <c r="AB1217" s="34">
        <f t="shared" si="561"/>
        <v>0</v>
      </c>
      <c r="AC1217" s="34">
        <f t="shared" si="561"/>
        <v>0</v>
      </c>
      <c r="AD1217" s="34">
        <f t="shared" si="561"/>
        <v>0</v>
      </c>
      <c r="AE1217" s="34">
        <f t="shared" si="561"/>
        <v>30</v>
      </c>
      <c r="AF1217" s="34">
        <f t="shared" si="561"/>
        <v>0</v>
      </c>
      <c r="AG1217" s="34">
        <f t="shared" si="561"/>
        <v>0</v>
      </c>
      <c r="AH1217" s="34">
        <f t="shared" si="561"/>
        <v>0</v>
      </c>
      <c r="AI1217" s="34">
        <f t="shared" si="561"/>
        <v>0</v>
      </c>
      <c r="AJ1217" s="34">
        <f t="shared" si="561"/>
        <v>0</v>
      </c>
      <c r="AK1217" s="34">
        <f t="shared" si="561"/>
        <v>0</v>
      </c>
      <c r="AL1217" s="34">
        <f t="shared" si="561"/>
        <v>0</v>
      </c>
      <c r="AM1217" s="34">
        <f t="shared" si="561"/>
        <v>0</v>
      </c>
      <c r="AN1217" s="34">
        <f t="shared" si="561"/>
        <v>0</v>
      </c>
      <c r="AO1217" s="34">
        <f t="shared" si="561"/>
        <v>0</v>
      </c>
      <c r="AP1217" s="54"/>
      <c r="AQ1217" s="1"/>
    </row>
    <row r="1218" ht="15.0" hidden="1" customHeight="1">
      <c r="A1218" s="1"/>
      <c r="B1218" s="35"/>
      <c r="C1218" s="35"/>
      <c r="D1218" s="35"/>
      <c r="E1218" s="35"/>
      <c r="F1218" s="36" t="s">
        <v>25</v>
      </c>
      <c r="G1218" s="37"/>
      <c r="H1218" s="37"/>
      <c r="I1218" s="37"/>
      <c r="J1218" s="37"/>
      <c r="K1218" s="37"/>
      <c r="L1218" s="37"/>
      <c r="M1218" s="37"/>
      <c r="N1218" s="37"/>
      <c r="O1218" s="37"/>
      <c r="P1218" s="37">
        <v>0.0</v>
      </c>
      <c r="Q1218" s="37"/>
      <c r="R1218" s="37"/>
      <c r="S1218" s="38"/>
      <c r="T1218" s="37"/>
      <c r="U1218" s="38"/>
      <c r="V1218" s="37"/>
      <c r="W1218" s="37"/>
      <c r="X1218" s="37"/>
      <c r="Y1218" s="37"/>
      <c r="Z1218" s="37"/>
      <c r="AA1218" s="37"/>
      <c r="AB1218" s="37"/>
      <c r="AC1218" s="37"/>
      <c r="AD1218" s="38">
        <v>75.0</v>
      </c>
      <c r="AE1218" s="37"/>
      <c r="AF1218" s="37"/>
      <c r="AG1218" s="37"/>
      <c r="AH1218" s="37"/>
      <c r="AI1218" s="37"/>
      <c r="AJ1218" s="37"/>
      <c r="AK1218" s="37"/>
      <c r="AL1218" s="37"/>
      <c r="AM1218" s="37"/>
      <c r="AN1218" s="37"/>
      <c r="AO1218" s="37"/>
      <c r="AP1218" s="39">
        <f t="shared" ref="AP1218:AP1220" si="562">SUM(H1218:AO1218)</f>
        <v>75</v>
      </c>
      <c r="AQ1218" s="1"/>
    </row>
    <row r="1219" ht="15.0" hidden="1" customHeight="1">
      <c r="A1219" s="1"/>
      <c r="B1219" s="35"/>
      <c r="C1219" s="35"/>
      <c r="D1219" s="35"/>
      <c r="E1219" s="35"/>
      <c r="F1219" s="40" t="s">
        <v>94</v>
      </c>
      <c r="G1219" s="37"/>
      <c r="H1219" s="37"/>
      <c r="I1219" s="37"/>
      <c r="J1219" s="37"/>
      <c r="K1219" s="37"/>
      <c r="L1219" s="37"/>
      <c r="M1219" s="37"/>
      <c r="N1219" s="37"/>
      <c r="O1219" s="37"/>
      <c r="P1219" s="37"/>
      <c r="Q1219" s="37"/>
      <c r="R1219" s="37"/>
      <c r="S1219" s="38"/>
      <c r="T1219" s="37"/>
      <c r="U1219" s="38"/>
      <c r="V1219" s="37"/>
      <c r="W1219" s="37"/>
      <c r="X1219" s="37"/>
      <c r="Y1219" s="37"/>
      <c r="Z1219" s="37"/>
      <c r="AA1219" s="37"/>
      <c r="AB1219" s="37"/>
      <c r="AC1219" s="37"/>
      <c r="AD1219" s="38">
        <v>45.0</v>
      </c>
      <c r="AE1219" s="37">
        <v>30.0</v>
      </c>
      <c r="AF1219" s="37"/>
      <c r="AG1219" s="37"/>
      <c r="AH1219" s="37"/>
      <c r="AI1219" s="37"/>
      <c r="AJ1219" s="37"/>
      <c r="AK1219" s="37"/>
      <c r="AL1219" s="37"/>
      <c r="AM1219" s="37"/>
      <c r="AN1219" s="37"/>
      <c r="AO1219" s="37"/>
      <c r="AP1219" s="39">
        <f t="shared" si="562"/>
        <v>75</v>
      </c>
      <c r="AQ1219" s="1"/>
    </row>
    <row r="1220" ht="15.0" hidden="1" customHeight="1">
      <c r="A1220" s="1"/>
      <c r="B1220" s="35"/>
      <c r="C1220" s="35"/>
      <c r="D1220" s="35"/>
      <c r="E1220" s="35"/>
      <c r="F1220" s="14" t="s">
        <v>43</v>
      </c>
      <c r="G1220" s="37"/>
      <c r="H1220" s="38"/>
      <c r="I1220" s="38"/>
      <c r="J1220" s="38"/>
      <c r="K1220" s="38"/>
      <c r="L1220" s="38"/>
      <c r="M1220" s="38"/>
      <c r="N1220" s="38"/>
      <c r="O1220" s="38"/>
      <c r="P1220" s="38"/>
      <c r="Q1220" s="38"/>
      <c r="R1220" s="38"/>
      <c r="S1220" s="38"/>
      <c r="T1220" s="38"/>
      <c r="U1220" s="38"/>
      <c r="V1220" s="38"/>
      <c r="W1220" s="38"/>
      <c r="X1220" s="38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38"/>
      <c r="AI1220" s="38"/>
      <c r="AJ1220" s="38"/>
      <c r="AK1220" s="38"/>
      <c r="AL1220" s="38"/>
      <c r="AM1220" s="38"/>
      <c r="AN1220" s="38"/>
      <c r="AO1220" s="37"/>
      <c r="AP1220" s="39">
        <f t="shared" si="562"/>
        <v>0</v>
      </c>
      <c r="AQ1220" s="1"/>
    </row>
    <row r="1221" ht="15.75" hidden="1" customHeight="1">
      <c r="A1221" s="1"/>
      <c r="B1221" s="42"/>
      <c r="C1221" s="42"/>
      <c r="D1221" s="42"/>
      <c r="E1221" s="42"/>
      <c r="F1221" s="43" t="s">
        <v>30</v>
      </c>
      <c r="G1221" s="55"/>
      <c r="H1221" s="34">
        <f t="shared" ref="H1221:AN1221" si="563">H1217+H1218-H1219-H1220</f>
        <v>0</v>
      </c>
      <c r="I1221" s="34">
        <f t="shared" si="563"/>
        <v>0</v>
      </c>
      <c r="J1221" s="34">
        <f t="shared" si="563"/>
        <v>0</v>
      </c>
      <c r="K1221" s="34">
        <f t="shared" si="563"/>
        <v>0</v>
      </c>
      <c r="L1221" s="34">
        <f t="shared" si="563"/>
        <v>0</v>
      </c>
      <c r="M1221" s="34">
        <f t="shared" si="563"/>
        <v>0</v>
      </c>
      <c r="N1221" s="34">
        <f t="shared" si="563"/>
        <v>0</v>
      </c>
      <c r="O1221" s="34">
        <f t="shared" si="563"/>
        <v>0</v>
      </c>
      <c r="P1221" s="34">
        <f t="shared" si="563"/>
        <v>0</v>
      </c>
      <c r="Q1221" s="34">
        <f t="shared" si="563"/>
        <v>0</v>
      </c>
      <c r="R1221" s="34">
        <f t="shared" si="563"/>
        <v>0</v>
      </c>
      <c r="S1221" s="34">
        <f t="shared" si="563"/>
        <v>0</v>
      </c>
      <c r="T1221" s="34">
        <f t="shared" si="563"/>
        <v>0</v>
      </c>
      <c r="U1221" s="34">
        <f t="shared" si="563"/>
        <v>0</v>
      </c>
      <c r="V1221" s="34">
        <f t="shared" si="563"/>
        <v>0</v>
      </c>
      <c r="W1221" s="34">
        <f t="shared" si="563"/>
        <v>0</v>
      </c>
      <c r="X1221" s="34">
        <f t="shared" si="563"/>
        <v>0</v>
      </c>
      <c r="Y1221" s="34">
        <f t="shared" si="563"/>
        <v>0</v>
      </c>
      <c r="Z1221" s="34">
        <f t="shared" si="563"/>
        <v>0</v>
      </c>
      <c r="AA1221" s="34">
        <f t="shared" si="563"/>
        <v>0</v>
      </c>
      <c r="AB1221" s="34">
        <f t="shared" si="563"/>
        <v>0</v>
      </c>
      <c r="AC1221" s="34">
        <f t="shared" si="563"/>
        <v>0</v>
      </c>
      <c r="AD1221" s="34">
        <f t="shared" si="563"/>
        <v>30</v>
      </c>
      <c r="AE1221" s="34">
        <f t="shared" si="563"/>
        <v>0</v>
      </c>
      <c r="AF1221" s="34">
        <f t="shared" si="563"/>
        <v>0</v>
      </c>
      <c r="AG1221" s="34">
        <f t="shared" si="563"/>
        <v>0</v>
      </c>
      <c r="AH1221" s="34">
        <f t="shared" si="563"/>
        <v>0</v>
      </c>
      <c r="AI1221" s="34">
        <f t="shared" si="563"/>
        <v>0</v>
      </c>
      <c r="AJ1221" s="34">
        <f t="shared" si="563"/>
        <v>0</v>
      </c>
      <c r="AK1221" s="34">
        <f t="shared" si="563"/>
        <v>0</v>
      </c>
      <c r="AL1221" s="34">
        <f t="shared" si="563"/>
        <v>0</v>
      </c>
      <c r="AM1221" s="34">
        <f t="shared" si="563"/>
        <v>0</v>
      </c>
      <c r="AN1221" s="34">
        <f t="shared" si="563"/>
        <v>0</v>
      </c>
      <c r="AO1221" s="34"/>
      <c r="AP1221" s="45">
        <f>AO1217</f>
        <v>0</v>
      </c>
      <c r="AQ1221" s="1"/>
    </row>
    <row r="1222" ht="15.75" hidden="1" customHeight="1">
      <c r="A1222" s="1"/>
      <c r="B1222" s="32"/>
      <c r="C1222" s="57" t="s">
        <v>419</v>
      </c>
      <c r="D1222" s="32" t="s">
        <v>422</v>
      </c>
      <c r="E1222" s="109" t="s">
        <v>423</v>
      </c>
      <c r="F1222" s="14" t="s">
        <v>23</v>
      </c>
      <c r="G1222" s="44"/>
      <c r="H1222" s="21">
        <v>20.0</v>
      </c>
      <c r="I1222" s="34">
        <f t="shared" ref="I1222:AO1222" si="564">H1226</f>
        <v>20</v>
      </c>
      <c r="J1222" s="34">
        <f t="shared" si="564"/>
        <v>20</v>
      </c>
      <c r="K1222" s="34">
        <f t="shared" si="564"/>
        <v>20</v>
      </c>
      <c r="L1222" s="34">
        <f t="shared" si="564"/>
        <v>20</v>
      </c>
      <c r="M1222" s="34">
        <f t="shared" si="564"/>
        <v>20</v>
      </c>
      <c r="N1222" s="34">
        <f t="shared" si="564"/>
        <v>20</v>
      </c>
      <c r="O1222" s="34">
        <f t="shared" si="564"/>
        <v>20</v>
      </c>
      <c r="P1222" s="34">
        <f t="shared" si="564"/>
        <v>20</v>
      </c>
      <c r="Q1222" s="34">
        <f t="shared" si="564"/>
        <v>20</v>
      </c>
      <c r="R1222" s="34">
        <f t="shared" si="564"/>
        <v>20</v>
      </c>
      <c r="S1222" s="34">
        <f t="shared" si="564"/>
        <v>20</v>
      </c>
      <c r="T1222" s="34">
        <f t="shared" si="564"/>
        <v>20</v>
      </c>
      <c r="U1222" s="34">
        <f t="shared" si="564"/>
        <v>20</v>
      </c>
      <c r="V1222" s="34">
        <f t="shared" si="564"/>
        <v>20</v>
      </c>
      <c r="W1222" s="34">
        <f t="shared" si="564"/>
        <v>20</v>
      </c>
      <c r="X1222" s="34">
        <f t="shared" si="564"/>
        <v>20</v>
      </c>
      <c r="Y1222" s="34">
        <f t="shared" si="564"/>
        <v>20</v>
      </c>
      <c r="Z1222" s="34">
        <f t="shared" si="564"/>
        <v>20</v>
      </c>
      <c r="AA1222" s="34">
        <f t="shared" si="564"/>
        <v>20</v>
      </c>
      <c r="AB1222" s="34">
        <f t="shared" si="564"/>
        <v>20</v>
      </c>
      <c r="AC1222" s="34">
        <f t="shared" si="564"/>
        <v>20</v>
      </c>
      <c r="AD1222" s="34">
        <f t="shared" si="564"/>
        <v>20</v>
      </c>
      <c r="AE1222" s="34">
        <f t="shared" si="564"/>
        <v>20</v>
      </c>
      <c r="AF1222" s="34">
        <f t="shared" si="564"/>
        <v>20</v>
      </c>
      <c r="AG1222" s="34">
        <f t="shared" si="564"/>
        <v>20</v>
      </c>
      <c r="AH1222" s="34">
        <f t="shared" si="564"/>
        <v>20</v>
      </c>
      <c r="AI1222" s="34">
        <f t="shared" si="564"/>
        <v>20</v>
      </c>
      <c r="AJ1222" s="34">
        <f t="shared" si="564"/>
        <v>20</v>
      </c>
      <c r="AK1222" s="34">
        <f t="shared" si="564"/>
        <v>20</v>
      </c>
      <c r="AL1222" s="34">
        <f t="shared" si="564"/>
        <v>20</v>
      </c>
      <c r="AM1222" s="34">
        <f t="shared" si="564"/>
        <v>20</v>
      </c>
      <c r="AN1222" s="34">
        <f t="shared" si="564"/>
        <v>20</v>
      </c>
      <c r="AO1222" s="34">
        <f t="shared" si="564"/>
        <v>20</v>
      </c>
      <c r="AP1222" s="54"/>
      <c r="AQ1222" s="1"/>
    </row>
    <row r="1223" ht="15.0" hidden="1" customHeight="1">
      <c r="A1223" s="1"/>
      <c r="B1223" s="35"/>
      <c r="C1223" s="35"/>
      <c r="D1223" s="35"/>
      <c r="E1223" s="35"/>
      <c r="F1223" s="36" t="s">
        <v>25</v>
      </c>
      <c r="G1223" s="37"/>
      <c r="H1223" s="37"/>
      <c r="I1223" s="37"/>
      <c r="J1223" s="37"/>
      <c r="K1223" s="37"/>
      <c r="L1223" s="37"/>
      <c r="M1223" s="37"/>
      <c r="N1223" s="37"/>
      <c r="O1223" s="37"/>
      <c r="P1223" s="37"/>
      <c r="Q1223" s="37"/>
      <c r="R1223" s="37"/>
      <c r="S1223" s="38"/>
      <c r="T1223" s="37"/>
      <c r="U1223" s="38"/>
      <c r="V1223" s="37"/>
      <c r="W1223" s="37"/>
      <c r="X1223" s="37"/>
      <c r="Y1223" s="37"/>
      <c r="Z1223" s="37"/>
      <c r="AA1223" s="37"/>
      <c r="AB1223" s="37"/>
      <c r="AC1223" s="37"/>
      <c r="AD1223" s="38"/>
      <c r="AE1223" s="37"/>
      <c r="AF1223" s="37"/>
      <c r="AG1223" s="37"/>
      <c r="AH1223" s="37"/>
      <c r="AI1223" s="37"/>
      <c r="AJ1223" s="37"/>
      <c r="AK1223" s="37"/>
      <c r="AL1223" s="37"/>
      <c r="AM1223" s="37"/>
      <c r="AN1223" s="37"/>
      <c r="AO1223" s="37"/>
      <c r="AP1223" s="39">
        <f t="shared" ref="AP1223:AP1225" si="565">SUM(H1223:AO1223)</f>
        <v>0</v>
      </c>
      <c r="AQ1223" s="1"/>
    </row>
    <row r="1224" ht="15.0" hidden="1" customHeight="1">
      <c r="A1224" s="1"/>
      <c r="B1224" s="35"/>
      <c r="C1224" s="35"/>
      <c r="D1224" s="35"/>
      <c r="E1224" s="35"/>
      <c r="F1224" s="40" t="s">
        <v>94</v>
      </c>
      <c r="G1224" s="37"/>
      <c r="H1224" s="37"/>
      <c r="I1224" s="37"/>
      <c r="J1224" s="37"/>
      <c r="K1224" s="37"/>
      <c r="L1224" s="37"/>
      <c r="M1224" s="37"/>
      <c r="N1224" s="37"/>
      <c r="O1224" s="37"/>
      <c r="P1224" s="37"/>
      <c r="Q1224" s="37"/>
      <c r="R1224" s="37"/>
      <c r="S1224" s="38"/>
      <c r="T1224" s="37"/>
      <c r="U1224" s="38"/>
      <c r="V1224" s="37"/>
      <c r="W1224" s="37"/>
      <c r="X1224" s="37"/>
      <c r="Y1224" s="37"/>
      <c r="Z1224" s="37"/>
      <c r="AA1224" s="37"/>
      <c r="AB1224" s="37"/>
      <c r="AC1224" s="37"/>
      <c r="AD1224" s="38"/>
      <c r="AE1224" s="37"/>
      <c r="AF1224" s="37"/>
      <c r="AG1224" s="37"/>
      <c r="AH1224" s="37"/>
      <c r="AI1224" s="37"/>
      <c r="AJ1224" s="37"/>
      <c r="AK1224" s="37"/>
      <c r="AL1224" s="37"/>
      <c r="AM1224" s="37"/>
      <c r="AN1224" s="37"/>
      <c r="AO1224" s="37"/>
      <c r="AP1224" s="39">
        <f t="shared" si="565"/>
        <v>0</v>
      </c>
      <c r="AQ1224" s="1"/>
    </row>
    <row r="1225" ht="15.0" hidden="1" customHeight="1">
      <c r="A1225" s="1"/>
      <c r="B1225" s="35"/>
      <c r="C1225" s="35"/>
      <c r="D1225" s="35"/>
      <c r="E1225" s="35"/>
      <c r="F1225" s="14" t="s">
        <v>43</v>
      </c>
      <c r="G1225" s="37"/>
      <c r="H1225" s="38"/>
      <c r="I1225" s="38"/>
      <c r="J1225" s="38"/>
      <c r="K1225" s="38"/>
      <c r="L1225" s="38"/>
      <c r="M1225" s="38"/>
      <c r="N1225" s="38"/>
      <c r="O1225" s="38"/>
      <c r="P1225" s="38"/>
      <c r="Q1225" s="38"/>
      <c r="R1225" s="38"/>
      <c r="S1225" s="38"/>
      <c r="T1225" s="38"/>
      <c r="U1225" s="38"/>
      <c r="V1225" s="38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38"/>
      <c r="AI1225" s="38"/>
      <c r="AJ1225" s="38"/>
      <c r="AK1225" s="38"/>
      <c r="AL1225" s="38"/>
      <c r="AM1225" s="38"/>
      <c r="AN1225" s="38"/>
      <c r="AO1225" s="37"/>
      <c r="AP1225" s="39">
        <f t="shared" si="565"/>
        <v>0</v>
      </c>
      <c r="AQ1225" s="1"/>
    </row>
    <row r="1226" ht="15.75" hidden="1" customHeight="1">
      <c r="A1226" s="1"/>
      <c r="B1226" s="42"/>
      <c r="C1226" s="42"/>
      <c r="D1226" s="42"/>
      <c r="E1226" s="42"/>
      <c r="F1226" s="43" t="s">
        <v>30</v>
      </c>
      <c r="G1226" s="55"/>
      <c r="H1226" s="34">
        <f t="shared" ref="H1226:AN1226" si="566">H1222+H1223-H1224-H1225</f>
        <v>20</v>
      </c>
      <c r="I1226" s="34">
        <f t="shared" si="566"/>
        <v>20</v>
      </c>
      <c r="J1226" s="34">
        <f t="shared" si="566"/>
        <v>20</v>
      </c>
      <c r="K1226" s="34">
        <f t="shared" si="566"/>
        <v>20</v>
      </c>
      <c r="L1226" s="34">
        <f t="shared" si="566"/>
        <v>20</v>
      </c>
      <c r="M1226" s="34">
        <f t="shared" si="566"/>
        <v>20</v>
      </c>
      <c r="N1226" s="34">
        <f t="shared" si="566"/>
        <v>20</v>
      </c>
      <c r="O1226" s="34">
        <f t="shared" si="566"/>
        <v>20</v>
      </c>
      <c r="P1226" s="34">
        <f t="shared" si="566"/>
        <v>20</v>
      </c>
      <c r="Q1226" s="34">
        <f t="shared" si="566"/>
        <v>20</v>
      </c>
      <c r="R1226" s="34">
        <f t="shared" si="566"/>
        <v>20</v>
      </c>
      <c r="S1226" s="34">
        <f t="shared" si="566"/>
        <v>20</v>
      </c>
      <c r="T1226" s="34">
        <f t="shared" si="566"/>
        <v>20</v>
      </c>
      <c r="U1226" s="34">
        <f t="shared" si="566"/>
        <v>20</v>
      </c>
      <c r="V1226" s="34">
        <f t="shared" si="566"/>
        <v>20</v>
      </c>
      <c r="W1226" s="34">
        <f t="shared" si="566"/>
        <v>20</v>
      </c>
      <c r="X1226" s="34">
        <f t="shared" si="566"/>
        <v>20</v>
      </c>
      <c r="Y1226" s="34">
        <f t="shared" si="566"/>
        <v>20</v>
      </c>
      <c r="Z1226" s="34">
        <f t="shared" si="566"/>
        <v>20</v>
      </c>
      <c r="AA1226" s="34">
        <f t="shared" si="566"/>
        <v>20</v>
      </c>
      <c r="AB1226" s="34">
        <f t="shared" si="566"/>
        <v>20</v>
      </c>
      <c r="AC1226" s="34">
        <f t="shared" si="566"/>
        <v>20</v>
      </c>
      <c r="AD1226" s="34">
        <f t="shared" si="566"/>
        <v>20</v>
      </c>
      <c r="AE1226" s="34">
        <f t="shared" si="566"/>
        <v>20</v>
      </c>
      <c r="AF1226" s="34">
        <f t="shared" si="566"/>
        <v>20</v>
      </c>
      <c r="AG1226" s="34">
        <f t="shared" si="566"/>
        <v>20</v>
      </c>
      <c r="AH1226" s="34">
        <f t="shared" si="566"/>
        <v>20</v>
      </c>
      <c r="AI1226" s="34">
        <f t="shared" si="566"/>
        <v>20</v>
      </c>
      <c r="AJ1226" s="34">
        <f t="shared" si="566"/>
        <v>20</v>
      </c>
      <c r="AK1226" s="34">
        <f t="shared" si="566"/>
        <v>20</v>
      </c>
      <c r="AL1226" s="34">
        <f t="shared" si="566"/>
        <v>20</v>
      </c>
      <c r="AM1226" s="34">
        <f t="shared" si="566"/>
        <v>20</v>
      </c>
      <c r="AN1226" s="34">
        <f t="shared" si="566"/>
        <v>20</v>
      </c>
      <c r="AO1226" s="34"/>
      <c r="AP1226" s="45">
        <f>AO1222</f>
        <v>20</v>
      </c>
      <c r="AQ1226" s="1"/>
    </row>
    <row r="1227" ht="15.75" hidden="1" customHeight="1">
      <c r="A1227" s="1"/>
      <c r="B1227" s="32"/>
      <c r="C1227" s="57" t="s">
        <v>419</v>
      </c>
      <c r="D1227" s="32" t="s">
        <v>284</v>
      </c>
      <c r="E1227" s="109" t="s">
        <v>423</v>
      </c>
      <c r="F1227" s="14" t="s">
        <v>23</v>
      </c>
      <c r="G1227" s="44"/>
      <c r="H1227" s="21">
        <v>79.0</v>
      </c>
      <c r="I1227" s="34">
        <f t="shared" ref="I1227:AO1227" si="567">H1231</f>
        <v>79</v>
      </c>
      <c r="J1227" s="34">
        <f t="shared" si="567"/>
        <v>79</v>
      </c>
      <c r="K1227" s="34">
        <f t="shared" si="567"/>
        <v>79</v>
      </c>
      <c r="L1227" s="34">
        <f t="shared" si="567"/>
        <v>79</v>
      </c>
      <c r="M1227" s="34">
        <f t="shared" si="567"/>
        <v>79</v>
      </c>
      <c r="N1227" s="34">
        <f t="shared" si="567"/>
        <v>79</v>
      </c>
      <c r="O1227" s="34">
        <f t="shared" si="567"/>
        <v>79</v>
      </c>
      <c r="P1227" s="34">
        <f t="shared" si="567"/>
        <v>79</v>
      </c>
      <c r="Q1227" s="34">
        <f t="shared" si="567"/>
        <v>79</v>
      </c>
      <c r="R1227" s="34">
        <f t="shared" si="567"/>
        <v>79</v>
      </c>
      <c r="S1227" s="34">
        <f t="shared" si="567"/>
        <v>79</v>
      </c>
      <c r="T1227" s="34">
        <f t="shared" si="567"/>
        <v>79</v>
      </c>
      <c r="U1227" s="34">
        <f t="shared" si="567"/>
        <v>79</v>
      </c>
      <c r="V1227" s="34">
        <f t="shared" si="567"/>
        <v>79</v>
      </c>
      <c r="W1227" s="34">
        <f t="shared" si="567"/>
        <v>79</v>
      </c>
      <c r="X1227" s="34">
        <f t="shared" si="567"/>
        <v>79</v>
      </c>
      <c r="Y1227" s="34">
        <f t="shared" si="567"/>
        <v>129</v>
      </c>
      <c r="Z1227" s="34">
        <f t="shared" si="567"/>
        <v>129</v>
      </c>
      <c r="AA1227" s="34">
        <f t="shared" si="567"/>
        <v>129</v>
      </c>
      <c r="AB1227" s="34">
        <f t="shared" si="567"/>
        <v>129</v>
      </c>
      <c r="AC1227" s="34">
        <f t="shared" si="567"/>
        <v>129</v>
      </c>
      <c r="AD1227" s="34">
        <f t="shared" si="567"/>
        <v>129</v>
      </c>
      <c r="AE1227" s="34">
        <f t="shared" si="567"/>
        <v>129</v>
      </c>
      <c r="AF1227" s="34">
        <f t="shared" si="567"/>
        <v>129</v>
      </c>
      <c r="AG1227" s="34">
        <f t="shared" si="567"/>
        <v>129</v>
      </c>
      <c r="AH1227" s="34">
        <f t="shared" si="567"/>
        <v>129</v>
      </c>
      <c r="AI1227" s="34">
        <f t="shared" si="567"/>
        <v>129</v>
      </c>
      <c r="AJ1227" s="34">
        <f t="shared" si="567"/>
        <v>129</v>
      </c>
      <c r="AK1227" s="34">
        <f t="shared" si="567"/>
        <v>129</v>
      </c>
      <c r="AL1227" s="34">
        <f t="shared" si="567"/>
        <v>129</v>
      </c>
      <c r="AM1227" s="34">
        <f t="shared" si="567"/>
        <v>129</v>
      </c>
      <c r="AN1227" s="34">
        <f t="shared" si="567"/>
        <v>129</v>
      </c>
      <c r="AO1227" s="34">
        <f t="shared" si="567"/>
        <v>129</v>
      </c>
      <c r="AP1227" s="54"/>
      <c r="AQ1227" s="1"/>
    </row>
    <row r="1228" ht="15.0" hidden="1" customHeight="1">
      <c r="A1228" s="1"/>
      <c r="B1228" s="35"/>
      <c r="C1228" s="35"/>
      <c r="D1228" s="35"/>
      <c r="E1228" s="35"/>
      <c r="F1228" s="36" t="s">
        <v>25</v>
      </c>
      <c r="G1228" s="37"/>
      <c r="H1228" s="37"/>
      <c r="I1228" s="37"/>
      <c r="J1228" s="37"/>
      <c r="K1228" s="37"/>
      <c r="L1228" s="37"/>
      <c r="M1228" s="37"/>
      <c r="N1228" s="37"/>
      <c r="O1228" s="37"/>
      <c r="P1228" s="37"/>
      <c r="Q1228" s="37"/>
      <c r="R1228" s="37"/>
      <c r="S1228" s="38"/>
      <c r="T1228" s="37"/>
      <c r="U1228" s="38"/>
      <c r="V1228" s="37"/>
      <c r="W1228" s="37"/>
      <c r="X1228" s="37">
        <v>50.0</v>
      </c>
      <c r="Y1228" s="37"/>
      <c r="Z1228" s="37"/>
      <c r="AA1228" s="37"/>
      <c r="AB1228" s="37"/>
      <c r="AC1228" s="37"/>
      <c r="AD1228" s="38"/>
      <c r="AE1228" s="37"/>
      <c r="AF1228" s="37"/>
      <c r="AG1228" s="37"/>
      <c r="AH1228" s="37"/>
      <c r="AI1228" s="37"/>
      <c r="AJ1228" s="37"/>
      <c r="AK1228" s="37"/>
      <c r="AL1228" s="37"/>
      <c r="AM1228" s="37"/>
      <c r="AN1228" s="37"/>
      <c r="AO1228" s="37"/>
      <c r="AP1228" s="39">
        <f t="shared" ref="AP1228:AP1230" si="568">SUM(H1228:AO1228)</f>
        <v>50</v>
      </c>
      <c r="AQ1228" s="1"/>
    </row>
    <row r="1229" ht="15.0" hidden="1" customHeight="1">
      <c r="A1229" s="1"/>
      <c r="B1229" s="35"/>
      <c r="C1229" s="35"/>
      <c r="D1229" s="35"/>
      <c r="E1229" s="35"/>
      <c r="F1229" s="40" t="s">
        <v>94</v>
      </c>
      <c r="G1229" s="37"/>
      <c r="H1229" s="37"/>
      <c r="I1229" s="37"/>
      <c r="J1229" s="37"/>
      <c r="K1229" s="37"/>
      <c r="L1229" s="37"/>
      <c r="M1229" s="37"/>
      <c r="N1229" s="37"/>
      <c r="O1229" s="37"/>
      <c r="P1229" s="37"/>
      <c r="Q1229" s="37"/>
      <c r="R1229" s="37"/>
      <c r="S1229" s="38"/>
      <c r="T1229" s="37"/>
      <c r="U1229" s="38"/>
      <c r="V1229" s="37"/>
      <c r="W1229" s="37"/>
      <c r="X1229" s="37"/>
      <c r="Y1229" s="37"/>
      <c r="Z1229" s="37"/>
      <c r="AA1229" s="37"/>
      <c r="AB1229" s="37"/>
      <c r="AC1229" s="37"/>
      <c r="AD1229" s="38"/>
      <c r="AE1229" s="37"/>
      <c r="AF1229" s="37"/>
      <c r="AG1229" s="37"/>
      <c r="AH1229" s="37"/>
      <c r="AI1229" s="37"/>
      <c r="AJ1229" s="37"/>
      <c r="AK1229" s="37"/>
      <c r="AL1229" s="37"/>
      <c r="AM1229" s="37"/>
      <c r="AN1229" s="37"/>
      <c r="AO1229" s="37"/>
      <c r="AP1229" s="39">
        <f t="shared" si="568"/>
        <v>0</v>
      </c>
      <c r="AQ1229" s="1"/>
    </row>
    <row r="1230" ht="15.0" hidden="1" customHeight="1">
      <c r="A1230" s="1"/>
      <c r="B1230" s="35"/>
      <c r="C1230" s="35"/>
      <c r="D1230" s="35"/>
      <c r="E1230" s="35"/>
      <c r="F1230" s="14" t="s">
        <v>43</v>
      </c>
      <c r="G1230" s="37"/>
      <c r="H1230" s="38"/>
      <c r="I1230" s="38"/>
      <c r="J1230" s="38"/>
      <c r="K1230" s="38"/>
      <c r="L1230" s="38"/>
      <c r="M1230" s="38"/>
      <c r="N1230" s="38"/>
      <c r="O1230" s="38"/>
      <c r="P1230" s="38"/>
      <c r="Q1230" s="38"/>
      <c r="R1230" s="38"/>
      <c r="S1230" s="38"/>
      <c r="T1230" s="38"/>
      <c r="U1230" s="38"/>
      <c r="V1230" s="38"/>
      <c r="W1230" s="38"/>
      <c r="X1230" s="38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38"/>
      <c r="AI1230" s="38"/>
      <c r="AJ1230" s="38"/>
      <c r="AK1230" s="38"/>
      <c r="AL1230" s="38"/>
      <c r="AM1230" s="38"/>
      <c r="AN1230" s="38"/>
      <c r="AO1230" s="37"/>
      <c r="AP1230" s="39">
        <f t="shared" si="568"/>
        <v>0</v>
      </c>
      <c r="AQ1230" s="1"/>
    </row>
    <row r="1231" ht="15.75" hidden="1" customHeight="1">
      <c r="A1231" s="1"/>
      <c r="B1231" s="42"/>
      <c r="C1231" s="42"/>
      <c r="D1231" s="42"/>
      <c r="E1231" s="42"/>
      <c r="F1231" s="43" t="s">
        <v>30</v>
      </c>
      <c r="G1231" s="55"/>
      <c r="H1231" s="34">
        <f t="shared" ref="H1231:AN1231" si="569">H1227+H1228-H1229-H1230</f>
        <v>79</v>
      </c>
      <c r="I1231" s="34">
        <f t="shared" si="569"/>
        <v>79</v>
      </c>
      <c r="J1231" s="34">
        <f t="shared" si="569"/>
        <v>79</v>
      </c>
      <c r="K1231" s="34">
        <f t="shared" si="569"/>
        <v>79</v>
      </c>
      <c r="L1231" s="34">
        <f t="shared" si="569"/>
        <v>79</v>
      </c>
      <c r="M1231" s="34">
        <f t="shared" si="569"/>
        <v>79</v>
      </c>
      <c r="N1231" s="34">
        <f t="shared" si="569"/>
        <v>79</v>
      </c>
      <c r="O1231" s="34">
        <f t="shared" si="569"/>
        <v>79</v>
      </c>
      <c r="P1231" s="34">
        <f t="shared" si="569"/>
        <v>79</v>
      </c>
      <c r="Q1231" s="34">
        <f t="shared" si="569"/>
        <v>79</v>
      </c>
      <c r="R1231" s="34">
        <f t="shared" si="569"/>
        <v>79</v>
      </c>
      <c r="S1231" s="34">
        <f t="shared" si="569"/>
        <v>79</v>
      </c>
      <c r="T1231" s="34">
        <f t="shared" si="569"/>
        <v>79</v>
      </c>
      <c r="U1231" s="34">
        <f t="shared" si="569"/>
        <v>79</v>
      </c>
      <c r="V1231" s="34">
        <f t="shared" si="569"/>
        <v>79</v>
      </c>
      <c r="W1231" s="34">
        <f t="shared" si="569"/>
        <v>79</v>
      </c>
      <c r="X1231" s="34">
        <f t="shared" si="569"/>
        <v>129</v>
      </c>
      <c r="Y1231" s="34">
        <f t="shared" si="569"/>
        <v>129</v>
      </c>
      <c r="Z1231" s="34">
        <f t="shared" si="569"/>
        <v>129</v>
      </c>
      <c r="AA1231" s="34">
        <f t="shared" si="569"/>
        <v>129</v>
      </c>
      <c r="AB1231" s="34">
        <f t="shared" si="569"/>
        <v>129</v>
      </c>
      <c r="AC1231" s="34">
        <f t="shared" si="569"/>
        <v>129</v>
      </c>
      <c r="AD1231" s="34">
        <f t="shared" si="569"/>
        <v>129</v>
      </c>
      <c r="AE1231" s="34">
        <f t="shared" si="569"/>
        <v>129</v>
      </c>
      <c r="AF1231" s="34">
        <f t="shared" si="569"/>
        <v>129</v>
      </c>
      <c r="AG1231" s="34">
        <f t="shared" si="569"/>
        <v>129</v>
      </c>
      <c r="AH1231" s="34">
        <f t="shared" si="569"/>
        <v>129</v>
      </c>
      <c r="AI1231" s="34">
        <f t="shared" si="569"/>
        <v>129</v>
      </c>
      <c r="AJ1231" s="34">
        <f t="shared" si="569"/>
        <v>129</v>
      </c>
      <c r="AK1231" s="34">
        <f t="shared" si="569"/>
        <v>129</v>
      </c>
      <c r="AL1231" s="34">
        <f t="shared" si="569"/>
        <v>129</v>
      </c>
      <c r="AM1231" s="34">
        <f t="shared" si="569"/>
        <v>129</v>
      </c>
      <c r="AN1231" s="34">
        <f t="shared" si="569"/>
        <v>129</v>
      </c>
      <c r="AO1231" s="34"/>
      <c r="AP1231" s="45">
        <f>AO1227</f>
        <v>129</v>
      </c>
      <c r="AQ1231" s="1"/>
    </row>
    <row r="1232" ht="15.75" hidden="1" customHeight="1">
      <c r="A1232" s="1"/>
      <c r="B1232" s="32"/>
      <c r="C1232" s="57" t="s">
        <v>424</v>
      </c>
      <c r="D1232" s="32" t="s">
        <v>425</v>
      </c>
      <c r="E1232" s="109"/>
      <c r="F1232" s="14" t="s">
        <v>23</v>
      </c>
      <c r="G1232" s="44"/>
      <c r="H1232" s="21">
        <v>0.0</v>
      </c>
      <c r="I1232" s="34">
        <f t="shared" ref="I1232:AO1232" si="570">H1236</f>
        <v>0</v>
      </c>
      <c r="J1232" s="34">
        <f t="shared" si="570"/>
        <v>0</v>
      </c>
      <c r="K1232" s="34">
        <f t="shared" si="570"/>
        <v>0</v>
      </c>
      <c r="L1232" s="34">
        <f t="shared" si="570"/>
        <v>0</v>
      </c>
      <c r="M1232" s="34">
        <f t="shared" si="570"/>
        <v>0</v>
      </c>
      <c r="N1232" s="34">
        <f t="shared" si="570"/>
        <v>0</v>
      </c>
      <c r="O1232" s="34">
        <f t="shared" si="570"/>
        <v>0</v>
      </c>
      <c r="P1232" s="34">
        <f t="shared" si="570"/>
        <v>0</v>
      </c>
      <c r="Q1232" s="34">
        <f t="shared" si="570"/>
        <v>0</v>
      </c>
      <c r="R1232" s="34">
        <f t="shared" si="570"/>
        <v>0</v>
      </c>
      <c r="S1232" s="34">
        <f t="shared" si="570"/>
        <v>0</v>
      </c>
      <c r="T1232" s="34">
        <f t="shared" si="570"/>
        <v>0</v>
      </c>
      <c r="U1232" s="34">
        <f t="shared" si="570"/>
        <v>0</v>
      </c>
      <c r="V1232" s="34">
        <f t="shared" si="570"/>
        <v>0</v>
      </c>
      <c r="W1232" s="34">
        <f t="shared" si="570"/>
        <v>0</v>
      </c>
      <c r="X1232" s="34">
        <f t="shared" si="570"/>
        <v>0</v>
      </c>
      <c r="Y1232" s="34">
        <f t="shared" si="570"/>
        <v>0</v>
      </c>
      <c r="Z1232" s="34">
        <f t="shared" si="570"/>
        <v>0</v>
      </c>
      <c r="AA1232" s="34">
        <f t="shared" si="570"/>
        <v>0</v>
      </c>
      <c r="AB1232" s="34">
        <f t="shared" si="570"/>
        <v>0</v>
      </c>
      <c r="AC1232" s="34">
        <f t="shared" si="570"/>
        <v>0</v>
      </c>
      <c r="AD1232" s="34">
        <f t="shared" si="570"/>
        <v>0</v>
      </c>
      <c r="AE1232" s="34">
        <f t="shared" si="570"/>
        <v>0</v>
      </c>
      <c r="AF1232" s="34">
        <f t="shared" si="570"/>
        <v>0</v>
      </c>
      <c r="AG1232" s="34">
        <f t="shared" si="570"/>
        <v>0</v>
      </c>
      <c r="AH1232" s="34">
        <f t="shared" si="570"/>
        <v>0</v>
      </c>
      <c r="AI1232" s="34">
        <f t="shared" si="570"/>
        <v>26</v>
      </c>
      <c r="AJ1232" s="34">
        <f t="shared" si="570"/>
        <v>26</v>
      </c>
      <c r="AK1232" s="34">
        <f t="shared" si="570"/>
        <v>26</v>
      </c>
      <c r="AL1232" s="34">
        <f t="shared" si="570"/>
        <v>26</v>
      </c>
      <c r="AM1232" s="34">
        <f t="shared" si="570"/>
        <v>26</v>
      </c>
      <c r="AN1232" s="34">
        <f t="shared" si="570"/>
        <v>26</v>
      </c>
      <c r="AO1232" s="34">
        <f t="shared" si="570"/>
        <v>26</v>
      </c>
      <c r="AP1232" s="54"/>
      <c r="AQ1232" s="1"/>
    </row>
    <row r="1233" ht="15.0" hidden="1" customHeight="1">
      <c r="A1233" s="1"/>
      <c r="B1233" s="35"/>
      <c r="C1233" s="35"/>
      <c r="D1233" s="35"/>
      <c r="E1233" s="35"/>
      <c r="F1233" s="36" t="s">
        <v>25</v>
      </c>
      <c r="G1233" s="37"/>
      <c r="H1233" s="37"/>
      <c r="I1233" s="37"/>
      <c r="J1233" s="37"/>
      <c r="K1233" s="37"/>
      <c r="L1233" s="37"/>
      <c r="M1233" s="37"/>
      <c r="N1233" s="37"/>
      <c r="O1233" s="37"/>
      <c r="P1233" s="37"/>
      <c r="Q1233" s="37"/>
      <c r="R1233" s="37"/>
      <c r="S1233" s="38"/>
      <c r="T1233" s="37"/>
      <c r="U1233" s="38"/>
      <c r="V1233" s="37"/>
      <c r="W1233" s="37"/>
      <c r="X1233" s="37"/>
      <c r="Y1233" s="37"/>
      <c r="Z1233" s="37"/>
      <c r="AA1233" s="37"/>
      <c r="AB1233" s="37"/>
      <c r="AC1233" s="37"/>
      <c r="AD1233" s="38"/>
      <c r="AE1233" s="37"/>
      <c r="AF1233" s="37"/>
      <c r="AG1233" s="37"/>
      <c r="AH1233" s="37">
        <v>26.0</v>
      </c>
      <c r="AI1233" s="37"/>
      <c r="AJ1233" s="37"/>
      <c r="AK1233" s="37"/>
      <c r="AL1233" s="37"/>
      <c r="AM1233" s="37"/>
      <c r="AN1233" s="37"/>
      <c r="AO1233" s="37"/>
      <c r="AP1233" s="39">
        <f t="shared" ref="AP1233:AP1235" si="571">SUM(H1233:AO1233)</f>
        <v>26</v>
      </c>
      <c r="AQ1233" s="1"/>
    </row>
    <row r="1234" ht="15.0" hidden="1" customHeight="1">
      <c r="A1234" s="1"/>
      <c r="B1234" s="35"/>
      <c r="C1234" s="35"/>
      <c r="D1234" s="35"/>
      <c r="E1234" s="35"/>
      <c r="F1234" s="40" t="s">
        <v>94</v>
      </c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R1234" s="37"/>
      <c r="S1234" s="38"/>
      <c r="T1234" s="37"/>
      <c r="U1234" s="38"/>
      <c r="V1234" s="37"/>
      <c r="W1234" s="37"/>
      <c r="X1234" s="37"/>
      <c r="Y1234" s="37"/>
      <c r="Z1234" s="37"/>
      <c r="AA1234" s="37"/>
      <c r="AB1234" s="37"/>
      <c r="AC1234" s="37"/>
      <c r="AD1234" s="38"/>
      <c r="AE1234" s="37"/>
      <c r="AF1234" s="37"/>
      <c r="AG1234" s="37"/>
      <c r="AH1234" s="37"/>
      <c r="AI1234" s="37"/>
      <c r="AJ1234" s="37"/>
      <c r="AK1234" s="37"/>
      <c r="AL1234" s="37"/>
      <c r="AM1234" s="37"/>
      <c r="AN1234" s="37"/>
      <c r="AO1234" s="37"/>
      <c r="AP1234" s="39">
        <f t="shared" si="571"/>
        <v>0</v>
      </c>
      <c r="AQ1234" s="1"/>
    </row>
    <row r="1235" ht="15.0" hidden="1" customHeight="1">
      <c r="A1235" s="1"/>
      <c r="B1235" s="35"/>
      <c r="C1235" s="35"/>
      <c r="D1235" s="35"/>
      <c r="E1235" s="35"/>
      <c r="F1235" s="14" t="s">
        <v>43</v>
      </c>
      <c r="G1235" s="37"/>
      <c r="H1235" s="38"/>
      <c r="I1235" s="38"/>
      <c r="J1235" s="38"/>
      <c r="K1235" s="38"/>
      <c r="L1235" s="38"/>
      <c r="M1235" s="38"/>
      <c r="N1235" s="38"/>
      <c r="O1235" s="38"/>
      <c r="P1235" s="38"/>
      <c r="Q1235" s="38"/>
      <c r="R1235" s="38"/>
      <c r="S1235" s="38"/>
      <c r="T1235" s="38"/>
      <c r="U1235" s="38"/>
      <c r="V1235" s="38"/>
      <c r="W1235" s="38"/>
      <c r="X1235" s="38"/>
      <c r="Y1235" s="38"/>
      <c r="Z1235" s="38"/>
      <c r="AA1235" s="38"/>
      <c r="AB1235" s="38"/>
      <c r="AC1235" s="38"/>
      <c r="AD1235" s="38"/>
      <c r="AE1235" s="38"/>
      <c r="AF1235" s="38"/>
      <c r="AG1235" s="38"/>
      <c r="AH1235" s="38"/>
      <c r="AI1235" s="38"/>
      <c r="AJ1235" s="38"/>
      <c r="AK1235" s="38"/>
      <c r="AL1235" s="38"/>
      <c r="AM1235" s="38"/>
      <c r="AN1235" s="38"/>
      <c r="AO1235" s="37"/>
      <c r="AP1235" s="39">
        <f t="shared" si="571"/>
        <v>0</v>
      </c>
      <c r="AQ1235" s="1"/>
    </row>
    <row r="1236" ht="15.75" hidden="1" customHeight="1">
      <c r="A1236" s="1"/>
      <c r="B1236" s="42"/>
      <c r="C1236" s="42"/>
      <c r="D1236" s="42"/>
      <c r="E1236" s="42"/>
      <c r="F1236" s="43" t="s">
        <v>30</v>
      </c>
      <c r="G1236" s="55"/>
      <c r="H1236" s="34">
        <f t="shared" ref="H1236:AN1236" si="572">H1232+H1233-H1234-H1235</f>
        <v>0</v>
      </c>
      <c r="I1236" s="34">
        <f t="shared" si="572"/>
        <v>0</v>
      </c>
      <c r="J1236" s="34">
        <f t="shared" si="572"/>
        <v>0</v>
      </c>
      <c r="K1236" s="34">
        <f t="shared" si="572"/>
        <v>0</v>
      </c>
      <c r="L1236" s="34">
        <f t="shared" si="572"/>
        <v>0</v>
      </c>
      <c r="M1236" s="34">
        <f t="shared" si="572"/>
        <v>0</v>
      </c>
      <c r="N1236" s="34">
        <f t="shared" si="572"/>
        <v>0</v>
      </c>
      <c r="O1236" s="34">
        <f t="shared" si="572"/>
        <v>0</v>
      </c>
      <c r="P1236" s="34">
        <f t="shared" si="572"/>
        <v>0</v>
      </c>
      <c r="Q1236" s="34">
        <f t="shared" si="572"/>
        <v>0</v>
      </c>
      <c r="R1236" s="34">
        <f t="shared" si="572"/>
        <v>0</v>
      </c>
      <c r="S1236" s="34">
        <f t="shared" si="572"/>
        <v>0</v>
      </c>
      <c r="T1236" s="34">
        <f t="shared" si="572"/>
        <v>0</v>
      </c>
      <c r="U1236" s="34">
        <f t="shared" si="572"/>
        <v>0</v>
      </c>
      <c r="V1236" s="34">
        <f t="shared" si="572"/>
        <v>0</v>
      </c>
      <c r="W1236" s="34">
        <f t="shared" si="572"/>
        <v>0</v>
      </c>
      <c r="X1236" s="34">
        <f t="shared" si="572"/>
        <v>0</v>
      </c>
      <c r="Y1236" s="34">
        <f t="shared" si="572"/>
        <v>0</v>
      </c>
      <c r="Z1236" s="34">
        <f t="shared" si="572"/>
        <v>0</v>
      </c>
      <c r="AA1236" s="34">
        <f t="shared" si="572"/>
        <v>0</v>
      </c>
      <c r="AB1236" s="34">
        <f t="shared" si="572"/>
        <v>0</v>
      </c>
      <c r="AC1236" s="34">
        <f t="shared" si="572"/>
        <v>0</v>
      </c>
      <c r="AD1236" s="34">
        <f t="shared" si="572"/>
        <v>0</v>
      </c>
      <c r="AE1236" s="34">
        <f t="shared" si="572"/>
        <v>0</v>
      </c>
      <c r="AF1236" s="34">
        <f t="shared" si="572"/>
        <v>0</v>
      </c>
      <c r="AG1236" s="34">
        <f t="shared" si="572"/>
        <v>0</v>
      </c>
      <c r="AH1236" s="34">
        <f t="shared" si="572"/>
        <v>26</v>
      </c>
      <c r="AI1236" s="34">
        <f t="shared" si="572"/>
        <v>26</v>
      </c>
      <c r="AJ1236" s="34">
        <f t="shared" si="572"/>
        <v>26</v>
      </c>
      <c r="AK1236" s="34">
        <f t="shared" si="572"/>
        <v>26</v>
      </c>
      <c r="AL1236" s="34">
        <f t="shared" si="572"/>
        <v>26</v>
      </c>
      <c r="AM1236" s="34">
        <f t="shared" si="572"/>
        <v>26</v>
      </c>
      <c r="AN1236" s="34">
        <f t="shared" si="572"/>
        <v>26</v>
      </c>
      <c r="AO1236" s="34"/>
      <c r="AP1236" s="45">
        <f>AO1232</f>
        <v>26</v>
      </c>
      <c r="AQ1236" s="1"/>
    </row>
    <row r="1237" ht="15.75" hidden="1" customHeight="1">
      <c r="A1237" s="1"/>
      <c r="B1237" s="32">
        <v>2.0</v>
      </c>
      <c r="C1237" s="57" t="s">
        <v>424</v>
      </c>
      <c r="D1237" s="32" t="s">
        <v>426</v>
      </c>
      <c r="E1237" s="109"/>
      <c r="F1237" s="14" t="s">
        <v>23</v>
      </c>
      <c r="G1237" s="44"/>
      <c r="H1237" s="21">
        <v>0.0</v>
      </c>
      <c r="I1237" s="34">
        <f t="shared" ref="I1237:AO1237" si="573">H1241</f>
        <v>0</v>
      </c>
      <c r="J1237" s="34">
        <f t="shared" si="573"/>
        <v>0</v>
      </c>
      <c r="K1237" s="34">
        <f t="shared" si="573"/>
        <v>0</v>
      </c>
      <c r="L1237" s="34">
        <f t="shared" si="573"/>
        <v>0</v>
      </c>
      <c r="M1237" s="34">
        <f t="shared" si="573"/>
        <v>0</v>
      </c>
      <c r="N1237" s="34">
        <f t="shared" si="573"/>
        <v>0</v>
      </c>
      <c r="O1237" s="34">
        <f t="shared" si="573"/>
        <v>0</v>
      </c>
      <c r="P1237" s="34">
        <f t="shared" si="573"/>
        <v>0</v>
      </c>
      <c r="Q1237" s="34">
        <f t="shared" si="573"/>
        <v>0</v>
      </c>
      <c r="R1237" s="34">
        <f t="shared" si="573"/>
        <v>0</v>
      </c>
      <c r="S1237" s="34">
        <f t="shared" si="573"/>
        <v>0</v>
      </c>
      <c r="T1237" s="34">
        <f t="shared" si="573"/>
        <v>0</v>
      </c>
      <c r="U1237" s="34">
        <f t="shared" si="573"/>
        <v>0</v>
      </c>
      <c r="V1237" s="34">
        <f t="shared" si="573"/>
        <v>0</v>
      </c>
      <c r="W1237" s="34">
        <f t="shared" si="573"/>
        <v>0</v>
      </c>
      <c r="X1237" s="34">
        <f t="shared" si="573"/>
        <v>0</v>
      </c>
      <c r="Y1237" s="34">
        <f t="shared" si="573"/>
        <v>0</v>
      </c>
      <c r="Z1237" s="34">
        <f t="shared" si="573"/>
        <v>0</v>
      </c>
      <c r="AA1237" s="34">
        <f t="shared" si="573"/>
        <v>0</v>
      </c>
      <c r="AB1237" s="34">
        <f t="shared" si="573"/>
        <v>0</v>
      </c>
      <c r="AC1237" s="34">
        <f t="shared" si="573"/>
        <v>0</v>
      </c>
      <c r="AD1237" s="34">
        <f t="shared" si="573"/>
        <v>0</v>
      </c>
      <c r="AE1237" s="34">
        <f t="shared" si="573"/>
        <v>10</v>
      </c>
      <c r="AF1237" s="34">
        <f t="shared" si="573"/>
        <v>10</v>
      </c>
      <c r="AG1237" s="34">
        <f t="shared" si="573"/>
        <v>0</v>
      </c>
      <c r="AH1237" s="34">
        <f t="shared" si="573"/>
        <v>0</v>
      </c>
      <c r="AI1237" s="34">
        <f t="shared" si="573"/>
        <v>0</v>
      </c>
      <c r="AJ1237" s="34">
        <f t="shared" si="573"/>
        <v>0</v>
      </c>
      <c r="AK1237" s="34">
        <f t="shared" si="573"/>
        <v>0</v>
      </c>
      <c r="AL1237" s="34">
        <f t="shared" si="573"/>
        <v>0</v>
      </c>
      <c r="AM1237" s="34">
        <f t="shared" si="573"/>
        <v>0</v>
      </c>
      <c r="AN1237" s="34">
        <f t="shared" si="573"/>
        <v>0</v>
      </c>
      <c r="AO1237" s="34">
        <f t="shared" si="573"/>
        <v>0</v>
      </c>
      <c r="AP1237" s="54"/>
      <c r="AQ1237" s="1"/>
    </row>
    <row r="1238" ht="15.0" hidden="1" customHeight="1">
      <c r="A1238" s="1"/>
      <c r="B1238" s="35"/>
      <c r="C1238" s="35"/>
      <c r="D1238" s="35"/>
      <c r="E1238" s="35"/>
      <c r="F1238" s="36" t="s">
        <v>25</v>
      </c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R1238" s="37"/>
      <c r="S1238" s="38"/>
      <c r="T1238" s="37"/>
      <c r="U1238" s="38"/>
      <c r="V1238" s="37"/>
      <c r="W1238" s="37"/>
      <c r="X1238" s="37"/>
      <c r="Y1238" s="37"/>
      <c r="Z1238" s="37"/>
      <c r="AA1238" s="37"/>
      <c r="AB1238" s="37"/>
      <c r="AC1238" s="37"/>
      <c r="AD1238" s="38">
        <v>10.0</v>
      </c>
      <c r="AE1238" s="37"/>
      <c r="AF1238" s="37"/>
      <c r="AG1238" s="37"/>
      <c r="AH1238" s="37"/>
      <c r="AI1238" s="37"/>
      <c r="AJ1238" s="37"/>
      <c r="AK1238" s="37"/>
      <c r="AL1238" s="37"/>
      <c r="AM1238" s="37"/>
      <c r="AN1238" s="37"/>
      <c r="AO1238" s="37"/>
      <c r="AP1238" s="39">
        <f t="shared" ref="AP1238:AP1240" si="574">SUM(H1238:AO1238)</f>
        <v>10</v>
      </c>
      <c r="AQ1238" s="1"/>
    </row>
    <row r="1239" ht="15.0" hidden="1" customHeight="1">
      <c r="A1239" s="1"/>
      <c r="B1239" s="35"/>
      <c r="C1239" s="35"/>
      <c r="D1239" s="35"/>
      <c r="E1239" s="35"/>
      <c r="F1239" s="40" t="s">
        <v>94</v>
      </c>
      <c r="G1239" s="37"/>
      <c r="H1239" s="37"/>
      <c r="I1239" s="37"/>
      <c r="J1239" s="37"/>
      <c r="K1239" s="37"/>
      <c r="L1239" s="37"/>
      <c r="M1239" s="37"/>
      <c r="N1239" s="37"/>
      <c r="O1239" s="37"/>
      <c r="P1239" s="37"/>
      <c r="Q1239" s="37"/>
      <c r="R1239" s="37"/>
      <c r="S1239" s="38"/>
      <c r="T1239" s="37"/>
      <c r="U1239" s="38"/>
      <c r="V1239" s="37"/>
      <c r="W1239" s="37"/>
      <c r="X1239" s="37"/>
      <c r="Y1239" s="37"/>
      <c r="Z1239" s="37"/>
      <c r="AA1239" s="37"/>
      <c r="AB1239" s="37"/>
      <c r="AC1239" s="37"/>
      <c r="AD1239" s="38"/>
      <c r="AE1239" s="37"/>
      <c r="AF1239" s="37">
        <v>10.0</v>
      </c>
      <c r="AG1239" s="37"/>
      <c r="AH1239" s="37"/>
      <c r="AI1239" s="37"/>
      <c r="AJ1239" s="37"/>
      <c r="AK1239" s="37"/>
      <c r="AL1239" s="37"/>
      <c r="AM1239" s="37"/>
      <c r="AN1239" s="37"/>
      <c r="AO1239" s="37"/>
      <c r="AP1239" s="39">
        <f t="shared" si="574"/>
        <v>10</v>
      </c>
      <c r="AQ1239" s="1"/>
    </row>
    <row r="1240" ht="15.0" hidden="1" customHeight="1">
      <c r="A1240" s="1"/>
      <c r="B1240" s="35"/>
      <c r="C1240" s="35"/>
      <c r="D1240" s="35"/>
      <c r="E1240" s="35"/>
      <c r="F1240" s="14" t="s">
        <v>43</v>
      </c>
      <c r="G1240" s="37"/>
      <c r="H1240" s="38"/>
      <c r="I1240" s="38"/>
      <c r="J1240" s="38"/>
      <c r="K1240" s="38"/>
      <c r="L1240" s="38"/>
      <c r="M1240" s="38"/>
      <c r="N1240" s="38"/>
      <c r="O1240" s="38"/>
      <c r="P1240" s="38"/>
      <c r="Q1240" s="38"/>
      <c r="R1240" s="38"/>
      <c r="S1240" s="38"/>
      <c r="T1240" s="38"/>
      <c r="U1240" s="38"/>
      <c r="V1240" s="38"/>
      <c r="W1240" s="38"/>
      <c r="X1240" s="38"/>
      <c r="Y1240" s="38"/>
      <c r="Z1240" s="38"/>
      <c r="AA1240" s="38"/>
      <c r="AB1240" s="38"/>
      <c r="AC1240" s="38"/>
      <c r="AD1240" s="38"/>
      <c r="AE1240" s="38"/>
      <c r="AF1240" s="38"/>
      <c r="AG1240" s="38"/>
      <c r="AH1240" s="38"/>
      <c r="AI1240" s="38"/>
      <c r="AJ1240" s="38"/>
      <c r="AK1240" s="38"/>
      <c r="AL1240" s="38"/>
      <c r="AM1240" s="38"/>
      <c r="AN1240" s="38"/>
      <c r="AO1240" s="37"/>
      <c r="AP1240" s="39">
        <f t="shared" si="574"/>
        <v>0</v>
      </c>
      <c r="AQ1240" s="1"/>
    </row>
    <row r="1241" ht="15.75" hidden="1" customHeight="1">
      <c r="A1241" s="1"/>
      <c r="B1241" s="42"/>
      <c r="C1241" s="42"/>
      <c r="D1241" s="42"/>
      <c r="E1241" s="42"/>
      <c r="F1241" s="43" t="s">
        <v>30</v>
      </c>
      <c r="G1241" s="55"/>
      <c r="H1241" s="34">
        <f t="shared" ref="H1241:AN1241" si="575">H1237+H1238-H1239-H1240</f>
        <v>0</v>
      </c>
      <c r="I1241" s="34">
        <f t="shared" si="575"/>
        <v>0</v>
      </c>
      <c r="J1241" s="34">
        <f t="shared" si="575"/>
        <v>0</v>
      </c>
      <c r="K1241" s="34">
        <f t="shared" si="575"/>
        <v>0</v>
      </c>
      <c r="L1241" s="34">
        <f t="shared" si="575"/>
        <v>0</v>
      </c>
      <c r="M1241" s="34">
        <f t="shared" si="575"/>
        <v>0</v>
      </c>
      <c r="N1241" s="34">
        <f t="shared" si="575"/>
        <v>0</v>
      </c>
      <c r="O1241" s="34">
        <f t="shared" si="575"/>
        <v>0</v>
      </c>
      <c r="P1241" s="34">
        <f t="shared" si="575"/>
        <v>0</v>
      </c>
      <c r="Q1241" s="34">
        <f t="shared" si="575"/>
        <v>0</v>
      </c>
      <c r="R1241" s="34">
        <f t="shared" si="575"/>
        <v>0</v>
      </c>
      <c r="S1241" s="34">
        <f t="shared" si="575"/>
        <v>0</v>
      </c>
      <c r="T1241" s="34">
        <f t="shared" si="575"/>
        <v>0</v>
      </c>
      <c r="U1241" s="34">
        <f t="shared" si="575"/>
        <v>0</v>
      </c>
      <c r="V1241" s="34">
        <f t="shared" si="575"/>
        <v>0</v>
      </c>
      <c r="W1241" s="34">
        <f t="shared" si="575"/>
        <v>0</v>
      </c>
      <c r="X1241" s="34">
        <f t="shared" si="575"/>
        <v>0</v>
      </c>
      <c r="Y1241" s="34">
        <f t="shared" si="575"/>
        <v>0</v>
      </c>
      <c r="Z1241" s="34">
        <f t="shared" si="575"/>
        <v>0</v>
      </c>
      <c r="AA1241" s="34">
        <f t="shared" si="575"/>
        <v>0</v>
      </c>
      <c r="AB1241" s="34">
        <f t="shared" si="575"/>
        <v>0</v>
      </c>
      <c r="AC1241" s="34">
        <f t="shared" si="575"/>
        <v>0</v>
      </c>
      <c r="AD1241" s="34">
        <f t="shared" si="575"/>
        <v>10</v>
      </c>
      <c r="AE1241" s="34">
        <f t="shared" si="575"/>
        <v>10</v>
      </c>
      <c r="AF1241" s="34">
        <f t="shared" si="575"/>
        <v>0</v>
      </c>
      <c r="AG1241" s="34">
        <f t="shared" si="575"/>
        <v>0</v>
      </c>
      <c r="AH1241" s="34">
        <f t="shared" si="575"/>
        <v>0</v>
      </c>
      <c r="AI1241" s="34">
        <f t="shared" si="575"/>
        <v>0</v>
      </c>
      <c r="AJ1241" s="34">
        <f t="shared" si="575"/>
        <v>0</v>
      </c>
      <c r="AK1241" s="34">
        <f t="shared" si="575"/>
        <v>0</v>
      </c>
      <c r="AL1241" s="34">
        <f t="shared" si="575"/>
        <v>0</v>
      </c>
      <c r="AM1241" s="34">
        <f t="shared" si="575"/>
        <v>0</v>
      </c>
      <c r="AN1241" s="34">
        <f t="shared" si="575"/>
        <v>0</v>
      </c>
      <c r="AO1241" s="34"/>
      <c r="AP1241" s="45">
        <f>AO1237</f>
        <v>0</v>
      </c>
      <c r="AQ1241" s="1"/>
    </row>
    <row r="1242" ht="15.75" hidden="1" customHeight="1">
      <c r="A1242" s="1"/>
      <c r="B1242" s="32"/>
      <c r="C1242" s="57" t="s">
        <v>419</v>
      </c>
      <c r="D1242" s="32" t="s">
        <v>286</v>
      </c>
      <c r="E1242" s="109" t="s">
        <v>423</v>
      </c>
      <c r="F1242" s="14" t="s">
        <v>23</v>
      </c>
      <c r="G1242" s="44"/>
      <c r="H1242" s="21">
        <v>11.0</v>
      </c>
      <c r="I1242" s="34">
        <f t="shared" ref="I1242:AO1242" si="576">H1246</f>
        <v>11</v>
      </c>
      <c r="J1242" s="34">
        <f t="shared" si="576"/>
        <v>11</v>
      </c>
      <c r="K1242" s="34">
        <f t="shared" si="576"/>
        <v>11</v>
      </c>
      <c r="L1242" s="34">
        <f t="shared" si="576"/>
        <v>11</v>
      </c>
      <c r="M1242" s="34">
        <f t="shared" si="576"/>
        <v>11</v>
      </c>
      <c r="N1242" s="34">
        <f t="shared" si="576"/>
        <v>11</v>
      </c>
      <c r="O1242" s="34">
        <f t="shared" si="576"/>
        <v>11</v>
      </c>
      <c r="P1242" s="34">
        <f t="shared" si="576"/>
        <v>11</v>
      </c>
      <c r="Q1242" s="34">
        <f t="shared" si="576"/>
        <v>11</v>
      </c>
      <c r="R1242" s="34">
        <f t="shared" si="576"/>
        <v>11</v>
      </c>
      <c r="S1242" s="34">
        <f t="shared" si="576"/>
        <v>11</v>
      </c>
      <c r="T1242" s="34">
        <f t="shared" si="576"/>
        <v>11</v>
      </c>
      <c r="U1242" s="34">
        <f t="shared" si="576"/>
        <v>11</v>
      </c>
      <c r="V1242" s="34">
        <f t="shared" si="576"/>
        <v>11</v>
      </c>
      <c r="W1242" s="34">
        <f t="shared" si="576"/>
        <v>11</v>
      </c>
      <c r="X1242" s="34">
        <f t="shared" si="576"/>
        <v>11</v>
      </c>
      <c r="Y1242" s="34">
        <f t="shared" si="576"/>
        <v>26</v>
      </c>
      <c r="Z1242" s="34">
        <f t="shared" si="576"/>
        <v>26</v>
      </c>
      <c r="AA1242" s="34">
        <f t="shared" si="576"/>
        <v>26</v>
      </c>
      <c r="AB1242" s="34">
        <f t="shared" si="576"/>
        <v>26</v>
      </c>
      <c r="AC1242" s="34">
        <f t="shared" si="576"/>
        <v>26</v>
      </c>
      <c r="AD1242" s="34">
        <f t="shared" si="576"/>
        <v>26</v>
      </c>
      <c r="AE1242" s="34">
        <f t="shared" si="576"/>
        <v>26</v>
      </c>
      <c r="AF1242" s="34">
        <f t="shared" si="576"/>
        <v>26</v>
      </c>
      <c r="AG1242" s="34">
        <f t="shared" si="576"/>
        <v>26</v>
      </c>
      <c r="AH1242" s="34">
        <f t="shared" si="576"/>
        <v>26</v>
      </c>
      <c r="AI1242" s="34">
        <f t="shared" si="576"/>
        <v>26</v>
      </c>
      <c r="AJ1242" s="34">
        <f t="shared" si="576"/>
        <v>26</v>
      </c>
      <c r="AK1242" s="34">
        <f t="shared" si="576"/>
        <v>26</v>
      </c>
      <c r="AL1242" s="34">
        <f t="shared" si="576"/>
        <v>26</v>
      </c>
      <c r="AM1242" s="34">
        <f t="shared" si="576"/>
        <v>26</v>
      </c>
      <c r="AN1242" s="34">
        <f t="shared" si="576"/>
        <v>26</v>
      </c>
      <c r="AO1242" s="34">
        <f t="shared" si="576"/>
        <v>26</v>
      </c>
      <c r="AP1242" s="54"/>
      <c r="AQ1242" s="1"/>
    </row>
    <row r="1243" ht="15.0" hidden="1" customHeight="1">
      <c r="A1243" s="1"/>
      <c r="B1243" s="35"/>
      <c r="C1243" s="35"/>
      <c r="D1243" s="35"/>
      <c r="E1243" s="35"/>
      <c r="F1243" s="36" t="s">
        <v>25</v>
      </c>
      <c r="G1243" s="37"/>
      <c r="H1243" s="37"/>
      <c r="I1243" s="37"/>
      <c r="J1243" s="37"/>
      <c r="K1243" s="37"/>
      <c r="L1243" s="37"/>
      <c r="M1243" s="37"/>
      <c r="N1243" s="37"/>
      <c r="O1243" s="37"/>
      <c r="P1243" s="37"/>
      <c r="Q1243" s="37"/>
      <c r="R1243" s="37"/>
      <c r="S1243" s="38"/>
      <c r="T1243" s="37"/>
      <c r="U1243" s="38"/>
      <c r="V1243" s="37"/>
      <c r="W1243" s="37"/>
      <c r="X1243" s="37">
        <v>15.0</v>
      </c>
      <c r="Y1243" s="37"/>
      <c r="Z1243" s="37"/>
      <c r="AA1243" s="37"/>
      <c r="AB1243" s="37"/>
      <c r="AC1243" s="37"/>
      <c r="AD1243" s="38"/>
      <c r="AE1243" s="37"/>
      <c r="AF1243" s="37"/>
      <c r="AG1243" s="37"/>
      <c r="AH1243" s="37"/>
      <c r="AI1243" s="37"/>
      <c r="AJ1243" s="37"/>
      <c r="AK1243" s="37"/>
      <c r="AL1243" s="37"/>
      <c r="AM1243" s="37"/>
      <c r="AN1243" s="37"/>
      <c r="AO1243" s="37"/>
      <c r="AP1243" s="39">
        <f t="shared" ref="AP1243:AP1245" si="577">SUM(H1243:AO1243)</f>
        <v>15</v>
      </c>
      <c r="AQ1243" s="1"/>
    </row>
    <row r="1244" ht="15.0" hidden="1" customHeight="1">
      <c r="A1244" s="1"/>
      <c r="B1244" s="35"/>
      <c r="C1244" s="35"/>
      <c r="D1244" s="35"/>
      <c r="E1244" s="35"/>
      <c r="F1244" s="40" t="s">
        <v>94</v>
      </c>
      <c r="G1244" s="37"/>
      <c r="H1244" s="37"/>
      <c r="I1244" s="37"/>
      <c r="J1244" s="37"/>
      <c r="K1244" s="37"/>
      <c r="L1244" s="37"/>
      <c r="M1244" s="37"/>
      <c r="N1244" s="37"/>
      <c r="O1244" s="37"/>
      <c r="P1244" s="37"/>
      <c r="Q1244" s="37"/>
      <c r="R1244" s="37"/>
      <c r="S1244" s="38"/>
      <c r="T1244" s="37"/>
      <c r="U1244" s="38"/>
      <c r="V1244" s="37"/>
      <c r="W1244" s="37"/>
      <c r="X1244" s="37"/>
      <c r="Y1244" s="37"/>
      <c r="Z1244" s="37"/>
      <c r="AA1244" s="37"/>
      <c r="AB1244" s="37"/>
      <c r="AC1244" s="37"/>
      <c r="AD1244" s="38"/>
      <c r="AE1244" s="37"/>
      <c r="AF1244" s="37"/>
      <c r="AG1244" s="37"/>
      <c r="AH1244" s="37"/>
      <c r="AI1244" s="37"/>
      <c r="AJ1244" s="37"/>
      <c r="AK1244" s="37"/>
      <c r="AL1244" s="37"/>
      <c r="AM1244" s="37"/>
      <c r="AN1244" s="37"/>
      <c r="AO1244" s="37"/>
      <c r="AP1244" s="39">
        <f t="shared" si="577"/>
        <v>0</v>
      </c>
      <c r="AQ1244" s="1"/>
    </row>
    <row r="1245" ht="15.0" hidden="1" customHeight="1">
      <c r="A1245" s="1"/>
      <c r="B1245" s="35"/>
      <c r="C1245" s="35"/>
      <c r="D1245" s="35"/>
      <c r="E1245" s="35"/>
      <c r="F1245" s="14" t="s">
        <v>43</v>
      </c>
      <c r="G1245" s="37"/>
      <c r="H1245" s="38"/>
      <c r="I1245" s="38"/>
      <c r="J1245" s="38"/>
      <c r="K1245" s="38"/>
      <c r="L1245" s="38"/>
      <c r="M1245" s="38"/>
      <c r="N1245" s="38"/>
      <c r="O1245" s="38"/>
      <c r="P1245" s="38"/>
      <c r="Q1245" s="38"/>
      <c r="R1245" s="38"/>
      <c r="S1245" s="38"/>
      <c r="T1245" s="38"/>
      <c r="U1245" s="38"/>
      <c r="V1245" s="38"/>
      <c r="W1245" s="38"/>
      <c r="X1245" s="38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38"/>
      <c r="AI1245" s="38"/>
      <c r="AJ1245" s="38"/>
      <c r="AK1245" s="38"/>
      <c r="AL1245" s="38"/>
      <c r="AM1245" s="38"/>
      <c r="AN1245" s="38"/>
      <c r="AO1245" s="37"/>
      <c r="AP1245" s="39">
        <f t="shared" si="577"/>
        <v>0</v>
      </c>
      <c r="AQ1245" s="1"/>
    </row>
    <row r="1246" ht="15.75" hidden="1" customHeight="1">
      <c r="A1246" s="1"/>
      <c r="B1246" s="42"/>
      <c r="C1246" s="42"/>
      <c r="D1246" s="42"/>
      <c r="E1246" s="42"/>
      <c r="F1246" s="43" t="s">
        <v>30</v>
      </c>
      <c r="G1246" s="55"/>
      <c r="H1246" s="34">
        <f t="shared" ref="H1246:AN1246" si="578">H1242+H1243-H1244-H1245</f>
        <v>11</v>
      </c>
      <c r="I1246" s="34">
        <f t="shared" si="578"/>
        <v>11</v>
      </c>
      <c r="J1246" s="34">
        <f t="shared" si="578"/>
        <v>11</v>
      </c>
      <c r="K1246" s="34">
        <f t="shared" si="578"/>
        <v>11</v>
      </c>
      <c r="L1246" s="34">
        <f t="shared" si="578"/>
        <v>11</v>
      </c>
      <c r="M1246" s="34">
        <f t="shared" si="578"/>
        <v>11</v>
      </c>
      <c r="N1246" s="34">
        <f t="shared" si="578"/>
        <v>11</v>
      </c>
      <c r="O1246" s="34">
        <f t="shared" si="578"/>
        <v>11</v>
      </c>
      <c r="P1246" s="34">
        <f t="shared" si="578"/>
        <v>11</v>
      </c>
      <c r="Q1246" s="34">
        <f t="shared" si="578"/>
        <v>11</v>
      </c>
      <c r="R1246" s="34">
        <f t="shared" si="578"/>
        <v>11</v>
      </c>
      <c r="S1246" s="34">
        <f t="shared" si="578"/>
        <v>11</v>
      </c>
      <c r="T1246" s="34">
        <f t="shared" si="578"/>
        <v>11</v>
      </c>
      <c r="U1246" s="34">
        <f t="shared" si="578"/>
        <v>11</v>
      </c>
      <c r="V1246" s="34">
        <f t="shared" si="578"/>
        <v>11</v>
      </c>
      <c r="W1246" s="34">
        <f t="shared" si="578"/>
        <v>11</v>
      </c>
      <c r="X1246" s="34">
        <f t="shared" si="578"/>
        <v>26</v>
      </c>
      <c r="Y1246" s="34">
        <f t="shared" si="578"/>
        <v>26</v>
      </c>
      <c r="Z1246" s="34">
        <f t="shared" si="578"/>
        <v>26</v>
      </c>
      <c r="AA1246" s="34">
        <f t="shared" si="578"/>
        <v>26</v>
      </c>
      <c r="AB1246" s="34">
        <f t="shared" si="578"/>
        <v>26</v>
      </c>
      <c r="AC1246" s="34">
        <f t="shared" si="578"/>
        <v>26</v>
      </c>
      <c r="AD1246" s="34">
        <f t="shared" si="578"/>
        <v>26</v>
      </c>
      <c r="AE1246" s="34">
        <f t="shared" si="578"/>
        <v>26</v>
      </c>
      <c r="AF1246" s="34">
        <f t="shared" si="578"/>
        <v>26</v>
      </c>
      <c r="AG1246" s="34">
        <f t="shared" si="578"/>
        <v>26</v>
      </c>
      <c r="AH1246" s="34">
        <f t="shared" si="578"/>
        <v>26</v>
      </c>
      <c r="AI1246" s="34">
        <f t="shared" si="578"/>
        <v>26</v>
      </c>
      <c r="AJ1246" s="34">
        <f t="shared" si="578"/>
        <v>26</v>
      </c>
      <c r="AK1246" s="34">
        <f t="shared" si="578"/>
        <v>26</v>
      </c>
      <c r="AL1246" s="34">
        <f t="shared" si="578"/>
        <v>26</v>
      </c>
      <c r="AM1246" s="34">
        <f t="shared" si="578"/>
        <v>26</v>
      </c>
      <c r="AN1246" s="34">
        <f t="shared" si="578"/>
        <v>26</v>
      </c>
      <c r="AO1246" s="34"/>
      <c r="AP1246" s="45">
        <f>AO1242</f>
        <v>26</v>
      </c>
      <c r="AQ1246" s="1"/>
    </row>
    <row r="1247" ht="15.75" hidden="1" customHeight="1">
      <c r="A1247" s="1"/>
      <c r="B1247" s="32"/>
      <c r="C1247" s="57" t="s">
        <v>419</v>
      </c>
      <c r="D1247" s="32" t="s">
        <v>427</v>
      </c>
      <c r="E1247" s="109" t="s">
        <v>423</v>
      </c>
      <c r="F1247" s="14" t="s">
        <v>23</v>
      </c>
      <c r="G1247" s="44"/>
      <c r="H1247" s="21">
        <v>4.0</v>
      </c>
      <c r="I1247" s="34">
        <f t="shared" ref="I1247:AO1247" si="579">H1251</f>
        <v>4</v>
      </c>
      <c r="J1247" s="34">
        <f t="shared" si="579"/>
        <v>4</v>
      </c>
      <c r="K1247" s="34">
        <f t="shared" si="579"/>
        <v>4</v>
      </c>
      <c r="L1247" s="34">
        <f t="shared" si="579"/>
        <v>4</v>
      </c>
      <c r="M1247" s="34">
        <f t="shared" si="579"/>
        <v>4</v>
      </c>
      <c r="N1247" s="34">
        <f t="shared" si="579"/>
        <v>4</v>
      </c>
      <c r="O1247" s="34">
        <f t="shared" si="579"/>
        <v>4</v>
      </c>
      <c r="P1247" s="34">
        <f t="shared" si="579"/>
        <v>4</v>
      </c>
      <c r="Q1247" s="34">
        <f t="shared" si="579"/>
        <v>4</v>
      </c>
      <c r="R1247" s="34">
        <f t="shared" si="579"/>
        <v>4</v>
      </c>
      <c r="S1247" s="34">
        <f t="shared" si="579"/>
        <v>4</v>
      </c>
      <c r="T1247" s="34">
        <f t="shared" si="579"/>
        <v>4</v>
      </c>
      <c r="U1247" s="34">
        <f t="shared" si="579"/>
        <v>4</v>
      </c>
      <c r="V1247" s="34">
        <f t="shared" si="579"/>
        <v>4</v>
      </c>
      <c r="W1247" s="34">
        <f t="shared" si="579"/>
        <v>4</v>
      </c>
      <c r="X1247" s="34">
        <f t="shared" si="579"/>
        <v>4</v>
      </c>
      <c r="Y1247" s="34">
        <f t="shared" si="579"/>
        <v>4</v>
      </c>
      <c r="Z1247" s="34">
        <f t="shared" si="579"/>
        <v>4</v>
      </c>
      <c r="AA1247" s="34">
        <f t="shared" si="579"/>
        <v>4</v>
      </c>
      <c r="AB1247" s="34">
        <f t="shared" si="579"/>
        <v>4</v>
      </c>
      <c r="AC1247" s="34">
        <f t="shared" si="579"/>
        <v>4</v>
      </c>
      <c r="AD1247" s="34">
        <f t="shared" si="579"/>
        <v>4</v>
      </c>
      <c r="AE1247" s="34">
        <f t="shared" si="579"/>
        <v>4</v>
      </c>
      <c r="AF1247" s="34">
        <f t="shared" si="579"/>
        <v>4</v>
      </c>
      <c r="AG1247" s="34">
        <f t="shared" si="579"/>
        <v>4</v>
      </c>
      <c r="AH1247" s="34">
        <f t="shared" si="579"/>
        <v>4</v>
      </c>
      <c r="AI1247" s="34">
        <f t="shared" si="579"/>
        <v>4</v>
      </c>
      <c r="AJ1247" s="34">
        <f t="shared" si="579"/>
        <v>4</v>
      </c>
      <c r="AK1247" s="34">
        <f t="shared" si="579"/>
        <v>4</v>
      </c>
      <c r="AL1247" s="34">
        <f t="shared" si="579"/>
        <v>4</v>
      </c>
      <c r="AM1247" s="34">
        <f t="shared" si="579"/>
        <v>4</v>
      </c>
      <c r="AN1247" s="34">
        <f t="shared" si="579"/>
        <v>4</v>
      </c>
      <c r="AO1247" s="34">
        <f t="shared" si="579"/>
        <v>4</v>
      </c>
      <c r="AP1247" s="54"/>
      <c r="AQ1247" s="1"/>
    </row>
    <row r="1248" ht="15.0" hidden="1" customHeight="1">
      <c r="A1248" s="1"/>
      <c r="B1248" s="35"/>
      <c r="C1248" s="35"/>
      <c r="D1248" s="35"/>
      <c r="E1248" s="35"/>
      <c r="F1248" s="36" t="s">
        <v>25</v>
      </c>
      <c r="G1248" s="37"/>
      <c r="H1248" s="37"/>
      <c r="I1248" s="37"/>
      <c r="J1248" s="37"/>
      <c r="K1248" s="37"/>
      <c r="L1248" s="37"/>
      <c r="M1248" s="37"/>
      <c r="N1248" s="37"/>
      <c r="O1248" s="37"/>
      <c r="P1248" s="37"/>
      <c r="Q1248" s="37"/>
      <c r="R1248" s="37"/>
      <c r="S1248" s="38"/>
      <c r="T1248" s="37"/>
      <c r="U1248" s="38"/>
      <c r="V1248" s="37"/>
      <c r="W1248" s="37"/>
      <c r="X1248" s="37"/>
      <c r="Y1248" s="37"/>
      <c r="Z1248" s="37"/>
      <c r="AA1248" s="37"/>
      <c r="AB1248" s="37"/>
      <c r="AC1248" s="37"/>
      <c r="AD1248" s="38"/>
      <c r="AE1248" s="37"/>
      <c r="AF1248" s="37"/>
      <c r="AG1248" s="37"/>
      <c r="AH1248" s="37"/>
      <c r="AI1248" s="37"/>
      <c r="AJ1248" s="37"/>
      <c r="AK1248" s="37"/>
      <c r="AL1248" s="37"/>
      <c r="AM1248" s="37"/>
      <c r="AN1248" s="37"/>
      <c r="AO1248" s="37"/>
      <c r="AP1248" s="39">
        <f t="shared" ref="AP1248:AP1250" si="580">SUM(H1248:AO1248)</f>
        <v>0</v>
      </c>
      <c r="AQ1248" s="1"/>
    </row>
    <row r="1249" ht="15.0" hidden="1" customHeight="1">
      <c r="A1249" s="1"/>
      <c r="B1249" s="35"/>
      <c r="C1249" s="35"/>
      <c r="D1249" s="35"/>
      <c r="E1249" s="35"/>
      <c r="F1249" s="40" t="s">
        <v>94</v>
      </c>
      <c r="G1249" s="37"/>
      <c r="H1249" s="37"/>
      <c r="I1249" s="37"/>
      <c r="J1249" s="37"/>
      <c r="K1249" s="37"/>
      <c r="L1249" s="37"/>
      <c r="M1249" s="37"/>
      <c r="N1249" s="37"/>
      <c r="O1249" s="37"/>
      <c r="P1249" s="37"/>
      <c r="Q1249" s="37"/>
      <c r="R1249" s="37"/>
      <c r="S1249" s="38"/>
      <c r="T1249" s="37"/>
      <c r="U1249" s="38"/>
      <c r="V1249" s="37"/>
      <c r="W1249" s="37"/>
      <c r="X1249" s="37"/>
      <c r="Y1249" s="37"/>
      <c r="Z1249" s="37"/>
      <c r="AA1249" s="37"/>
      <c r="AB1249" s="37"/>
      <c r="AC1249" s="37"/>
      <c r="AD1249" s="38"/>
      <c r="AE1249" s="37"/>
      <c r="AF1249" s="37"/>
      <c r="AG1249" s="37"/>
      <c r="AH1249" s="37"/>
      <c r="AI1249" s="37"/>
      <c r="AJ1249" s="37"/>
      <c r="AK1249" s="37"/>
      <c r="AL1249" s="37"/>
      <c r="AM1249" s="37"/>
      <c r="AN1249" s="37"/>
      <c r="AO1249" s="37"/>
      <c r="AP1249" s="39">
        <f t="shared" si="580"/>
        <v>0</v>
      </c>
      <c r="AQ1249" s="1"/>
    </row>
    <row r="1250" ht="15.0" hidden="1" customHeight="1">
      <c r="A1250" s="1"/>
      <c r="B1250" s="35"/>
      <c r="C1250" s="35"/>
      <c r="D1250" s="35"/>
      <c r="E1250" s="35"/>
      <c r="F1250" s="14" t="s">
        <v>43</v>
      </c>
      <c r="G1250" s="37"/>
      <c r="H1250" s="38"/>
      <c r="I1250" s="38"/>
      <c r="J1250" s="38"/>
      <c r="K1250" s="38"/>
      <c r="L1250" s="38"/>
      <c r="M1250" s="38"/>
      <c r="N1250" s="38"/>
      <c r="O1250" s="38"/>
      <c r="P1250" s="38"/>
      <c r="Q1250" s="38"/>
      <c r="R1250" s="38"/>
      <c r="S1250" s="38"/>
      <c r="T1250" s="38"/>
      <c r="U1250" s="38"/>
      <c r="V1250" s="38"/>
      <c r="W1250" s="38"/>
      <c r="X1250" s="38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38"/>
      <c r="AI1250" s="38"/>
      <c r="AJ1250" s="38"/>
      <c r="AK1250" s="38"/>
      <c r="AL1250" s="38"/>
      <c r="AM1250" s="38"/>
      <c r="AN1250" s="38"/>
      <c r="AO1250" s="37"/>
      <c r="AP1250" s="39">
        <f t="shared" si="580"/>
        <v>0</v>
      </c>
      <c r="AQ1250" s="1"/>
    </row>
    <row r="1251" ht="15.75" hidden="1" customHeight="1">
      <c r="A1251" s="1"/>
      <c r="B1251" s="42"/>
      <c r="C1251" s="42"/>
      <c r="D1251" s="42"/>
      <c r="E1251" s="42"/>
      <c r="F1251" s="43" t="s">
        <v>30</v>
      </c>
      <c r="G1251" s="55"/>
      <c r="H1251" s="34">
        <f t="shared" ref="H1251:AN1251" si="581">H1247+H1248-H1249-H1250</f>
        <v>4</v>
      </c>
      <c r="I1251" s="34">
        <f t="shared" si="581"/>
        <v>4</v>
      </c>
      <c r="J1251" s="34">
        <f t="shared" si="581"/>
        <v>4</v>
      </c>
      <c r="K1251" s="34">
        <f t="shared" si="581"/>
        <v>4</v>
      </c>
      <c r="L1251" s="34">
        <f t="shared" si="581"/>
        <v>4</v>
      </c>
      <c r="M1251" s="34">
        <f t="shared" si="581"/>
        <v>4</v>
      </c>
      <c r="N1251" s="34">
        <f t="shared" si="581"/>
        <v>4</v>
      </c>
      <c r="O1251" s="34">
        <f t="shared" si="581"/>
        <v>4</v>
      </c>
      <c r="P1251" s="34">
        <f t="shared" si="581"/>
        <v>4</v>
      </c>
      <c r="Q1251" s="34">
        <f t="shared" si="581"/>
        <v>4</v>
      </c>
      <c r="R1251" s="34">
        <f t="shared" si="581"/>
        <v>4</v>
      </c>
      <c r="S1251" s="34">
        <f t="shared" si="581"/>
        <v>4</v>
      </c>
      <c r="T1251" s="34">
        <f t="shared" si="581"/>
        <v>4</v>
      </c>
      <c r="U1251" s="34">
        <f t="shared" si="581"/>
        <v>4</v>
      </c>
      <c r="V1251" s="34">
        <f t="shared" si="581"/>
        <v>4</v>
      </c>
      <c r="W1251" s="34">
        <f t="shared" si="581"/>
        <v>4</v>
      </c>
      <c r="X1251" s="34">
        <f t="shared" si="581"/>
        <v>4</v>
      </c>
      <c r="Y1251" s="34">
        <f t="shared" si="581"/>
        <v>4</v>
      </c>
      <c r="Z1251" s="34">
        <f t="shared" si="581"/>
        <v>4</v>
      </c>
      <c r="AA1251" s="34">
        <f t="shared" si="581"/>
        <v>4</v>
      </c>
      <c r="AB1251" s="34">
        <f t="shared" si="581"/>
        <v>4</v>
      </c>
      <c r="AC1251" s="34">
        <f t="shared" si="581"/>
        <v>4</v>
      </c>
      <c r="AD1251" s="34">
        <f t="shared" si="581"/>
        <v>4</v>
      </c>
      <c r="AE1251" s="34">
        <f t="shared" si="581"/>
        <v>4</v>
      </c>
      <c r="AF1251" s="34">
        <f t="shared" si="581"/>
        <v>4</v>
      </c>
      <c r="AG1251" s="34">
        <f t="shared" si="581"/>
        <v>4</v>
      </c>
      <c r="AH1251" s="34">
        <f t="shared" si="581"/>
        <v>4</v>
      </c>
      <c r="AI1251" s="34">
        <f t="shared" si="581"/>
        <v>4</v>
      </c>
      <c r="AJ1251" s="34">
        <f t="shared" si="581"/>
        <v>4</v>
      </c>
      <c r="AK1251" s="34">
        <f t="shared" si="581"/>
        <v>4</v>
      </c>
      <c r="AL1251" s="34">
        <f t="shared" si="581"/>
        <v>4</v>
      </c>
      <c r="AM1251" s="34">
        <f t="shared" si="581"/>
        <v>4</v>
      </c>
      <c r="AN1251" s="34">
        <f t="shared" si="581"/>
        <v>4</v>
      </c>
      <c r="AO1251" s="34"/>
      <c r="AP1251" s="45">
        <f>AO1247</f>
        <v>4</v>
      </c>
      <c r="AQ1251" s="1"/>
    </row>
    <row r="1252" ht="15.75" hidden="1" customHeight="1">
      <c r="A1252" s="1"/>
      <c r="B1252" s="32"/>
      <c r="C1252" s="57" t="s">
        <v>421</v>
      </c>
      <c r="D1252" s="32" t="s">
        <v>428</v>
      </c>
      <c r="E1252" s="109" t="s">
        <v>423</v>
      </c>
      <c r="F1252" s="14" t="s">
        <v>23</v>
      </c>
      <c r="G1252" s="44"/>
      <c r="H1252" s="21">
        <v>19.0</v>
      </c>
      <c r="I1252" s="34">
        <f t="shared" ref="I1252:AO1252" si="582">H1256</f>
        <v>19</v>
      </c>
      <c r="J1252" s="34">
        <f t="shared" si="582"/>
        <v>19</v>
      </c>
      <c r="K1252" s="34">
        <f t="shared" si="582"/>
        <v>19</v>
      </c>
      <c r="L1252" s="34">
        <f t="shared" si="582"/>
        <v>19</v>
      </c>
      <c r="M1252" s="34">
        <f t="shared" si="582"/>
        <v>19</v>
      </c>
      <c r="N1252" s="34">
        <f t="shared" si="582"/>
        <v>19</v>
      </c>
      <c r="O1252" s="34">
        <f t="shared" si="582"/>
        <v>19</v>
      </c>
      <c r="P1252" s="34">
        <f t="shared" si="582"/>
        <v>19</v>
      </c>
      <c r="Q1252" s="34">
        <f t="shared" si="582"/>
        <v>19</v>
      </c>
      <c r="R1252" s="34">
        <f t="shared" si="582"/>
        <v>19</v>
      </c>
      <c r="S1252" s="34">
        <f t="shared" si="582"/>
        <v>19</v>
      </c>
      <c r="T1252" s="34">
        <f t="shared" si="582"/>
        <v>19</v>
      </c>
      <c r="U1252" s="34">
        <f t="shared" si="582"/>
        <v>19</v>
      </c>
      <c r="V1252" s="34">
        <f t="shared" si="582"/>
        <v>19</v>
      </c>
      <c r="W1252" s="34">
        <f t="shared" si="582"/>
        <v>19</v>
      </c>
      <c r="X1252" s="34">
        <f t="shared" si="582"/>
        <v>19</v>
      </c>
      <c r="Y1252" s="34">
        <f t="shared" si="582"/>
        <v>19</v>
      </c>
      <c r="Z1252" s="34">
        <f t="shared" si="582"/>
        <v>19</v>
      </c>
      <c r="AA1252" s="34">
        <f t="shared" si="582"/>
        <v>19</v>
      </c>
      <c r="AB1252" s="34">
        <f t="shared" si="582"/>
        <v>19</v>
      </c>
      <c r="AC1252" s="34">
        <f t="shared" si="582"/>
        <v>19</v>
      </c>
      <c r="AD1252" s="34">
        <f t="shared" si="582"/>
        <v>19</v>
      </c>
      <c r="AE1252" s="34">
        <f t="shared" si="582"/>
        <v>19</v>
      </c>
      <c r="AF1252" s="34">
        <f t="shared" si="582"/>
        <v>19</v>
      </c>
      <c r="AG1252" s="34">
        <f t="shared" si="582"/>
        <v>19</v>
      </c>
      <c r="AH1252" s="34">
        <f t="shared" si="582"/>
        <v>19</v>
      </c>
      <c r="AI1252" s="34">
        <f t="shared" si="582"/>
        <v>19</v>
      </c>
      <c r="AJ1252" s="34">
        <f t="shared" si="582"/>
        <v>19</v>
      </c>
      <c r="AK1252" s="34">
        <f t="shared" si="582"/>
        <v>19</v>
      </c>
      <c r="AL1252" s="34">
        <f t="shared" si="582"/>
        <v>19</v>
      </c>
      <c r="AM1252" s="34">
        <f t="shared" si="582"/>
        <v>19</v>
      </c>
      <c r="AN1252" s="34">
        <f t="shared" si="582"/>
        <v>19</v>
      </c>
      <c r="AO1252" s="34">
        <f t="shared" si="582"/>
        <v>19</v>
      </c>
      <c r="AP1252" s="54"/>
      <c r="AQ1252" s="1"/>
    </row>
    <row r="1253" ht="15.0" hidden="1" customHeight="1">
      <c r="A1253" s="1"/>
      <c r="B1253" s="35"/>
      <c r="C1253" s="35"/>
      <c r="D1253" s="35"/>
      <c r="E1253" s="35"/>
      <c r="F1253" s="36" t="s">
        <v>25</v>
      </c>
      <c r="G1253" s="37"/>
      <c r="H1253" s="37"/>
      <c r="I1253" s="37"/>
      <c r="J1253" s="37"/>
      <c r="K1253" s="37"/>
      <c r="L1253" s="37"/>
      <c r="M1253" s="37"/>
      <c r="N1253" s="37"/>
      <c r="O1253" s="37"/>
      <c r="P1253" s="37"/>
      <c r="Q1253" s="37"/>
      <c r="R1253" s="37"/>
      <c r="S1253" s="38"/>
      <c r="T1253" s="37"/>
      <c r="U1253" s="38"/>
      <c r="V1253" s="37"/>
      <c r="W1253" s="37"/>
      <c r="X1253" s="37"/>
      <c r="Y1253" s="37"/>
      <c r="Z1253" s="37"/>
      <c r="AA1253" s="37"/>
      <c r="AB1253" s="37"/>
      <c r="AC1253" s="37"/>
      <c r="AD1253" s="38"/>
      <c r="AE1253" s="37"/>
      <c r="AF1253" s="37"/>
      <c r="AG1253" s="37"/>
      <c r="AH1253" s="37"/>
      <c r="AI1253" s="37"/>
      <c r="AJ1253" s="37"/>
      <c r="AK1253" s="37"/>
      <c r="AL1253" s="37"/>
      <c r="AM1253" s="37"/>
      <c r="AN1253" s="37"/>
      <c r="AO1253" s="37"/>
      <c r="AP1253" s="39">
        <f t="shared" ref="AP1253:AP1255" si="583">SUM(H1253:AO1253)</f>
        <v>0</v>
      </c>
      <c r="AQ1253" s="1"/>
    </row>
    <row r="1254" ht="15.0" hidden="1" customHeight="1">
      <c r="A1254" s="1"/>
      <c r="B1254" s="35"/>
      <c r="C1254" s="35"/>
      <c r="D1254" s="35"/>
      <c r="E1254" s="35"/>
      <c r="F1254" s="40" t="s">
        <v>94</v>
      </c>
      <c r="G1254" s="37"/>
      <c r="H1254" s="37"/>
      <c r="I1254" s="37"/>
      <c r="J1254" s="37"/>
      <c r="K1254" s="37"/>
      <c r="L1254" s="37"/>
      <c r="M1254" s="37"/>
      <c r="N1254" s="37"/>
      <c r="O1254" s="37"/>
      <c r="P1254" s="37"/>
      <c r="Q1254" s="37"/>
      <c r="R1254" s="37"/>
      <c r="S1254" s="38"/>
      <c r="T1254" s="37"/>
      <c r="U1254" s="38"/>
      <c r="V1254" s="37"/>
      <c r="W1254" s="37"/>
      <c r="X1254" s="37"/>
      <c r="Y1254" s="37"/>
      <c r="Z1254" s="37"/>
      <c r="AA1254" s="37"/>
      <c r="AB1254" s="37"/>
      <c r="AC1254" s="37"/>
      <c r="AD1254" s="38"/>
      <c r="AE1254" s="37"/>
      <c r="AF1254" s="37"/>
      <c r="AG1254" s="37"/>
      <c r="AH1254" s="37"/>
      <c r="AI1254" s="37"/>
      <c r="AJ1254" s="37"/>
      <c r="AK1254" s="37"/>
      <c r="AL1254" s="37"/>
      <c r="AM1254" s="37"/>
      <c r="AN1254" s="37"/>
      <c r="AO1254" s="37"/>
      <c r="AP1254" s="39">
        <f t="shared" si="583"/>
        <v>0</v>
      </c>
      <c r="AQ1254" s="1"/>
    </row>
    <row r="1255" ht="15.0" hidden="1" customHeight="1">
      <c r="A1255" s="1"/>
      <c r="B1255" s="35"/>
      <c r="C1255" s="35"/>
      <c r="D1255" s="35"/>
      <c r="E1255" s="35"/>
      <c r="F1255" s="14" t="s">
        <v>43</v>
      </c>
      <c r="G1255" s="37"/>
      <c r="H1255" s="38"/>
      <c r="I1255" s="38"/>
      <c r="J1255" s="38"/>
      <c r="K1255" s="38"/>
      <c r="L1255" s="38"/>
      <c r="M1255" s="38"/>
      <c r="N1255" s="38"/>
      <c r="O1255" s="38"/>
      <c r="P1255" s="38"/>
      <c r="Q1255" s="38"/>
      <c r="R1255" s="38"/>
      <c r="S1255" s="38"/>
      <c r="T1255" s="38"/>
      <c r="U1255" s="38"/>
      <c r="V1255" s="38"/>
      <c r="W1255" s="38"/>
      <c r="X1255" s="38"/>
      <c r="Y1255" s="38"/>
      <c r="Z1255" s="38"/>
      <c r="AA1255" s="38"/>
      <c r="AB1255" s="38"/>
      <c r="AC1255" s="38"/>
      <c r="AD1255" s="38"/>
      <c r="AE1255" s="38"/>
      <c r="AF1255" s="38"/>
      <c r="AG1255" s="38"/>
      <c r="AH1255" s="38"/>
      <c r="AI1255" s="38"/>
      <c r="AJ1255" s="38"/>
      <c r="AK1255" s="38"/>
      <c r="AL1255" s="38"/>
      <c r="AM1255" s="38"/>
      <c r="AN1255" s="38"/>
      <c r="AO1255" s="37"/>
      <c r="AP1255" s="39">
        <f t="shared" si="583"/>
        <v>0</v>
      </c>
      <c r="AQ1255" s="1"/>
    </row>
    <row r="1256" ht="15.75" hidden="1" customHeight="1">
      <c r="A1256" s="1"/>
      <c r="B1256" s="42"/>
      <c r="C1256" s="42"/>
      <c r="D1256" s="42"/>
      <c r="E1256" s="42"/>
      <c r="F1256" s="43" t="s">
        <v>30</v>
      </c>
      <c r="G1256" s="55"/>
      <c r="H1256" s="34">
        <f t="shared" ref="H1256:AN1256" si="584">H1252+H1253-H1254-H1255</f>
        <v>19</v>
      </c>
      <c r="I1256" s="34">
        <f t="shared" si="584"/>
        <v>19</v>
      </c>
      <c r="J1256" s="34">
        <f t="shared" si="584"/>
        <v>19</v>
      </c>
      <c r="K1256" s="34">
        <f t="shared" si="584"/>
        <v>19</v>
      </c>
      <c r="L1256" s="34">
        <f t="shared" si="584"/>
        <v>19</v>
      </c>
      <c r="M1256" s="34">
        <f t="shared" si="584"/>
        <v>19</v>
      </c>
      <c r="N1256" s="34">
        <f t="shared" si="584"/>
        <v>19</v>
      </c>
      <c r="O1256" s="34">
        <f t="shared" si="584"/>
        <v>19</v>
      </c>
      <c r="P1256" s="34">
        <f t="shared" si="584"/>
        <v>19</v>
      </c>
      <c r="Q1256" s="34">
        <f t="shared" si="584"/>
        <v>19</v>
      </c>
      <c r="R1256" s="34">
        <f t="shared" si="584"/>
        <v>19</v>
      </c>
      <c r="S1256" s="34">
        <f t="shared" si="584"/>
        <v>19</v>
      </c>
      <c r="T1256" s="34">
        <f t="shared" si="584"/>
        <v>19</v>
      </c>
      <c r="U1256" s="34">
        <f t="shared" si="584"/>
        <v>19</v>
      </c>
      <c r="V1256" s="34">
        <f t="shared" si="584"/>
        <v>19</v>
      </c>
      <c r="W1256" s="34">
        <f t="shared" si="584"/>
        <v>19</v>
      </c>
      <c r="X1256" s="34">
        <f t="shared" si="584"/>
        <v>19</v>
      </c>
      <c r="Y1256" s="34">
        <f t="shared" si="584"/>
        <v>19</v>
      </c>
      <c r="Z1256" s="34">
        <f t="shared" si="584"/>
        <v>19</v>
      </c>
      <c r="AA1256" s="34">
        <f t="shared" si="584"/>
        <v>19</v>
      </c>
      <c r="AB1256" s="34">
        <f t="shared" si="584"/>
        <v>19</v>
      </c>
      <c r="AC1256" s="34">
        <f t="shared" si="584"/>
        <v>19</v>
      </c>
      <c r="AD1256" s="34">
        <f t="shared" si="584"/>
        <v>19</v>
      </c>
      <c r="AE1256" s="34">
        <f t="shared" si="584"/>
        <v>19</v>
      </c>
      <c r="AF1256" s="34">
        <f t="shared" si="584"/>
        <v>19</v>
      </c>
      <c r="AG1256" s="34">
        <f t="shared" si="584"/>
        <v>19</v>
      </c>
      <c r="AH1256" s="34">
        <f t="shared" si="584"/>
        <v>19</v>
      </c>
      <c r="AI1256" s="34">
        <f t="shared" si="584"/>
        <v>19</v>
      </c>
      <c r="AJ1256" s="34">
        <f t="shared" si="584"/>
        <v>19</v>
      </c>
      <c r="AK1256" s="34">
        <f t="shared" si="584"/>
        <v>19</v>
      </c>
      <c r="AL1256" s="34">
        <f t="shared" si="584"/>
        <v>19</v>
      </c>
      <c r="AM1256" s="34">
        <f t="shared" si="584"/>
        <v>19</v>
      </c>
      <c r="AN1256" s="34">
        <f t="shared" si="584"/>
        <v>19</v>
      </c>
      <c r="AO1256" s="34"/>
      <c r="AP1256" s="45">
        <f>AO1252</f>
        <v>19</v>
      </c>
      <c r="AQ1256" s="1"/>
    </row>
    <row r="1257" ht="15.75" hidden="1" customHeight="1">
      <c r="A1257" s="1"/>
      <c r="B1257" s="32"/>
      <c r="C1257" s="57" t="s">
        <v>419</v>
      </c>
      <c r="D1257" s="32" t="s">
        <v>429</v>
      </c>
      <c r="E1257" s="109" t="s">
        <v>430</v>
      </c>
      <c r="F1257" s="14" t="s">
        <v>23</v>
      </c>
      <c r="G1257" s="44"/>
      <c r="H1257" s="21">
        <v>44.0</v>
      </c>
      <c r="I1257" s="34">
        <f t="shared" ref="I1257:AO1257" si="585">H1261</f>
        <v>44</v>
      </c>
      <c r="J1257" s="34">
        <f t="shared" si="585"/>
        <v>44</v>
      </c>
      <c r="K1257" s="34">
        <f t="shared" si="585"/>
        <v>44</v>
      </c>
      <c r="L1257" s="34">
        <f t="shared" si="585"/>
        <v>44</v>
      </c>
      <c r="M1257" s="34">
        <f t="shared" si="585"/>
        <v>44</v>
      </c>
      <c r="N1257" s="34">
        <f t="shared" si="585"/>
        <v>44</v>
      </c>
      <c r="O1257" s="34">
        <f t="shared" si="585"/>
        <v>44</v>
      </c>
      <c r="P1257" s="34">
        <f t="shared" si="585"/>
        <v>44</v>
      </c>
      <c r="Q1257" s="34">
        <f t="shared" si="585"/>
        <v>44</v>
      </c>
      <c r="R1257" s="34">
        <f t="shared" si="585"/>
        <v>44</v>
      </c>
      <c r="S1257" s="34">
        <f t="shared" si="585"/>
        <v>44</v>
      </c>
      <c r="T1257" s="34">
        <f t="shared" si="585"/>
        <v>44</v>
      </c>
      <c r="U1257" s="34">
        <f t="shared" si="585"/>
        <v>44</v>
      </c>
      <c r="V1257" s="34">
        <f t="shared" si="585"/>
        <v>44</v>
      </c>
      <c r="W1257" s="34">
        <f t="shared" si="585"/>
        <v>44</v>
      </c>
      <c r="X1257" s="34">
        <f t="shared" si="585"/>
        <v>44</v>
      </c>
      <c r="Y1257" s="34">
        <f t="shared" si="585"/>
        <v>44</v>
      </c>
      <c r="Z1257" s="34">
        <f t="shared" si="585"/>
        <v>44</v>
      </c>
      <c r="AA1257" s="34">
        <f t="shared" si="585"/>
        <v>44</v>
      </c>
      <c r="AB1257" s="34">
        <f t="shared" si="585"/>
        <v>44</v>
      </c>
      <c r="AC1257" s="34">
        <f t="shared" si="585"/>
        <v>44</v>
      </c>
      <c r="AD1257" s="34">
        <f t="shared" si="585"/>
        <v>44</v>
      </c>
      <c r="AE1257" s="34">
        <f t="shared" si="585"/>
        <v>44</v>
      </c>
      <c r="AF1257" s="34">
        <f t="shared" si="585"/>
        <v>44</v>
      </c>
      <c r="AG1257" s="34">
        <f t="shared" si="585"/>
        <v>44</v>
      </c>
      <c r="AH1257" s="34">
        <f t="shared" si="585"/>
        <v>44</v>
      </c>
      <c r="AI1257" s="34">
        <f t="shared" si="585"/>
        <v>44</v>
      </c>
      <c r="AJ1257" s="34">
        <f t="shared" si="585"/>
        <v>44</v>
      </c>
      <c r="AK1257" s="34">
        <f t="shared" si="585"/>
        <v>44</v>
      </c>
      <c r="AL1257" s="34">
        <f t="shared" si="585"/>
        <v>44</v>
      </c>
      <c r="AM1257" s="34">
        <f t="shared" si="585"/>
        <v>44</v>
      </c>
      <c r="AN1257" s="34">
        <f t="shared" si="585"/>
        <v>44</v>
      </c>
      <c r="AO1257" s="34">
        <f t="shared" si="585"/>
        <v>44</v>
      </c>
      <c r="AP1257" s="54"/>
      <c r="AQ1257" s="1"/>
    </row>
    <row r="1258" ht="15.0" hidden="1" customHeight="1">
      <c r="A1258" s="1"/>
      <c r="B1258" s="35"/>
      <c r="C1258" s="35"/>
      <c r="D1258" s="35"/>
      <c r="E1258" s="35"/>
      <c r="F1258" s="36" t="s">
        <v>25</v>
      </c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  <c r="S1258" s="38"/>
      <c r="T1258" s="37"/>
      <c r="U1258" s="38"/>
      <c r="V1258" s="37"/>
      <c r="W1258" s="37"/>
      <c r="X1258" s="37"/>
      <c r="Y1258" s="37"/>
      <c r="Z1258" s="37"/>
      <c r="AA1258" s="37"/>
      <c r="AB1258" s="37"/>
      <c r="AC1258" s="37"/>
      <c r="AD1258" s="38"/>
      <c r="AE1258" s="37"/>
      <c r="AF1258" s="37"/>
      <c r="AG1258" s="37"/>
      <c r="AH1258" s="37"/>
      <c r="AI1258" s="37"/>
      <c r="AJ1258" s="37"/>
      <c r="AK1258" s="37"/>
      <c r="AL1258" s="37"/>
      <c r="AM1258" s="37"/>
      <c r="AN1258" s="37"/>
      <c r="AO1258" s="37"/>
      <c r="AP1258" s="39">
        <f t="shared" ref="AP1258:AP1260" si="586">SUM(H1258:AO1258)</f>
        <v>0</v>
      </c>
      <c r="AQ1258" s="1"/>
    </row>
    <row r="1259" ht="15.0" hidden="1" customHeight="1">
      <c r="A1259" s="1"/>
      <c r="B1259" s="35"/>
      <c r="C1259" s="35"/>
      <c r="D1259" s="35"/>
      <c r="E1259" s="35"/>
      <c r="F1259" s="40" t="s">
        <v>94</v>
      </c>
      <c r="G1259" s="37"/>
      <c r="H1259" s="37"/>
      <c r="I1259" s="37"/>
      <c r="J1259" s="37"/>
      <c r="K1259" s="37"/>
      <c r="L1259" s="37"/>
      <c r="M1259" s="37"/>
      <c r="N1259" s="37"/>
      <c r="O1259" s="37"/>
      <c r="P1259" s="37"/>
      <c r="Q1259" s="37"/>
      <c r="R1259" s="37"/>
      <c r="S1259" s="38"/>
      <c r="T1259" s="37"/>
      <c r="U1259" s="38"/>
      <c r="V1259" s="37"/>
      <c r="W1259" s="37"/>
      <c r="X1259" s="37"/>
      <c r="Y1259" s="37"/>
      <c r="Z1259" s="37"/>
      <c r="AA1259" s="37"/>
      <c r="AB1259" s="37"/>
      <c r="AC1259" s="37"/>
      <c r="AD1259" s="38"/>
      <c r="AE1259" s="37"/>
      <c r="AF1259" s="37"/>
      <c r="AG1259" s="37"/>
      <c r="AH1259" s="37"/>
      <c r="AI1259" s="37"/>
      <c r="AJ1259" s="37"/>
      <c r="AK1259" s="37"/>
      <c r="AL1259" s="37"/>
      <c r="AM1259" s="37"/>
      <c r="AN1259" s="37"/>
      <c r="AO1259" s="37"/>
      <c r="AP1259" s="39">
        <f t="shared" si="586"/>
        <v>0</v>
      </c>
      <c r="AQ1259" s="1"/>
    </row>
    <row r="1260" ht="15.0" hidden="1" customHeight="1">
      <c r="A1260" s="1"/>
      <c r="B1260" s="35"/>
      <c r="C1260" s="35"/>
      <c r="D1260" s="35"/>
      <c r="E1260" s="35"/>
      <c r="F1260" s="14" t="s">
        <v>43</v>
      </c>
      <c r="G1260" s="37"/>
      <c r="H1260" s="38"/>
      <c r="I1260" s="38"/>
      <c r="J1260" s="38"/>
      <c r="K1260" s="38"/>
      <c r="L1260" s="38"/>
      <c r="M1260" s="38"/>
      <c r="N1260" s="38"/>
      <c r="O1260" s="38"/>
      <c r="P1260" s="38"/>
      <c r="Q1260" s="38"/>
      <c r="R1260" s="38"/>
      <c r="S1260" s="38"/>
      <c r="T1260" s="38"/>
      <c r="U1260" s="38"/>
      <c r="V1260" s="38"/>
      <c r="W1260" s="38"/>
      <c r="X1260" s="38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38"/>
      <c r="AI1260" s="38"/>
      <c r="AJ1260" s="38"/>
      <c r="AK1260" s="38"/>
      <c r="AL1260" s="38"/>
      <c r="AM1260" s="38"/>
      <c r="AN1260" s="38"/>
      <c r="AO1260" s="37"/>
      <c r="AP1260" s="39">
        <f t="shared" si="586"/>
        <v>0</v>
      </c>
      <c r="AQ1260" s="1"/>
    </row>
    <row r="1261" ht="15.75" hidden="1" customHeight="1">
      <c r="A1261" s="1"/>
      <c r="B1261" s="42"/>
      <c r="C1261" s="42"/>
      <c r="D1261" s="42"/>
      <c r="E1261" s="42"/>
      <c r="F1261" s="43" t="s">
        <v>30</v>
      </c>
      <c r="G1261" s="55"/>
      <c r="H1261" s="34">
        <f t="shared" ref="H1261:AN1261" si="587">H1257+H1258-H1259-H1260</f>
        <v>44</v>
      </c>
      <c r="I1261" s="34">
        <f t="shared" si="587"/>
        <v>44</v>
      </c>
      <c r="J1261" s="34">
        <f t="shared" si="587"/>
        <v>44</v>
      </c>
      <c r="K1261" s="34">
        <f t="shared" si="587"/>
        <v>44</v>
      </c>
      <c r="L1261" s="34">
        <f t="shared" si="587"/>
        <v>44</v>
      </c>
      <c r="M1261" s="34">
        <f t="shared" si="587"/>
        <v>44</v>
      </c>
      <c r="N1261" s="34">
        <f t="shared" si="587"/>
        <v>44</v>
      </c>
      <c r="O1261" s="34">
        <f t="shared" si="587"/>
        <v>44</v>
      </c>
      <c r="P1261" s="34">
        <f t="shared" si="587"/>
        <v>44</v>
      </c>
      <c r="Q1261" s="34">
        <f t="shared" si="587"/>
        <v>44</v>
      </c>
      <c r="R1261" s="34">
        <f t="shared" si="587"/>
        <v>44</v>
      </c>
      <c r="S1261" s="34">
        <f t="shared" si="587"/>
        <v>44</v>
      </c>
      <c r="T1261" s="34">
        <f t="shared" si="587"/>
        <v>44</v>
      </c>
      <c r="U1261" s="34">
        <f t="shared" si="587"/>
        <v>44</v>
      </c>
      <c r="V1261" s="34">
        <f t="shared" si="587"/>
        <v>44</v>
      </c>
      <c r="W1261" s="34">
        <f t="shared" si="587"/>
        <v>44</v>
      </c>
      <c r="X1261" s="34">
        <f t="shared" si="587"/>
        <v>44</v>
      </c>
      <c r="Y1261" s="34">
        <f t="shared" si="587"/>
        <v>44</v>
      </c>
      <c r="Z1261" s="34">
        <f t="shared" si="587"/>
        <v>44</v>
      </c>
      <c r="AA1261" s="34">
        <f t="shared" si="587"/>
        <v>44</v>
      </c>
      <c r="AB1261" s="34">
        <f t="shared" si="587"/>
        <v>44</v>
      </c>
      <c r="AC1261" s="34">
        <f t="shared" si="587"/>
        <v>44</v>
      </c>
      <c r="AD1261" s="34">
        <f t="shared" si="587"/>
        <v>44</v>
      </c>
      <c r="AE1261" s="34">
        <f t="shared" si="587"/>
        <v>44</v>
      </c>
      <c r="AF1261" s="34">
        <f t="shared" si="587"/>
        <v>44</v>
      </c>
      <c r="AG1261" s="34">
        <f t="shared" si="587"/>
        <v>44</v>
      </c>
      <c r="AH1261" s="34">
        <f t="shared" si="587"/>
        <v>44</v>
      </c>
      <c r="AI1261" s="34">
        <f t="shared" si="587"/>
        <v>44</v>
      </c>
      <c r="AJ1261" s="34">
        <f t="shared" si="587"/>
        <v>44</v>
      </c>
      <c r="AK1261" s="34">
        <f t="shared" si="587"/>
        <v>44</v>
      </c>
      <c r="AL1261" s="34">
        <f t="shared" si="587"/>
        <v>44</v>
      </c>
      <c r="AM1261" s="34">
        <f t="shared" si="587"/>
        <v>44</v>
      </c>
      <c r="AN1261" s="34">
        <f t="shared" si="587"/>
        <v>44</v>
      </c>
      <c r="AO1261" s="34"/>
      <c r="AP1261" s="45">
        <f>AO1257</f>
        <v>44</v>
      </c>
      <c r="AQ1261" s="1"/>
    </row>
    <row r="1262" ht="15.75" hidden="1" customHeight="1">
      <c r="A1262" s="1"/>
      <c r="B1262" s="32"/>
      <c r="C1262" s="57" t="s">
        <v>419</v>
      </c>
      <c r="D1262" s="32" t="s">
        <v>420</v>
      </c>
      <c r="E1262" s="109" t="s">
        <v>423</v>
      </c>
      <c r="F1262" s="14" t="s">
        <v>23</v>
      </c>
      <c r="G1262" s="44"/>
      <c r="H1262" s="21">
        <v>132.0</v>
      </c>
      <c r="I1262" s="34">
        <f t="shared" ref="I1262:AO1262" si="588">H1266</f>
        <v>132</v>
      </c>
      <c r="J1262" s="34">
        <f t="shared" si="588"/>
        <v>132</v>
      </c>
      <c r="K1262" s="34">
        <f t="shared" si="588"/>
        <v>132</v>
      </c>
      <c r="L1262" s="34">
        <f t="shared" si="588"/>
        <v>132</v>
      </c>
      <c r="M1262" s="34">
        <f t="shared" si="588"/>
        <v>132</v>
      </c>
      <c r="N1262" s="34">
        <f t="shared" si="588"/>
        <v>132</v>
      </c>
      <c r="O1262" s="34">
        <f t="shared" si="588"/>
        <v>132</v>
      </c>
      <c r="P1262" s="34">
        <f t="shared" si="588"/>
        <v>132</v>
      </c>
      <c r="Q1262" s="34">
        <f t="shared" si="588"/>
        <v>132</v>
      </c>
      <c r="R1262" s="34">
        <f t="shared" si="588"/>
        <v>132</v>
      </c>
      <c r="S1262" s="34">
        <f t="shared" si="588"/>
        <v>132</v>
      </c>
      <c r="T1262" s="34">
        <f t="shared" si="588"/>
        <v>132</v>
      </c>
      <c r="U1262" s="34">
        <f t="shared" si="588"/>
        <v>132</v>
      </c>
      <c r="V1262" s="34">
        <f t="shared" si="588"/>
        <v>132</v>
      </c>
      <c r="W1262" s="34">
        <f t="shared" si="588"/>
        <v>132</v>
      </c>
      <c r="X1262" s="34">
        <f t="shared" si="588"/>
        <v>132</v>
      </c>
      <c r="Y1262" s="34">
        <f t="shared" si="588"/>
        <v>132</v>
      </c>
      <c r="Z1262" s="34">
        <f t="shared" si="588"/>
        <v>132</v>
      </c>
      <c r="AA1262" s="34">
        <f t="shared" si="588"/>
        <v>132</v>
      </c>
      <c r="AB1262" s="34">
        <f t="shared" si="588"/>
        <v>132</v>
      </c>
      <c r="AC1262" s="34">
        <f t="shared" si="588"/>
        <v>132</v>
      </c>
      <c r="AD1262" s="34">
        <f t="shared" si="588"/>
        <v>132</v>
      </c>
      <c r="AE1262" s="34">
        <f t="shared" si="588"/>
        <v>132</v>
      </c>
      <c r="AF1262" s="34">
        <f t="shared" si="588"/>
        <v>132</v>
      </c>
      <c r="AG1262" s="34">
        <f t="shared" si="588"/>
        <v>132</v>
      </c>
      <c r="AH1262" s="34">
        <f t="shared" si="588"/>
        <v>132</v>
      </c>
      <c r="AI1262" s="34">
        <f t="shared" si="588"/>
        <v>132</v>
      </c>
      <c r="AJ1262" s="34">
        <f t="shared" si="588"/>
        <v>132</v>
      </c>
      <c r="AK1262" s="34">
        <f t="shared" si="588"/>
        <v>132</v>
      </c>
      <c r="AL1262" s="34">
        <f t="shared" si="588"/>
        <v>132</v>
      </c>
      <c r="AM1262" s="34">
        <f t="shared" si="588"/>
        <v>132</v>
      </c>
      <c r="AN1262" s="34">
        <f t="shared" si="588"/>
        <v>132</v>
      </c>
      <c r="AO1262" s="34">
        <f t="shared" si="588"/>
        <v>132</v>
      </c>
      <c r="AP1262" s="54"/>
      <c r="AQ1262" s="1"/>
    </row>
    <row r="1263" ht="15.0" hidden="1" customHeight="1">
      <c r="A1263" s="1"/>
      <c r="B1263" s="35"/>
      <c r="C1263" s="35"/>
      <c r="D1263" s="35"/>
      <c r="E1263" s="35"/>
      <c r="F1263" s="36" t="s">
        <v>25</v>
      </c>
      <c r="G1263" s="37"/>
      <c r="H1263" s="37"/>
      <c r="I1263" s="37"/>
      <c r="J1263" s="37"/>
      <c r="K1263" s="37"/>
      <c r="L1263" s="37"/>
      <c r="M1263" s="37"/>
      <c r="N1263" s="37"/>
      <c r="O1263" s="37"/>
      <c r="P1263" s="37"/>
      <c r="Q1263" s="37"/>
      <c r="R1263" s="37"/>
      <c r="S1263" s="38"/>
      <c r="T1263" s="37"/>
      <c r="U1263" s="38"/>
      <c r="V1263" s="37"/>
      <c r="W1263" s="37"/>
      <c r="X1263" s="37"/>
      <c r="Y1263" s="37"/>
      <c r="Z1263" s="37"/>
      <c r="AA1263" s="37"/>
      <c r="AB1263" s="37"/>
      <c r="AC1263" s="37"/>
      <c r="AD1263" s="38"/>
      <c r="AE1263" s="37"/>
      <c r="AF1263" s="37"/>
      <c r="AG1263" s="37"/>
      <c r="AH1263" s="37"/>
      <c r="AI1263" s="37"/>
      <c r="AJ1263" s="37"/>
      <c r="AK1263" s="37"/>
      <c r="AL1263" s="37"/>
      <c r="AM1263" s="37"/>
      <c r="AN1263" s="37"/>
      <c r="AO1263" s="37"/>
      <c r="AP1263" s="39">
        <f t="shared" ref="AP1263:AP1265" si="589">SUM(H1263:AO1263)</f>
        <v>0</v>
      </c>
      <c r="AQ1263" s="1"/>
    </row>
    <row r="1264" ht="15.0" hidden="1" customHeight="1">
      <c r="A1264" s="1"/>
      <c r="B1264" s="35"/>
      <c r="C1264" s="35"/>
      <c r="D1264" s="35"/>
      <c r="E1264" s="35"/>
      <c r="F1264" s="40" t="s">
        <v>94</v>
      </c>
      <c r="G1264" s="37"/>
      <c r="H1264" s="37"/>
      <c r="I1264" s="37"/>
      <c r="J1264" s="37"/>
      <c r="K1264" s="37"/>
      <c r="L1264" s="37"/>
      <c r="M1264" s="37"/>
      <c r="N1264" s="37"/>
      <c r="O1264" s="37"/>
      <c r="P1264" s="37"/>
      <c r="Q1264" s="37"/>
      <c r="R1264" s="37"/>
      <c r="S1264" s="38"/>
      <c r="T1264" s="37"/>
      <c r="U1264" s="38"/>
      <c r="V1264" s="37"/>
      <c r="W1264" s="37"/>
      <c r="X1264" s="37"/>
      <c r="Y1264" s="37"/>
      <c r="Z1264" s="37"/>
      <c r="AA1264" s="37"/>
      <c r="AB1264" s="37"/>
      <c r="AC1264" s="37"/>
      <c r="AD1264" s="38"/>
      <c r="AE1264" s="37"/>
      <c r="AF1264" s="37"/>
      <c r="AG1264" s="37"/>
      <c r="AH1264" s="37"/>
      <c r="AI1264" s="37"/>
      <c r="AJ1264" s="37"/>
      <c r="AK1264" s="37"/>
      <c r="AL1264" s="37"/>
      <c r="AM1264" s="37"/>
      <c r="AN1264" s="37"/>
      <c r="AO1264" s="37"/>
      <c r="AP1264" s="39">
        <f t="shared" si="589"/>
        <v>0</v>
      </c>
      <c r="AQ1264" s="1"/>
    </row>
    <row r="1265" ht="15.0" hidden="1" customHeight="1">
      <c r="A1265" s="1"/>
      <c r="B1265" s="35"/>
      <c r="C1265" s="35"/>
      <c r="D1265" s="35"/>
      <c r="E1265" s="35"/>
      <c r="F1265" s="14" t="s">
        <v>43</v>
      </c>
      <c r="G1265" s="37"/>
      <c r="H1265" s="38"/>
      <c r="I1265" s="38"/>
      <c r="J1265" s="38"/>
      <c r="K1265" s="38"/>
      <c r="L1265" s="38"/>
      <c r="M1265" s="38"/>
      <c r="N1265" s="38"/>
      <c r="O1265" s="38"/>
      <c r="P1265" s="38"/>
      <c r="Q1265" s="38"/>
      <c r="R1265" s="38"/>
      <c r="S1265" s="38"/>
      <c r="T1265" s="38"/>
      <c r="U1265" s="38"/>
      <c r="V1265" s="38"/>
      <c r="W1265" s="38"/>
      <c r="X1265" s="38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38"/>
      <c r="AI1265" s="38"/>
      <c r="AJ1265" s="38"/>
      <c r="AK1265" s="38"/>
      <c r="AL1265" s="38"/>
      <c r="AM1265" s="38"/>
      <c r="AN1265" s="38"/>
      <c r="AO1265" s="37"/>
      <c r="AP1265" s="39">
        <f t="shared" si="589"/>
        <v>0</v>
      </c>
      <c r="AQ1265" s="1"/>
    </row>
    <row r="1266" ht="15.75" hidden="1" customHeight="1">
      <c r="A1266" s="1"/>
      <c r="B1266" s="42"/>
      <c r="C1266" s="42"/>
      <c r="D1266" s="42"/>
      <c r="E1266" s="42"/>
      <c r="F1266" s="43" t="s">
        <v>30</v>
      </c>
      <c r="G1266" s="55"/>
      <c r="H1266" s="34">
        <f t="shared" ref="H1266:AN1266" si="590">H1262+H1263-H1264-H1265</f>
        <v>132</v>
      </c>
      <c r="I1266" s="34">
        <f t="shared" si="590"/>
        <v>132</v>
      </c>
      <c r="J1266" s="34">
        <f t="shared" si="590"/>
        <v>132</v>
      </c>
      <c r="K1266" s="34">
        <f t="shared" si="590"/>
        <v>132</v>
      </c>
      <c r="L1266" s="34">
        <f t="shared" si="590"/>
        <v>132</v>
      </c>
      <c r="M1266" s="34">
        <f t="shared" si="590"/>
        <v>132</v>
      </c>
      <c r="N1266" s="34">
        <f t="shared" si="590"/>
        <v>132</v>
      </c>
      <c r="O1266" s="34">
        <f t="shared" si="590"/>
        <v>132</v>
      </c>
      <c r="P1266" s="34">
        <f t="shared" si="590"/>
        <v>132</v>
      </c>
      <c r="Q1266" s="34">
        <f t="shared" si="590"/>
        <v>132</v>
      </c>
      <c r="R1266" s="34">
        <f t="shared" si="590"/>
        <v>132</v>
      </c>
      <c r="S1266" s="34">
        <f t="shared" si="590"/>
        <v>132</v>
      </c>
      <c r="T1266" s="34">
        <f t="shared" si="590"/>
        <v>132</v>
      </c>
      <c r="U1266" s="34">
        <f t="shared" si="590"/>
        <v>132</v>
      </c>
      <c r="V1266" s="34">
        <f t="shared" si="590"/>
        <v>132</v>
      </c>
      <c r="W1266" s="34">
        <f t="shared" si="590"/>
        <v>132</v>
      </c>
      <c r="X1266" s="34">
        <f t="shared" si="590"/>
        <v>132</v>
      </c>
      <c r="Y1266" s="34">
        <f t="shared" si="590"/>
        <v>132</v>
      </c>
      <c r="Z1266" s="34">
        <f t="shared" si="590"/>
        <v>132</v>
      </c>
      <c r="AA1266" s="34">
        <f t="shared" si="590"/>
        <v>132</v>
      </c>
      <c r="AB1266" s="34">
        <f t="shared" si="590"/>
        <v>132</v>
      </c>
      <c r="AC1266" s="34">
        <f t="shared" si="590"/>
        <v>132</v>
      </c>
      <c r="AD1266" s="34">
        <f t="shared" si="590"/>
        <v>132</v>
      </c>
      <c r="AE1266" s="34">
        <f t="shared" si="590"/>
        <v>132</v>
      </c>
      <c r="AF1266" s="34">
        <f t="shared" si="590"/>
        <v>132</v>
      </c>
      <c r="AG1266" s="34">
        <f t="shared" si="590"/>
        <v>132</v>
      </c>
      <c r="AH1266" s="34">
        <f t="shared" si="590"/>
        <v>132</v>
      </c>
      <c r="AI1266" s="34">
        <f t="shared" si="590"/>
        <v>132</v>
      </c>
      <c r="AJ1266" s="34">
        <f t="shared" si="590"/>
        <v>132</v>
      </c>
      <c r="AK1266" s="34">
        <f t="shared" si="590"/>
        <v>132</v>
      </c>
      <c r="AL1266" s="34">
        <f t="shared" si="590"/>
        <v>132</v>
      </c>
      <c r="AM1266" s="34">
        <f t="shared" si="590"/>
        <v>132</v>
      </c>
      <c r="AN1266" s="34">
        <f t="shared" si="590"/>
        <v>132</v>
      </c>
      <c r="AO1266" s="34"/>
      <c r="AP1266" s="45">
        <f>AO1262</f>
        <v>132</v>
      </c>
      <c r="AQ1266" s="1"/>
    </row>
    <row r="1267" ht="15.75" hidden="1" customHeight="1">
      <c r="A1267" s="1"/>
      <c r="B1267" s="32"/>
      <c r="C1267" s="57" t="s">
        <v>419</v>
      </c>
      <c r="D1267" s="32" t="s">
        <v>431</v>
      </c>
      <c r="E1267" s="109" t="s">
        <v>423</v>
      </c>
      <c r="F1267" s="14" t="s">
        <v>23</v>
      </c>
      <c r="G1267" s="44"/>
      <c r="H1267" s="21">
        <v>50.0</v>
      </c>
      <c r="I1267" s="34">
        <f t="shared" ref="I1267:AO1267" si="591">H1271</f>
        <v>50</v>
      </c>
      <c r="J1267" s="34">
        <f t="shared" si="591"/>
        <v>50</v>
      </c>
      <c r="K1267" s="34">
        <f t="shared" si="591"/>
        <v>50</v>
      </c>
      <c r="L1267" s="34">
        <f t="shared" si="591"/>
        <v>50</v>
      </c>
      <c r="M1267" s="34">
        <f t="shared" si="591"/>
        <v>50</v>
      </c>
      <c r="N1267" s="34">
        <f t="shared" si="591"/>
        <v>50</v>
      </c>
      <c r="O1267" s="34">
        <f t="shared" si="591"/>
        <v>50</v>
      </c>
      <c r="P1267" s="34">
        <f t="shared" si="591"/>
        <v>50</v>
      </c>
      <c r="Q1267" s="34">
        <f t="shared" si="591"/>
        <v>50</v>
      </c>
      <c r="R1267" s="34">
        <f t="shared" si="591"/>
        <v>50</v>
      </c>
      <c r="S1267" s="34">
        <f t="shared" si="591"/>
        <v>50</v>
      </c>
      <c r="T1267" s="34">
        <f t="shared" si="591"/>
        <v>50</v>
      </c>
      <c r="U1267" s="34">
        <f t="shared" si="591"/>
        <v>50</v>
      </c>
      <c r="V1267" s="34">
        <f t="shared" si="591"/>
        <v>50</v>
      </c>
      <c r="W1267" s="34">
        <f t="shared" si="591"/>
        <v>50</v>
      </c>
      <c r="X1267" s="34">
        <f t="shared" si="591"/>
        <v>50</v>
      </c>
      <c r="Y1267" s="34">
        <f t="shared" si="591"/>
        <v>50</v>
      </c>
      <c r="Z1267" s="34">
        <f t="shared" si="591"/>
        <v>50</v>
      </c>
      <c r="AA1267" s="34">
        <f t="shared" si="591"/>
        <v>50</v>
      </c>
      <c r="AB1267" s="34">
        <f t="shared" si="591"/>
        <v>50</v>
      </c>
      <c r="AC1267" s="34">
        <f t="shared" si="591"/>
        <v>50</v>
      </c>
      <c r="AD1267" s="34">
        <f t="shared" si="591"/>
        <v>50</v>
      </c>
      <c r="AE1267" s="34">
        <f t="shared" si="591"/>
        <v>50</v>
      </c>
      <c r="AF1267" s="34">
        <f t="shared" si="591"/>
        <v>50</v>
      </c>
      <c r="AG1267" s="34">
        <f t="shared" si="591"/>
        <v>50</v>
      </c>
      <c r="AH1267" s="34">
        <f t="shared" si="591"/>
        <v>50</v>
      </c>
      <c r="AI1267" s="34">
        <f t="shared" si="591"/>
        <v>50</v>
      </c>
      <c r="AJ1267" s="34">
        <f t="shared" si="591"/>
        <v>50</v>
      </c>
      <c r="AK1267" s="34">
        <f t="shared" si="591"/>
        <v>50</v>
      </c>
      <c r="AL1267" s="34">
        <f t="shared" si="591"/>
        <v>50</v>
      </c>
      <c r="AM1267" s="34">
        <f t="shared" si="591"/>
        <v>50</v>
      </c>
      <c r="AN1267" s="34">
        <f t="shared" si="591"/>
        <v>50</v>
      </c>
      <c r="AO1267" s="34">
        <f t="shared" si="591"/>
        <v>50</v>
      </c>
      <c r="AP1267" s="54"/>
      <c r="AQ1267" s="1"/>
    </row>
    <row r="1268" ht="15.0" hidden="1" customHeight="1">
      <c r="A1268" s="1"/>
      <c r="B1268" s="35"/>
      <c r="C1268" s="35"/>
      <c r="D1268" s="35"/>
      <c r="E1268" s="35"/>
      <c r="F1268" s="36" t="s">
        <v>25</v>
      </c>
      <c r="G1268" s="37"/>
      <c r="H1268" s="37"/>
      <c r="I1268" s="37"/>
      <c r="J1268" s="37"/>
      <c r="K1268" s="37"/>
      <c r="L1268" s="37"/>
      <c r="M1268" s="37"/>
      <c r="N1268" s="37"/>
      <c r="O1268" s="37"/>
      <c r="P1268" s="37"/>
      <c r="Q1268" s="37"/>
      <c r="R1268" s="37"/>
      <c r="S1268" s="38"/>
      <c r="T1268" s="37"/>
      <c r="U1268" s="38"/>
      <c r="V1268" s="37"/>
      <c r="W1268" s="37"/>
      <c r="X1268" s="37"/>
      <c r="Y1268" s="37"/>
      <c r="Z1268" s="37"/>
      <c r="AA1268" s="37"/>
      <c r="AB1268" s="37"/>
      <c r="AC1268" s="37"/>
      <c r="AD1268" s="38"/>
      <c r="AE1268" s="37"/>
      <c r="AF1268" s="37"/>
      <c r="AG1268" s="37"/>
      <c r="AH1268" s="37"/>
      <c r="AI1268" s="37"/>
      <c r="AJ1268" s="37"/>
      <c r="AK1268" s="37"/>
      <c r="AL1268" s="37"/>
      <c r="AM1268" s="37"/>
      <c r="AN1268" s="37"/>
      <c r="AO1268" s="37"/>
      <c r="AP1268" s="39">
        <f t="shared" ref="AP1268:AP1270" si="592">SUM(H1268:AO1268)</f>
        <v>0</v>
      </c>
      <c r="AQ1268" s="1"/>
    </row>
    <row r="1269" ht="15.0" hidden="1" customHeight="1">
      <c r="A1269" s="1"/>
      <c r="B1269" s="35"/>
      <c r="C1269" s="35"/>
      <c r="D1269" s="35"/>
      <c r="E1269" s="35"/>
      <c r="F1269" s="40" t="s">
        <v>94</v>
      </c>
      <c r="G1269" s="37"/>
      <c r="H1269" s="37"/>
      <c r="I1269" s="37"/>
      <c r="J1269" s="37"/>
      <c r="K1269" s="37"/>
      <c r="L1269" s="37"/>
      <c r="M1269" s="37"/>
      <c r="N1269" s="37"/>
      <c r="O1269" s="37"/>
      <c r="P1269" s="37"/>
      <c r="Q1269" s="37"/>
      <c r="R1269" s="37"/>
      <c r="S1269" s="38"/>
      <c r="T1269" s="37"/>
      <c r="U1269" s="38"/>
      <c r="V1269" s="37"/>
      <c r="W1269" s="37"/>
      <c r="X1269" s="37"/>
      <c r="Y1269" s="37"/>
      <c r="Z1269" s="37"/>
      <c r="AA1269" s="37"/>
      <c r="AB1269" s="37"/>
      <c r="AC1269" s="37"/>
      <c r="AD1269" s="38"/>
      <c r="AE1269" s="37"/>
      <c r="AF1269" s="37"/>
      <c r="AG1269" s="37"/>
      <c r="AH1269" s="37"/>
      <c r="AI1269" s="37"/>
      <c r="AJ1269" s="37"/>
      <c r="AK1269" s="37"/>
      <c r="AL1269" s="37"/>
      <c r="AM1269" s="37"/>
      <c r="AN1269" s="37"/>
      <c r="AO1269" s="37"/>
      <c r="AP1269" s="39">
        <f t="shared" si="592"/>
        <v>0</v>
      </c>
      <c r="AQ1269" s="1"/>
    </row>
    <row r="1270" ht="15.0" hidden="1" customHeight="1">
      <c r="A1270" s="1"/>
      <c r="B1270" s="35"/>
      <c r="C1270" s="35"/>
      <c r="D1270" s="35"/>
      <c r="E1270" s="35"/>
      <c r="F1270" s="14" t="s">
        <v>43</v>
      </c>
      <c r="G1270" s="37"/>
      <c r="H1270" s="38"/>
      <c r="I1270" s="38"/>
      <c r="J1270" s="38"/>
      <c r="K1270" s="38"/>
      <c r="L1270" s="38"/>
      <c r="M1270" s="38"/>
      <c r="N1270" s="38"/>
      <c r="O1270" s="38"/>
      <c r="P1270" s="38"/>
      <c r="Q1270" s="38"/>
      <c r="R1270" s="38"/>
      <c r="S1270" s="38"/>
      <c r="T1270" s="38"/>
      <c r="U1270" s="38"/>
      <c r="V1270" s="38"/>
      <c r="W1270" s="38"/>
      <c r="X1270" s="38"/>
      <c r="Y1270" s="38"/>
      <c r="Z1270" s="38"/>
      <c r="AA1270" s="38"/>
      <c r="AB1270" s="38"/>
      <c r="AC1270" s="38"/>
      <c r="AD1270" s="38"/>
      <c r="AE1270" s="38"/>
      <c r="AF1270" s="38"/>
      <c r="AG1270" s="38"/>
      <c r="AH1270" s="38"/>
      <c r="AI1270" s="38"/>
      <c r="AJ1270" s="38"/>
      <c r="AK1270" s="38"/>
      <c r="AL1270" s="38"/>
      <c r="AM1270" s="38"/>
      <c r="AN1270" s="38"/>
      <c r="AO1270" s="37"/>
      <c r="AP1270" s="39">
        <f t="shared" si="592"/>
        <v>0</v>
      </c>
      <c r="AQ1270" s="1"/>
    </row>
    <row r="1271" ht="15.75" hidden="1" customHeight="1">
      <c r="A1271" s="1"/>
      <c r="B1271" s="42"/>
      <c r="C1271" s="42"/>
      <c r="D1271" s="42"/>
      <c r="E1271" s="42"/>
      <c r="F1271" s="43" t="s">
        <v>30</v>
      </c>
      <c r="G1271" s="55"/>
      <c r="H1271" s="34">
        <f t="shared" ref="H1271:AN1271" si="593">H1267+H1268-H1269-H1270</f>
        <v>50</v>
      </c>
      <c r="I1271" s="34">
        <f t="shared" si="593"/>
        <v>50</v>
      </c>
      <c r="J1271" s="34">
        <f t="shared" si="593"/>
        <v>50</v>
      </c>
      <c r="K1271" s="34">
        <f t="shared" si="593"/>
        <v>50</v>
      </c>
      <c r="L1271" s="34">
        <f t="shared" si="593"/>
        <v>50</v>
      </c>
      <c r="M1271" s="34">
        <f t="shared" si="593"/>
        <v>50</v>
      </c>
      <c r="N1271" s="34">
        <f t="shared" si="593"/>
        <v>50</v>
      </c>
      <c r="O1271" s="34">
        <f t="shared" si="593"/>
        <v>50</v>
      </c>
      <c r="P1271" s="34">
        <f t="shared" si="593"/>
        <v>50</v>
      </c>
      <c r="Q1271" s="34">
        <f t="shared" si="593"/>
        <v>50</v>
      </c>
      <c r="R1271" s="34">
        <f t="shared" si="593"/>
        <v>50</v>
      </c>
      <c r="S1271" s="34">
        <f t="shared" si="593"/>
        <v>50</v>
      </c>
      <c r="T1271" s="34">
        <f t="shared" si="593"/>
        <v>50</v>
      </c>
      <c r="U1271" s="34">
        <f t="shared" si="593"/>
        <v>50</v>
      </c>
      <c r="V1271" s="34">
        <f t="shared" si="593"/>
        <v>50</v>
      </c>
      <c r="W1271" s="34">
        <f t="shared" si="593"/>
        <v>50</v>
      </c>
      <c r="X1271" s="34">
        <f t="shared" si="593"/>
        <v>50</v>
      </c>
      <c r="Y1271" s="34">
        <f t="shared" si="593"/>
        <v>50</v>
      </c>
      <c r="Z1271" s="34">
        <f t="shared" si="593"/>
        <v>50</v>
      </c>
      <c r="AA1271" s="34">
        <f t="shared" si="593"/>
        <v>50</v>
      </c>
      <c r="AB1271" s="34">
        <f t="shared" si="593"/>
        <v>50</v>
      </c>
      <c r="AC1271" s="34">
        <f t="shared" si="593"/>
        <v>50</v>
      </c>
      <c r="AD1271" s="34">
        <f t="shared" si="593"/>
        <v>50</v>
      </c>
      <c r="AE1271" s="34">
        <f t="shared" si="593"/>
        <v>50</v>
      </c>
      <c r="AF1271" s="34">
        <f t="shared" si="593"/>
        <v>50</v>
      </c>
      <c r="AG1271" s="34">
        <f t="shared" si="593"/>
        <v>50</v>
      </c>
      <c r="AH1271" s="34">
        <f t="shared" si="593"/>
        <v>50</v>
      </c>
      <c r="AI1271" s="34">
        <f t="shared" si="593"/>
        <v>50</v>
      </c>
      <c r="AJ1271" s="34">
        <f t="shared" si="593"/>
        <v>50</v>
      </c>
      <c r="AK1271" s="34">
        <f t="shared" si="593"/>
        <v>50</v>
      </c>
      <c r="AL1271" s="34">
        <f t="shared" si="593"/>
        <v>50</v>
      </c>
      <c r="AM1271" s="34">
        <f t="shared" si="593"/>
        <v>50</v>
      </c>
      <c r="AN1271" s="34">
        <f t="shared" si="593"/>
        <v>50</v>
      </c>
      <c r="AO1271" s="34"/>
      <c r="AP1271" s="45">
        <f>AO1267</f>
        <v>50</v>
      </c>
      <c r="AQ1271" s="1"/>
    </row>
    <row r="1272" ht="15.75" hidden="1" customHeight="1">
      <c r="A1272" s="1"/>
      <c r="B1272" s="32"/>
      <c r="C1272" s="57" t="s">
        <v>419</v>
      </c>
      <c r="D1272" s="32" t="s">
        <v>432</v>
      </c>
      <c r="E1272" s="109" t="s">
        <v>430</v>
      </c>
      <c r="F1272" s="14" t="s">
        <v>23</v>
      </c>
      <c r="G1272" s="44"/>
      <c r="H1272" s="21">
        <v>103.0</v>
      </c>
      <c r="I1272" s="34">
        <f t="shared" ref="I1272:AO1272" si="594">H1276</f>
        <v>103</v>
      </c>
      <c r="J1272" s="34">
        <f t="shared" si="594"/>
        <v>103</v>
      </c>
      <c r="K1272" s="34">
        <f t="shared" si="594"/>
        <v>103</v>
      </c>
      <c r="L1272" s="34">
        <f t="shared" si="594"/>
        <v>103</v>
      </c>
      <c r="M1272" s="34">
        <f t="shared" si="594"/>
        <v>103</v>
      </c>
      <c r="N1272" s="34">
        <f t="shared" si="594"/>
        <v>103</v>
      </c>
      <c r="O1272" s="34">
        <f t="shared" si="594"/>
        <v>103</v>
      </c>
      <c r="P1272" s="34">
        <f t="shared" si="594"/>
        <v>103</v>
      </c>
      <c r="Q1272" s="34">
        <f t="shared" si="594"/>
        <v>103</v>
      </c>
      <c r="R1272" s="34">
        <f t="shared" si="594"/>
        <v>103</v>
      </c>
      <c r="S1272" s="34">
        <f t="shared" si="594"/>
        <v>103</v>
      </c>
      <c r="T1272" s="34">
        <f t="shared" si="594"/>
        <v>103</v>
      </c>
      <c r="U1272" s="34">
        <f t="shared" si="594"/>
        <v>103</v>
      </c>
      <c r="V1272" s="34">
        <f t="shared" si="594"/>
        <v>103</v>
      </c>
      <c r="W1272" s="34">
        <f t="shared" si="594"/>
        <v>103</v>
      </c>
      <c r="X1272" s="34">
        <f t="shared" si="594"/>
        <v>103</v>
      </c>
      <c r="Y1272" s="34">
        <f t="shared" si="594"/>
        <v>103</v>
      </c>
      <c r="Z1272" s="34">
        <f t="shared" si="594"/>
        <v>103</v>
      </c>
      <c r="AA1272" s="34">
        <f t="shared" si="594"/>
        <v>103</v>
      </c>
      <c r="AB1272" s="34">
        <f t="shared" si="594"/>
        <v>103</v>
      </c>
      <c r="AC1272" s="34">
        <f t="shared" si="594"/>
        <v>103</v>
      </c>
      <c r="AD1272" s="34">
        <f t="shared" si="594"/>
        <v>103</v>
      </c>
      <c r="AE1272" s="34">
        <f t="shared" si="594"/>
        <v>103</v>
      </c>
      <c r="AF1272" s="34">
        <f t="shared" si="594"/>
        <v>103</v>
      </c>
      <c r="AG1272" s="34">
        <f t="shared" si="594"/>
        <v>103</v>
      </c>
      <c r="AH1272" s="34">
        <f t="shared" si="594"/>
        <v>103</v>
      </c>
      <c r="AI1272" s="34">
        <f t="shared" si="594"/>
        <v>103</v>
      </c>
      <c r="AJ1272" s="34">
        <f t="shared" si="594"/>
        <v>103</v>
      </c>
      <c r="AK1272" s="34">
        <f t="shared" si="594"/>
        <v>103</v>
      </c>
      <c r="AL1272" s="34">
        <f t="shared" si="594"/>
        <v>103</v>
      </c>
      <c r="AM1272" s="34">
        <f t="shared" si="594"/>
        <v>103</v>
      </c>
      <c r="AN1272" s="34">
        <f t="shared" si="594"/>
        <v>103</v>
      </c>
      <c r="AO1272" s="34">
        <f t="shared" si="594"/>
        <v>103</v>
      </c>
      <c r="AP1272" s="54"/>
      <c r="AQ1272" s="1"/>
    </row>
    <row r="1273" ht="15.0" hidden="1" customHeight="1">
      <c r="A1273" s="1"/>
      <c r="B1273" s="35"/>
      <c r="C1273" s="35"/>
      <c r="D1273" s="35"/>
      <c r="E1273" s="35"/>
      <c r="F1273" s="36" t="s">
        <v>25</v>
      </c>
      <c r="G1273" s="37"/>
      <c r="H1273" s="37"/>
      <c r="I1273" s="37"/>
      <c r="J1273" s="37"/>
      <c r="K1273" s="37"/>
      <c r="L1273" s="37"/>
      <c r="M1273" s="37"/>
      <c r="N1273" s="37"/>
      <c r="O1273" s="37"/>
      <c r="P1273" s="37"/>
      <c r="Q1273" s="37"/>
      <c r="R1273" s="37"/>
      <c r="S1273" s="38"/>
      <c r="T1273" s="37"/>
      <c r="U1273" s="38"/>
      <c r="V1273" s="37"/>
      <c r="W1273" s="37"/>
      <c r="X1273" s="37"/>
      <c r="Y1273" s="37"/>
      <c r="Z1273" s="37"/>
      <c r="AA1273" s="37"/>
      <c r="AB1273" s="37"/>
      <c r="AC1273" s="37"/>
      <c r="AD1273" s="38"/>
      <c r="AE1273" s="37"/>
      <c r="AF1273" s="37"/>
      <c r="AG1273" s="37"/>
      <c r="AH1273" s="37"/>
      <c r="AI1273" s="37"/>
      <c r="AJ1273" s="37"/>
      <c r="AK1273" s="37"/>
      <c r="AL1273" s="37"/>
      <c r="AM1273" s="37"/>
      <c r="AN1273" s="37"/>
      <c r="AO1273" s="37"/>
      <c r="AP1273" s="39">
        <f t="shared" ref="AP1273:AP1275" si="595">SUM(H1273:AO1273)</f>
        <v>0</v>
      </c>
      <c r="AQ1273" s="1"/>
    </row>
    <row r="1274" ht="15.0" hidden="1" customHeight="1">
      <c r="A1274" s="1"/>
      <c r="B1274" s="35"/>
      <c r="C1274" s="35"/>
      <c r="D1274" s="35"/>
      <c r="E1274" s="35"/>
      <c r="F1274" s="40" t="s">
        <v>94</v>
      </c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  <c r="S1274" s="38"/>
      <c r="T1274" s="37"/>
      <c r="U1274" s="38"/>
      <c r="V1274" s="37"/>
      <c r="W1274" s="37"/>
      <c r="X1274" s="37"/>
      <c r="Y1274" s="37"/>
      <c r="Z1274" s="37"/>
      <c r="AA1274" s="37"/>
      <c r="AB1274" s="37"/>
      <c r="AC1274" s="37"/>
      <c r="AD1274" s="38"/>
      <c r="AE1274" s="37"/>
      <c r="AF1274" s="37"/>
      <c r="AG1274" s="37"/>
      <c r="AH1274" s="37"/>
      <c r="AI1274" s="37"/>
      <c r="AJ1274" s="37"/>
      <c r="AK1274" s="37"/>
      <c r="AL1274" s="37"/>
      <c r="AM1274" s="37"/>
      <c r="AN1274" s="37"/>
      <c r="AO1274" s="37"/>
      <c r="AP1274" s="39">
        <f t="shared" si="595"/>
        <v>0</v>
      </c>
      <c r="AQ1274" s="1"/>
    </row>
    <row r="1275" ht="15.0" hidden="1" customHeight="1">
      <c r="A1275" s="1"/>
      <c r="B1275" s="35"/>
      <c r="C1275" s="35"/>
      <c r="D1275" s="35"/>
      <c r="E1275" s="35"/>
      <c r="F1275" s="14" t="s">
        <v>43</v>
      </c>
      <c r="G1275" s="37"/>
      <c r="H1275" s="38"/>
      <c r="I1275" s="38"/>
      <c r="J1275" s="38"/>
      <c r="K1275" s="38"/>
      <c r="L1275" s="38"/>
      <c r="M1275" s="38"/>
      <c r="N1275" s="38"/>
      <c r="O1275" s="38"/>
      <c r="P1275" s="38"/>
      <c r="Q1275" s="38"/>
      <c r="R1275" s="38"/>
      <c r="S1275" s="38"/>
      <c r="T1275" s="38"/>
      <c r="U1275" s="38"/>
      <c r="V1275" s="38"/>
      <c r="W1275" s="38"/>
      <c r="X1275" s="38"/>
      <c r="Y1275" s="38"/>
      <c r="Z1275" s="38"/>
      <c r="AA1275" s="38"/>
      <c r="AB1275" s="38"/>
      <c r="AC1275" s="38"/>
      <c r="AD1275" s="38"/>
      <c r="AE1275" s="38"/>
      <c r="AF1275" s="38"/>
      <c r="AG1275" s="38"/>
      <c r="AH1275" s="38"/>
      <c r="AI1275" s="38"/>
      <c r="AJ1275" s="38"/>
      <c r="AK1275" s="38"/>
      <c r="AL1275" s="38"/>
      <c r="AM1275" s="38"/>
      <c r="AN1275" s="38"/>
      <c r="AO1275" s="37"/>
      <c r="AP1275" s="39">
        <f t="shared" si="595"/>
        <v>0</v>
      </c>
      <c r="AQ1275" s="1"/>
    </row>
    <row r="1276" ht="15.75" hidden="1" customHeight="1">
      <c r="A1276" s="1"/>
      <c r="B1276" s="42"/>
      <c r="C1276" s="42"/>
      <c r="D1276" s="42"/>
      <c r="E1276" s="42"/>
      <c r="F1276" s="43" t="s">
        <v>30</v>
      </c>
      <c r="G1276" s="55"/>
      <c r="H1276" s="34">
        <f t="shared" ref="H1276:AN1276" si="596">H1272+H1273-H1274-H1275</f>
        <v>103</v>
      </c>
      <c r="I1276" s="34">
        <f t="shared" si="596"/>
        <v>103</v>
      </c>
      <c r="J1276" s="34">
        <f t="shared" si="596"/>
        <v>103</v>
      </c>
      <c r="K1276" s="34">
        <f t="shared" si="596"/>
        <v>103</v>
      </c>
      <c r="L1276" s="34">
        <f t="shared" si="596"/>
        <v>103</v>
      </c>
      <c r="M1276" s="34">
        <f t="shared" si="596"/>
        <v>103</v>
      </c>
      <c r="N1276" s="34">
        <f t="shared" si="596"/>
        <v>103</v>
      </c>
      <c r="O1276" s="34">
        <f t="shared" si="596"/>
        <v>103</v>
      </c>
      <c r="P1276" s="34">
        <f t="shared" si="596"/>
        <v>103</v>
      </c>
      <c r="Q1276" s="34">
        <f t="shared" si="596"/>
        <v>103</v>
      </c>
      <c r="R1276" s="34">
        <f t="shared" si="596"/>
        <v>103</v>
      </c>
      <c r="S1276" s="34">
        <f t="shared" si="596"/>
        <v>103</v>
      </c>
      <c r="T1276" s="34">
        <f t="shared" si="596"/>
        <v>103</v>
      </c>
      <c r="U1276" s="34">
        <f t="shared" si="596"/>
        <v>103</v>
      </c>
      <c r="V1276" s="34">
        <f t="shared" si="596"/>
        <v>103</v>
      </c>
      <c r="W1276" s="34">
        <f t="shared" si="596"/>
        <v>103</v>
      </c>
      <c r="X1276" s="34">
        <f t="shared" si="596"/>
        <v>103</v>
      </c>
      <c r="Y1276" s="34">
        <f t="shared" si="596"/>
        <v>103</v>
      </c>
      <c r="Z1276" s="34">
        <f t="shared" si="596"/>
        <v>103</v>
      </c>
      <c r="AA1276" s="34">
        <f t="shared" si="596"/>
        <v>103</v>
      </c>
      <c r="AB1276" s="34">
        <f t="shared" si="596"/>
        <v>103</v>
      </c>
      <c r="AC1276" s="34">
        <f t="shared" si="596"/>
        <v>103</v>
      </c>
      <c r="AD1276" s="34">
        <f t="shared" si="596"/>
        <v>103</v>
      </c>
      <c r="AE1276" s="34">
        <f t="shared" si="596"/>
        <v>103</v>
      </c>
      <c r="AF1276" s="34">
        <f t="shared" si="596"/>
        <v>103</v>
      </c>
      <c r="AG1276" s="34">
        <f t="shared" si="596"/>
        <v>103</v>
      </c>
      <c r="AH1276" s="34">
        <f t="shared" si="596"/>
        <v>103</v>
      </c>
      <c r="AI1276" s="34">
        <f t="shared" si="596"/>
        <v>103</v>
      </c>
      <c r="AJ1276" s="34">
        <f t="shared" si="596"/>
        <v>103</v>
      </c>
      <c r="AK1276" s="34">
        <f t="shared" si="596"/>
        <v>103</v>
      </c>
      <c r="AL1276" s="34">
        <f t="shared" si="596"/>
        <v>103</v>
      </c>
      <c r="AM1276" s="34">
        <f t="shared" si="596"/>
        <v>103</v>
      </c>
      <c r="AN1276" s="34">
        <f t="shared" si="596"/>
        <v>103</v>
      </c>
      <c r="AO1276" s="34"/>
      <c r="AP1276" s="45">
        <f>AO1272</f>
        <v>103</v>
      </c>
      <c r="AQ1276" s="1"/>
    </row>
    <row r="1277" ht="15.75" hidden="1" customHeight="1">
      <c r="A1277" s="1"/>
      <c r="B1277" s="32"/>
      <c r="C1277" s="57" t="s">
        <v>419</v>
      </c>
      <c r="D1277" s="32" t="s">
        <v>429</v>
      </c>
      <c r="E1277" s="109" t="s">
        <v>430</v>
      </c>
      <c r="F1277" s="14" t="s">
        <v>23</v>
      </c>
      <c r="G1277" s="44"/>
      <c r="H1277" s="21">
        <v>20.0</v>
      </c>
      <c r="I1277" s="34">
        <f t="shared" ref="I1277:AO1277" si="597">H1281</f>
        <v>20</v>
      </c>
      <c r="J1277" s="34">
        <f t="shared" si="597"/>
        <v>20</v>
      </c>
      <c r="K1277" s="34">
        <f t="shared" si="597"/>
        <v>20</v>
      </c>
      <c r="L1277" s="34">
        <f t="shared" si="597"/>
        <v>20</v>
      </c>
      <c r="M1277" s="34">
        <f t="shared" si="597"/>
        <v>20</v>
      </c>
      <c r="N1277" s="34">
        <f t="shared" si="597"/>
        <v>20</v>
      </c>
      <c r="O1277" s="34">
        <f t="shared" si="597"/>
        <v>20</v>
      </c>
      <c r="P1277" s="34">
        <f t="shared" si="597"/>
        <v>20</v>
      </c>
      <c r="Q1277" s="34">
        <f t="shared" si="597"/>
        <v>20</v>
      </c>
      <c r="R1277" s="34">
        <f t="shared" si="597"/>
        <v>20</v>
      </c>
      <c r="S1277" s="34">
        <f t="shared" si="597"/>
        <v>20</v>
      </c>
      <c r="T1277" s="34">
        <f t="shared" si="597"/>
        <v>20</v>
      </c>
      <c r="U1277" s="34">
        <f t="shared" si="597"/>
        <v>20</v>
      </c>
      <c r="V1277" s="34">
        <f t="shared" si="597"/>
        <v>20</v>
      </c>
      <c r="W1277" s="34">
        <f t="shared" si="597"/>
        <v>20</v>
      </c>
      <c r="X1277" s="34">
        <f t="shared" si="597"/>
        <v>20</v>
      </c>
      <c r="Y1277" s="34">
        <f t="shared" si="597"/>
        <v>20</v>
      </c>
      <c r="Z1277" s="34">
        <f t="shared" si="597"/>
        <v>20</v>
      </c>
      <c r="AA1277" s="34">
        <f t="shared" si="597"/>
        <v>20</v>
      </c>
      <c r="AB1277" s="34">
        <f t="shared" si="597"/>
        <v>20</v>
      </c>
      <c r="AC1277" s="34">
        <f t="shared" si="597"/>
        <v>20</v>
      </c>
      <c r="AD1277" s="34">
        <f t="shared" si="597"/>
        <v>20</v>
      </c>
      <c r="AE1277" s="34">
        <f t="shared" si="597"/>
        <v>20</v>
      </c>
      <c r="AF1277" s="34">
        <f t="shared" si="597"/>
        <v>20</v>
      </c>
      <c r="AG1277" s="34">
        <f t="shared" si="597"/>
        <v>20</v>
      </c>
      <c r="AH1277" s="34">
        <f t="shared" si="597"/>
        <v>20</v>
      </c>
      <c r="AI1277" s="34">
        <f t="shared" si="597"/>
        <v>20</v>
      </c>
      <c r="AJ1277" s="34">
        <f t="shared" si="597"/>
        <v>20</v>
      </c>
      <c r="AK1277" s="34">
        <f t="shared" si="597"/>
        <v>20</v>
      </c>
      <c r="AL1277" s="34">
        <f t="shared" si="597"/>
        <v>20</v>
      </c>
      <c r="AM1277" s="34">
        <f t="shared" si="597"/>
        <v>20</v>
      </c>
      <c r="AN1277" s="34">
        <f t="shared" si="597"/>
        <v>20</v>
      </c>
      <c r="AO1277" s="34">
        <f t="shared" si="597"/>
        <v>20</v>
      </c>
      <c r="AP1277" s="54"/>
      <c r="AQ1277" s="1"/>
    </row>
    <row r="1278" ht="15.0" hidden="1" customHeight="1">
      <c r="A1278" s="1"/>
      <c r="B1278" s="35"/>
      <c r="C1278" s="35"/>
      <c r="D1278" s="35"/>
      <c r="E1278" s="35"/>
      <c r="F1278" s="36" t="s">
        <v>25</v>
      </c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  <c r="S1278" s="38"/>
      <c r="T1278" s="37"/>
      <c r="U1278" s="38"/>
      <c r="V1278" s="37"/>
      <c r="W1278" s="37"/>
      <c r="X1278" s="37"/>
      <c r="Y1278" s="37"/>
      <c r="Z1278" s="37"/>
      <c r="AA1278" s="37"/>
      <c r="AB1278" s="37"/>
      <c r="AC1278" s="37"/>
      <c r="AD1278" s="38"/>
      <c r="AE1278" s="37"/>
      <c r="AF1278" s="37"/>
      <c r="AG1278" s="37"/>
      <c r="AH1278" s="37"/>
      <c r="AI1278" s="37"/>
      <c r="AJ1278" s="37"/>
      <c r="AK1278" s="37"/>
      <c r="AL1278" s="37"/>
      <c r="AM1278" s="37"/>
      <c r="AN1278" s="37"/>
      <c r="AO1278" s="37"/>
      <c r="AP1278" s="39">
        <f t="shared" ref="AP1278:AP1280" si="598">SUM(H1278:AO1278)</f>
        <v>0</v>
      </c>
      <c r="AQ1278" s="1"/>
    </row>
    <row r="1279" ht="15.0" hidden="1" customHeight="1">
      <c r="A1279" s="1"/>
      <c r="B1279" s="35"/>
      <c r="C1279" s="35"/>
      <c r="D1279" s="35"/>
      <c r="E1279" s="35"/>
      <c r="F1279" s="40" t="s">
        <v>94</v>
      </c>
      <c r="G1279" s="37"/>
      <c r="H1279" s="37"/>
      <c r="I1279" s="37"/>
      <c r="J1279" s="37"/>
      <c r="K1279" s="37"/>
      <c r="L1279" s="37"/>
      <c r="M1279" s="37"/>
      <c r="N1279" s="37"/>
      <c r="O1279" s="37"/>
      <c r="P1279" s="37"/>
      <c r="Q1279" s="37"/>
      <c r="R1279" s="37"/>
      <c r="S1279" s="38"/>
      <c r="T1279" s="37"/>
      <c r="U1279" s="38"/>
      <c r="V1279" s="37"/>
      <c r="W1279" s="37"/>
      <c r="X1279" s="37"/>
      <c r="Y1279" s="37"/>
      <c r="Z1279" s="37"/>
      <c r="AA1279" s="37"/>
      <c r="AB1279" s="37"/>
      <c r="AC1279" s="37"/>
      <c r="AD1279" s="38"/>
      <c r="AE1279" s="37"/>
      <c r="AF1279" s="37"/>
      <c r="AG1279" s="37"/>
      <c r="AH1279" s="37"/>
      <c r="AI1279" s="37"/>
      <c r="AJ1279" s="37"/>
      <c r="AK1279" s="37"/>
      <c r="AL1279" s="37"/>
      <c r="AM1279" s="37"/>
      <c r="AN1279" s="37"/>
      <c r="AO1279" s="37"/>
      <c r="AP1279" s="39">
        <f t="shared" si="598"/>
        <v>0</v>
      </c>
      <c r="AQ1279" s="1"/>
    </row>
    <row r="1280" ht="15.0" hidden="1" customHeight="1">
      <c r="A1280" s="1"/>
      <c r="B1280" s="35"/>
      <c r="C1280" s="35"/>
      <c r="D1280" s="35"/>
      <c r="E1280" s="35"/>
      <c r="F1280" s="14" t="s">
        <v>43</v>
      </c>
      <c r="G1280" s="37"/>
      <c r="H1280" s="38"/>
      <c r="I1280" s="38"/>
      <c r="J1280" s="38"/>
      <c r="K1280" s="38"/>
      <c r="L1280" s="38"/>
      <c r="M1280" s="38"/>
      <c r="N1280" s="38"/>
      <c r="O1280" s="38"/>
      <c r="P1280" s="38"/>
      <c r="Q1280" s="38"/>
      <c r="R1280" s="38"/>
      <c r="S1280" s="38"/>
      <c r="T1280" s="38"/>
      <c r="U1280" s="38"/>
      <c r="V1280" s="38"/>
      <c r="W1280" s="38"/>
      <c r="X1280" s="38"/>
      <c r="Y1280" s="38"/>
      <c r="Z1280" s="38"/>
      <c r="AA1280" s="38"/>
      <c r="AB1280" s="38"/>
      <c r="AC1280" s="38"/>
      <c r="AD1280" s="38"/>
      <c r="AE1280" s="38"/>
      <c r="AF1280" s="38"/>
      <c r="AG1280" s="38"/>
      <c r="AH1280" s="38"/>
      <c r="AI1280" s="38"/>
      <c r="AJ1280" s="38"/>
      <c r="AK1280" s="38"/>
      <c r="AL1280" s="38"/>
      <c r="AM1280" s="38"/>
      <c r="AN1280" s="38"/>
      <c r="AO1280" s="37"/>
      <c r="AP1280" s="39">
        <f t="shared" si="598"/>
        <v>0</v>
      </c>
      <c r="AQ1280" s="1"/>
    </row>
    <row r="1281" ht="15.75" hidden="1" customHeight="1">
      <c r="A1281" s="1"/>
      <c r="B1281" s="42"/>
      <c r="C1281" s="42"/>
      <c r="D1281" s="42"/>
      <c r="E1281" s="42"/>
      <c r="F1281" s="43" t="s">
        <v>30</v>
      </c>
      <c r="G1281" s="55"/>
      <c r="H1281" s="34">
        <f t="shared" ref="H1281:AN1281" si="599">H1277+H1278-H1279-H1280</f>
        <v>20</v>
      </c>
      <c r="I1281" s="34">
        <f t="shared" si="599"/>
        <v>20</v>
      </c>
      <c r="J1281" s="34">
        <f t="shared" si="599"/>
        <v>20</v>
      </c>
      <c r="K1281" s="34">
        <f t="shared" si="599"/>
        <v>20</v>
      </c>
      <c r="L1281" s="34">
        <f t="shared" si="599"/>
        <v>20</v>
      </c>
      <c r="M1281" s="34">
        <f t="shared" si="599"/>
        <v>20</v>
      </c>
      <c r="N1281" s="34">
        <f t="shared" si="599"/>
        <v>20</v>
      </c>
      <c r="O1281" s="34">
        <f t="shared" si="599"/>
        <v>20</v>
      </c>
      <c r="P1281" s="34">
        <f t="shared" si="599"/>
        <v>20</v>
      </c>
      <c r="Q1281" s="34">
        <f t="shared" si="599"/>
        <v>20</v>
      </c>
      <c r="R1281" s="34">
        <f t="shared" si="599"/>
        <v>20</v>
      </c>
      <c r="S1281" s="34">
        <f t="shared" si="599"/>
        <v>20</v>
      </c>
      <c r="T1281" s="34">
        <f t="shared" si="599"/>
        <v>20</v>
      </c>
      <c r="U1281" s="34">
        <f t="shared" si="599"/>
        <v>20</v>
      </c>
      <c r="V1281" s="34">
        <f t="shared" si="599"/>
        <v>20</v>
      </c>
      <c r="W1281" s="34">
        <f t="shared" si="599"/>
        <v>20</v>
      </c>
      <c r="X1281" s="34">
        <f t="shared" si="599"/>
        <v>20</v>
      </c>
      <c r="Y1281" s="34">
        <f t="shared" si="599"/>
        <v>20</v>
      </c>
      <c r="Z1281" s="34">
        <f t="shared" si="599"/>
        <v>20</v>
      </c>
      <c r="AA1281" s="34">
        <f t="shared" si="599"/>
        <v>20</v>
      </c>
      <c r="AB1281" s="34">
        <f t="shared" si="599"/>
        <v>20</v>
      </c>
      <c r="AC1281" s="34">
        <f t="shared" si="599"/>
        <v>20</v>
      </c>
      <c r="AD1281" s="34">
        <f t="shared" si="599"/>
        <v>20</v>
      </c>
      <c r="AE1281" s="34">
        <f t="shared" si="599"/>
        <v>20</v>
      </c>
      <c r="AF1281" s="34">
        <f t="shared" si="599"/>
        <v>20</v>
      </c>
      <c r="AG1281" s="34">
        <f t="shared" si="599"/>
        <v>20</v>
      </c>
      <c r="AH1281" s="34">
        <f t="shared" si="599"/>
        <v>20</v>
      </c>
      <c r="AI1281" s="34">
        <f t="shared" si="599"/>
        <v>20</v>
      </c>
      <c r="AJ1281" s="34">
        <f t="shared" si="599"/>
        <v>20</v>
      </c>
      <c r="AK1281" s="34">
        <f t="shared" si="599"/>
        <v>20</v>
      </c>
      <c r="AL1281" s="34">
        <f t="shared" si="599"/>
        <v>20</v>
      </c>
      <c r="AM1281" s="34">
        <f t="shared" si="599"/>
        <v>20</v>
      </c>
      <c r="AN1281" s="34">
        <f t="shared" si="599"/>
        <v>20</v>
      </c>
      <c r="AO1281" s="34"/>
      <c r="AP1281" s="45">
        <f>AO1277</f>
        <v>20</v>
      </c>
      <c r="AQ1281" s="1"/>
    </row>
    <row r="1282" ht="15.75" hidden="1" customHeight="1">
      <c r="A1282" s="1"/>
      <c r="B1282" s="32"/>
      <c r="C1282" s="57"/>
      <c r="D1282" s="32"/>
      <c r="E1282" s="109"/>
      <c r="F1282" s="14" t="s">
        <v>23</v>
      </c>
      <c r="G1282" s="44"/>
      <c r="H1282" s="21">
        <v>0.0</v>
      </c>
      <c r="I1282" s="34">
        <f t="shared" ref="I1282:AO1282" si="600">H1286</f>
        <v>0</v>
      </c>
      <c r="J1282" s="34">
        <f t="shared" si="600"/>
        <v>0</v>
      </c>
      <c r="K1282" s="34">
        <f t="shared" si="600"/>
        <v>0</v>
      </c>
      <c r="L1282" s="34">
        <f t="shared" si="600"/>
        <v>0</v>
      </c>
      <c r="M1282" s="34">
        <f t="shared" si="600"/>
        <v>0</v>
      </c>
      <c r="N1282" s="34">
        <f t="shared" si="600"/>
        <v>0</v>
      </c>
      <c r="O1282" s="34">
        <f t="shared" si="600"/>
        <v>0</v>
      </c>
      <c r="P1282" s="34">
        <f t="shared" si="600"/>
        <v>0</v>
      </c>
      <c r="Q1282" s="34">
        <f t="shared" si="600"/>
        <v>0</v>
      </c>
      <c r="R1282" s="34">
        <f t="shared" si="600"/>
        <v>0</v>
      </c>
      <c r="S1282" s="34">
        <f t="shared" si="600"/>
        <v>0</v>
      </c>
      <c r="T1282" s="34">
        <f t="shared" si="600"/>
        <v>0</v>
      </c>
      <c r="U1282" s="34">
        <f t="shared" si="600"/>
        <v>0</v>
      </c>
      <c r="V1282" s="34">
        <f t="shared" si="600"/>
        <v>0</v>
      </c>
      <c r="W1282" s="34">
        <f t="shared" si="600"/>
        <v>0</v>
      </c>
      <c r="X1282" s="34">
        <f t="shared" si="600"/>
        <v>0</v>
      </c>
      <c r="Y1282" s="34">
        <f t="shared" si="600"/>
        <v>0</v>
      </c>
      <c r="Z1282" s="34">
        <f t="shared" si="600"/>
        <v>0</v>
      </c>
      <c r="AA1282" s="34">
        <f t="shared" si="600"/>
        <v>0</v>
      </c>
      <c r="AB1282" s="34">
        <f t="shared" si="600"/>
        <v>0</v>
      </c>
      <c r="AC1282" s="34">
        <f t="shared" si="600"/>
        <v>0</v>
      </c>
      <c r="AD1282" s="34">
        <f t="shared" si="600"/>
        <v>0</v>
      </c>
      <c r="AE1282" s="34">
        <f t="shared" si="600"/>
        <v>0</v>
      </c>
      <c r="AF1282" s="34">
        <f t="shared" si="600"/>
        <v>0</v>
      </c>
      <c r="AG1282" s="34">
        <f t="shared" si="600"/>
        <v>0</v>
      </c>
      <c r="AH1282" s="34">
        <f t="shared" si="600"/>
        <v>0</v>
      </c>
      <c r="AI1282" s="34">
        <f t="shared" si="600"/>
        <v>0</v>
      </c>
      <c r="AJ1282" s="34">
        <f t="shared" si="600"/>
        <v>0</v>
      </c>
      <c r="AK1282" s="34">
        <f t="shared" si="600"/>
        <v>0</v>
      </c>
      <c r="AL1282" s="34">
        <f t="shared" si="600"/>
        <v>0</v>
      </c>
      <c r="AM1282" s="34">
        <f t="shared" si="600"/>
        <v>0</v>
      </c>
      <c r="AN1282" s="34">
        <f t="shared" si="600"/>
        <v>0</v>
      </c>
      <c r="AO1282" s="34">
        <f t="shared" si="600"/>
        <v>0</v>
      </c>
      <c r="AP1282" s="54"/>
      <c r="AQ1282" s="1"/>
    </row>
    <row r="1283" ht="15.0" hidden="1" customHeight="1">
      <c r="A1283" s="1"/>
      <c r="B1283" s="35"/>
      <c r="C1283" s="35"/>
      <c r="D1283" s="35"/>
      <c r="E1283" s="35"/>
      <c r="F1283" s="36" t="s">
        <v>25</v>
      </c>
      <c r="G1283" s="37"/>
      <c r="H1283" s="37"/>
      <c r="I1283" s="37"/>
      <c r="J1283" s="37"/>
      <c r="K1283" s="37"/>
      <c r="L1283" s="37"/>
      <c r="M1283" s="37"/>
      <c r="N1283" s="37"/>
      <c r="O1283" s="37"/>
      <c r="P1283" s="37"/>
      <c r="Q1283" s="37"/>
      <c r="R1283" s="37"/>
      <c r="S1283" s="38"/>
      <c r="T1283" s="37"/>
      <c r="U1283" s="38"/>
      <c r="V1283" s="37"/>
      <c r="W1283" s="37"/>
      <c r="X1283" s="37"/>
      <c r="Y1283" s="37"/>
      <c r="Z1283" s="37"/>
      <c r="AA1283" s="37"/>
      <c r="AB1283" s="37"/>
      <c r="AC1283" s="37"/>
      <c r="AD1283" s="38"/>
      <c r="AE1283" s="37"/>
      <c r="AF1283" s="37"/>
      <c r="AG1283" s="37"/>
      <c r="AH1283" s="37"/>
      <c r="AI1283" s="37"/>
      <c r="AJ1283" s="37"/>
      <c r="AK1283" s="37"/>
      <c r="AL1283" s="37"/>
      <c r="AM1283" s="37"/>
      <c r="AN1283" s="37"/>
      <c r="AO1283" s="37"/>
      <c r="AP1283" s="39">
        <f t="shared" ref="AP1283:AP1285" si="601">SUM(H1283:AO1283)</f>
        <v>0</v>
      </c>
      <c r="AQ1283" s="1"/>
    </row>
    <row r="1284" ht="15.0" hidden="1" customHeight="1">
      <c r="A1284" s="1"/>
      <c r="B1284" s="35"/>
      <c r="C1284" s="35"/>
      <c r="D1284" s="35"/>
      <c r="E1284" s="35"/>
      <c r="F1284" s="40" t="s">
        <v>94</v>
      </c>
      <c r="G1284" s="37"/>
      <c r="H1284" s="37"/>
      <c r="I1284" s="37"/>
      <c r="J1284" s="37"/>
      <c r="K1284" s="37"/>
      <c r="L1284" s="37"/>
      <c r="M1284" s="37"/>
      <c r="N1284" s="37"/>
      <c r="O1284" s="37"/>
      <c r="P1284" s="37"/>
      <c r="Q1284" s="37"/>
      <c r="R1284" s="37"/>
      <c r="S1284" s="38"/>
      <c r="T1284" s="37"/>
      <c r="U1284" s="38"/>
      <c r="V1284" s="37"/>
      <c r="W1284" s="37"/>
      <c r="X1284" s="37"/>
      <c r="Y1284" s="37"/>
      <c r="Z1284" s="37"/>
      <c r="AA1284" s="37"/>
      <c r="AB1284" s="37"/>
      <c r="AC1284" s="37"/>
      <c r="AD1284" s="38"/>
      <c r="AE1284" s="37"/>
      <c r="AF1284" s="37"/>
      <c r="AG1284" s="37"/>
      <c r="AH1284" s="37"/>
      <c r="AI1284" s="37"/>
      <c r="AJ1284" s="37"/>
      <c r="AK1284" s="37"/>
      <c r="AL1284" s="37"/>
      <c r="AM1284" s="37"/>
      <c r="AN1284" s="37"/>
      <c r="AO1284" s="37"/>
      <c r="AP1284" s="39">
        <f t="shared" si="601"/>
        <v>0</v>
      </c>
      <c r="AQ1284" s="1"/>
    </row>
    <row r="1285" ht="15.0" hidden="1" customHeight="1">
      <c r="A1285" s="1"/>
      <c r="B1285" s="35"/>
      <c r="C1285" s="35"/>
      <c r="D1285" s="35"/>
      <c r="E1285" s="35"/>
      <c r="F1285" s="14" t="s">
        <v>43</v>
      </c>
      <c r="G1285" s="37"/>
      <c r="H1285" s="38"/>
      <c r="I1285" s="38"/>
      <c r="J1285" s="38"/>
      <c r="K1285" s="38"/>
      <c r="L1285" s="38"/>
      <c r="M1285" s="38"/>
      <c r="N1285" s="38"/>
      <c r="O1285" s="38"/>
      <c r="P1285" s="38"/>
      <c r="Q1285" s="38"/>
      <c r="R1285" s="38"/>
      <c r="S1285" s="38"/>
      <c r="T1285" s="38"/>
      <c r="U1285" s="38"/>
      <c r="V1285" s="38"/>
      <c r="W1285" s="38"/>
      <c r="X1285" s="38"/>
      <c r="Y1285" s="38"/>
      <c r="Z1285" s="38"/>
      <c r="AA1285" s="38"/>
      <c r="AB1285" s="38"/>
      <c r="AC1285" s="38"/>
      <c r="AD1285" s="38"/>
      <c r="AE1285" s="38"/>
      <c r="AF1285" s="38"/>
      <c r="AG1285" s="38"/>
      <c r="AH1285" s="38"/>
      <c r="AI1285" s="38"/>
      <c r="AJ1285" s="38"/>
      <c r="AK1285" s="38"/>
      <c r="AL1285" s="38"/>
      <c r="AM1285" s="38"/>
      <c r="AN1285" s="38"/>
      <c r="AO1285" s="37"/>
      <c r="AP1285" s="39">
        <f t="shared" si="601"/>
        <v>0</v>
      </c>
      <c r="AQ1285" s="1"/>
    </row>
    <row r="1286" ht="15.75" hidden="1" customHeight="1">
      <c r="A1286" s="1"/>
      <c r="B1286" s="42"/>
      <c r="C1286" s="42"/>
      <c r="D1286" s="42"/>
      <c r="E1286" s="42"/>
      <c r="F1286" s="43" t="s">
        <v>30</v>
      </c>
      <c r="G1286" s="55"/>
      <c r="H1286" s="34">
        <f t="shared" ref="H1286:AN1286" si="602">H1282+H1283-H1284-H1285</f>
        <v>0</v>
      </c>
      <c r="I1286" s="34">
        <f t="shared" si="602"/>
        <v>0</v>
      </c>
      <c r="J1286" s="34">
        <f t="shared" si="602"/>
        <v>0</v>
      </c>
      <c r="K1286" s="34">
        <f t="shared" si="602"/>
        <v>0</v>
      </c>
      <c r="L1286" s="34">
        <f t="shared" si="602"/>
        <v>0</v>
      </c>
      <c r="M1286" s="34">
        <f t="shared" si="602"/>
        <v>0</v>
      </c>
      <c r="N1286" s="34">
        <f t="shared" si="602"/>
        <v>0</v>
      </c>
      <c r="O1286" s="34">
        <f t="shared" si="602"/>
        <v>0</v>
      </c>
      <c r="P1286" s="34">
        <f t="shared" si="602"/>
        <v>0</v>
      </c>
      <c r="Q1286" s="34">
        <f t="shared" si="602"/>
        <v>0</v>
      </c>
      <c r="R1286" s="34">
        <f t="shared" si="602"/>
        <v>0</v>
      </c>
      <c r="S1286" s="34">
        <f t="shared" si="602"/>
        <v>0</v>
      </c>
      <c r="T1286" s="34">
        <f t="shared" si="602"/>
        <v>0</v>
      </c>
      <c r="U1286" s="34">
        <f t="shared" si="602"/>
        <v>0</v>
      </c>
      <c r="V1286" s="34">
        <f t="shared" si="602"/>
        <v>0</v>
      </c>
      <c r="W1286" s="34">
        <f t="shared" si="602"/>
        <v>0</v>
      </c>
      <c r="X1286" s="34">
        <f t="shared" si="602"/>
        <v>0</v>
      </c>
      <c r="Y1286" s="34">
        <f t="shared" si="602"/>
        <v>0</v>
      </c>
      <c r="Z1286" s="34">
        <f t="shared" si="602"/>
        <v>0</v>
      </c>
      <c r="AA1286" s="34">
        <f t="shared" si="602"/>
        <v>0</v>
      </c>
      <c r="AB1286" s="34">
        <f t="shared" si="602"/>
        <v>0</v>
      </c>
      <c r="AC1286" s="34">
        <f t="shared" si="602"/>
        <v>0</v>
      </c>
      <c r="AD1286" s="34">
        <f t="shared" si="602"/>
        <v>0</v>
      </c>
      <c r="AE1286" s="34">
        <f t="shared" si="602"/>
        <v>0</v>
      </c>
      <c r="AF1286" s="34">
        <f t="shared" si="602"/>
        <v>0</v>
      </c>
      <c r="AG1286" s="34">
        <f t="shared" si="602"/>
        <v>0</v>
      </c>
      <c r="AH1286" s="34">
        <f t="shared" si="602"/>
        <v>0</v>
      </c>
      <c r="AI1286" s="34">
        <f t="shared" si="602"/>
        <v>0</v>
      </c>
      <c r="AJ1286" s="34">
        <f t="shared" si="602"/>
        <v>0</v>
      </c>
      <c r="AK1286" s="34">
        <f t="shared" si="602"/>
        <v>0</v>
      </c>
      <c r="AL1286" s="34">
        <f t="shared" si="602"/>
        <v>0</v>
      </c>
      <c r="AM1286" s="34">
        <f t="shared" si="602"/>
        <v>0</v>
      </c>
      <c r="AN1286" s="34">
        <f t="shared" si="602"/>
        <v>0</v>
      </c>
      <c r="AO1286" s="34"/>
      <c r="AP1286" s="45">
        <f>AO1282</f>
        <v>0</v>
      </c>
      <c r="AQ1286" s="1"/>
    </row>
    <row r="1287" ht="15.75" hidden="1" customHeight="1">
      <c r="A1287" s="1"/>
      <c r="B1287" s="32"/>
      <c r="C1287" s="57"/>
      <c r="D1287" s="32"/>
      <c r="E1287" s="109"/>
      <c r="F1287" s="14" t="s">
        <v>23</v>
      </c>
      <c r="G1287" s="44"/>
      <c r="H1287" s="21">
        <v>0.0</v>
      </c>
      <c r="I1287" s="34">
        <f t="shared" ref="I1287:AO1287" si="603">H1291</f>
        <v>0</v>
      </c>
      <c r="J1287" s="34">
        <f t="shared" si="603"/>
        <v>0</v>
      </c>
      <c r="K1287" s="34">
        <f t="shared" si="603"/>
        <v>0</v>
      </c>
      <c r="L1287" s="34">
        <f t="shared" si="603"/>
        <v>0</v>
      </c>
      <c r="M1287" s="34">
        <f t="shared" si="603"/>
        <v>0</v>
      </c>
      <c r="N1287" s="34">
        <f t="shared" si="603"/>
        <v>0</v>
      </c>
      <c r="O1287" s="34">
        <f t="shared" si="603"/>
        <v>0</v>
      </c>
      <c r="P1287" s="34">
        <f t="shared" si="603"/>
        <v>0</v>
      </c>
      <c r="Q1287" s="34">
        <f t="shared" si="603"/>
        <v>0</v>
      </c>
      <c r="R1287" s="34">
        <f t="shared" si="603"/>
        <v>0</v>
      </c>
      <c r="S1287" s="34">
        <f t="shared" si="603"/>
        <v>0</v>
      </c>
      <c r="T1287" s="34">
        <f t="shared" si="603"/>
        <v>0</v>
      </c>
      <c r="U1287" s="34">
        <f t="shared" si="603"/>
        <v>0</v>
      </c>
      <c r="V1287" s="34">
        <f t="shared" si="603"/>
        <v>0</v>
      </c>
      <c r="W1287" s="34">
        <f t="shared" si="603"/>
        <v>0</v>
      </c>
      <c r="X1287" s="34">
        <f t="shared" si="603"/>
        <v>0</v>
      </c>
      <c r="Y1287" s="34">
        <f t="shared" si="603"/>
        <v>0</v>
      </c>
      <c r="Z1287" s="34">
        <f t="shared" si="603"/>
        <v>0</v>
      </c>
      <c r="AA1287" s="34">
        <f t="shared" si="603"/>
        <v>0</v>
      </c>
      <c r="AB1287" s="34">
        <f t="shared" si="603"/>
        <v>0</v>
      </c>
      <c r="AC1287" s="34">
        <f t="shared" si="603"/>
        <v>0</v>
      </c>
      <c r="AD1287" s="34">
        <f t="shared" si="603"/>
        <v>0</v>
      </c>
      <c r="AE1287" s="34">
        <f t="shared" si="603"/>
        <v>0</v>
      </c>
      <c r="AF1287" s="34">
        <f t="shared" si="603"/>
        <v>0</v>
      </c>
      <c r="AG1287" s="34">
        <f t="shared" si="603"/>
        <v>0</v>
      </c>
      <c r="AH1287" s="34">
        <f t="shared" si="603"/>
        <v>0</v>
      </c>
      <c r="AI1287" s="34">
        <f t="shared" si="603"/>
        <v>0</v>
      </c>
      <c r="AJ1287" s="34">
        <f t="shared" si="603"/>
        <v>0</v>
      </c>
      <c r="AK1287" s="34">
        <f t="shared" si="603"/>
        <v>0</v>
      </c>
      <c r="AL1287" s="34">
        <f t="shared" si="603"/>
        <v>0</v>
      </c>
      <c r="AM1287" s="34">
        <f t="shared" si="603"/>
        <v>0</v>
      </c>
      <c r="AN1287" s="34">
        <f t="shared" si="603"/>
        <v>0</v>
      </c>
      <c r="AO1287" s="34">
        <f t="shared" si="603"/>
        <v>0</v>
      </c>
      <c r="AP1287" s="54"/>
      <c r="AQ1287" s="1"/>
    </row>
    <row r="1288" ht="15.0" hidden="1" customHeight="1">
      <c r="A1288" s="1"/>
      <c r="B1288" s="35"/>
      <c r="C1288" s="35"/>
      <c r="D1288" s="35"/>
      <c r="E1288" s="35"/>
      <c r="F1288" s="36" t="s">
        <v>25</v>
      </c>
      <c r="G1288" s="37"/>
      <c r="H1288" s="37"/>
      <c r="I1288" s="37"/>
      <c r="J1288" s="37"/>
      <c r="K1288" s="37"/>
      <c r="L1288" s="37"/>
      <c r="M1288" s="37"/>
      <c r="N1288" s="37"/>
      <c r="O1288" s="37"/>
      <c r="P1288" s="37"/>
      <c r="Q1288" s="37"/>
      <c r="R1288" s="37"/>
      <c r="S1288" s="38"/>
      <c r="T1288" s="37"/>
      <c r="U1288" s="38"/>
      <c r="V1288" s="37"/>
      <c r="W1288" s="37"/>
      <c r="X1288" s="37"/>
      <c r="Y1288" s="37"/>
      <c r="Z1288" s="37"/>
      <c r="AA1288" s="37"/>
      <c r="AB1288" s="37"/>
      <c r="AC1288" s="37"/>
      <c r="AD1288" s="38"/>
      <c r="AE1288" s="37"/>
      <c r="AF1288" s="37"/>
      <c r="AG1288" s="37"/>
      <c r="AH1288" s="37"/>
      <c r="AI1288" s="37"/>
      <c r="AJ1288" s="37"/>
      <c r="AK1288" s="37"/>
      <c r="AL1288" s="37"/>
      <c r="AM1288" s="37"/>
      <c r="AN1288" s="37"/>
      <c r="AO1288" s="37"/>
      <c r="AP1288" s="39">
        <f t="shared" ref="AP1288:AP1290" si="604">SUM(H1288:AO1288)</f>
        <v>0</v>
      </c>
      <c r="AQ1288" s="1"/>
    </row>
    <row r="1289" ht="15.0" hidden="1" customHeight="1">
      <c r="A1289" s="1"/>
      <c r="B1289" s="35"/>
      <c r="C1289" s="35"/>
      <c r="D1289" s="35"/>
      <c r="E1289" s="35"/>
      <c r="F1289" s="40" t="s">
        <v>94</v>
      </c>
      <c r="G1289" s="37"/>
      <c r="H1289" s="37"/>
      <c r="I1289" s="37"/>
      <c r="J1289" s="37"/>
      <c r="K1289" s="37"/>
      <c r="L1289" s="37"/>
      <c r="M1289" s="37"/>
      <c r="N1289" s="37"/>
      <c r="O1289" s="37"/>
      <c r="P1289" s="37"/>
      <c r="Q1289" s="37"/>
      <c r="R1289" s="37"/>
      <c r="S1289" s="38"/>
      <c r="T1289" s="37"/>
      <c r="U1289" s="38"/>
      <c r="V1289" s="37"/>
      <c r="W1289" s="37"/>
      <c r="X1289" s="37"/>
      <c r="Y1289" s="37"/>
      <c r="Z1289" s="37"/>
      <c r="AA1289" s="37"/>
      <c r="AB1289" s="37"/>
      <c r="AC1289" s="37"/>
      <c r="AD1289" s="38"/>
      <c r="AE1289" s="37"/>
      <c r="AF1289" s="37"/>
      <c r="AG1289" s="37"/>
      <c r="AH1289" s="37"/>
      <c r="AI1289" s="37"/>
      <c r="AJ1289" s="37"/>
      <c r="AK1289" s="37"/>
      <c r="AL1289" s="37"/>
      <c r="AM1289" s="37"/>
      <c r="AN1289" s="37"/>
      <c r="AO1289" s="37"/>
      <c r="AP1289" s="39">
        <f t="shared" si="604"/>
        <v>0</v>
      </c>
      <c r="AQ1289" s="1"/>
    </row>
    <row r="1290" ht="15.0" hidden="1" customHeight="1">
      <c r="A1290" s="1"/>
      <c r="B1290" s="35"/>
      <c r="C1290" s="35"/>
      <c r="D1290" s="35"/>
      <c r="E1290" s="35"/>
      <c r="F1290" s="14" t="s">
        <v>43</v>
      </c>
      <c r="G1290" s="37"/>
      <c r="H1290" s="38"/>
      <c r="I1290" s="38"/>
      <c r="J1290" s="38"/>
      <c r="K1290" s="38"/>
      <c r="L1290" s="38"/>
      <c r="M1290" s="38"/>
      <c r="N1290" s="38"/>
      <c r="O1290" s="38"/>
      <c r="P1290" s="38"/>
      <c r="Q1290" s="38"/>
      <c r="R1290" s="38"/>
      <c r="S1290" s="38"/>
      <c r="T1290" s="38"/>
      <c r="U1290" s="38"/>
      <c r="V1290" s="38"/>
      <c r="W1290" s="38"/>
      <c r="X1290" s="38"/>
      <c r="Y1290" s="38"/>
      <c r="Z1290" s="38"/>
      <c r="AA1290" s="38"/>
      <c r="AB1290" s="38"/>
      <c r="AC1290" s="38"/>
      <c r="AD1290" s="38"/>
      <c r="AE1290" s="38"/>
      <c r="AF1290" s="38"/>
      <c r="AG1290" s="38"/>
      <c r="AH1290" s="38"/>
      <c r="AI1290" s="38"/>
      <c r="AJ1290" s="38"/>
      <c r="AK1290" s="38"/>
      <c r="AL1290" s="38"/>
      <c r="AM1290" s="38"/>
      <c r="AN1290" s="38"/>
      <c r="AO1290" s="37"/>
      <c r="AP1290" s="39">
        <f t="shared" si="604"/>
        <v>0</v>
      </c>
      <c r="AQ1290" s="1"/>
    </row>
    <row r="1291" ht="15.75" hidden="1" customHeight="1">
      <c r="A1291" s="1"/>
      <c r="B1291" s="42"/>
      <c r="C1291" s="42"/>
      <c r="D1291" s="42"/>
      <c r="E1291" s="42"/>
      <c r="F1291" s="43" t="s">
        <v>30</v>
      </c>
      <c r="G1291" s="55"/>
      <c r="H1291" s="34">
        <f t="shared" ref="H1291:AN1291" si="605">H1287+H1288-H1289-H1290</f>
        <v>0</v>
      </c>
      <c r="I1291" s="34">
        <f t="shared" si="605"/>
        <v>0</v>
      </c>
      <c r="J1291" s="34">
        <f t="shared" si="605"/>
        <v>0</v>
      </c>
      <c r="K1291" s="34">
        <f t="shared" si="605"/>
        <v>0</v>
      </c>
      <c r="L1291" s="34">
        <f t="shared" si="605"/>
        <v>0</v>
      </c>
      <c r="M1291" s="34">
        <f t="shared" si="605"/>
        <v>0</v>
      </c>
      <c r="N1291" s="34">
        <f t="shared" si="605"/>
        <v>0</v>
      </c>
      <c r="O1291" s="34">
        <f t="shared" si="605"/>
        <v>0</v>
      </c>
      <c r="P1291" s="34">
        <f t="shared" si="605"/>
        <v>0</v>
      </c>
      <c r="Q1291" s="34">
        <f t="shared" si="605"/>
        <v>0</v>
      </c>
      <c r="R1291" s="34">
        <f t="shared" si="605"/>
        <v>0</v>
      </c>
      <c r="S1291" s="34">
        <f t="shared" si="605"/>
        <v>0</v>
      </c>
      <c r="T1291" s="34">
        <f t="shared" si="605"/>
        <v>0</v>
      </c>
      <c r="U1291" s="34">
        <f t="shared" si="605"/>
        <v>0</v>
      </c>
      <c r="V1291" s="34">
        <f t="shared" si="605"/>
        <v>0</v>
      </c>
      <c r="W1291" s="34">
        <f t="shared" si="605"/>
        <v>0</v>
      </c>
      <c r="X1291" s="34">
        <f t="shared" si="605"/>
        <v>0</v>
      </c>
      <c r="Y1291" s="34">
        <f t="shared" si="605"/>
        <v>0</v>
      </c>
      <c r="Z1291" s="34">
        <f t="shared" si="605"/>
        <v>0</v>
      </c>
      <c r="AA1291" s="34">
        <f t="shared" si="605"/>
        <v>0</v>
      </c>
      <c r="AB1291" s="34">
        <f t="shared" si="605"/>
        <v>0</v>
      </c>
      <c r="AC1291" s="34">
        <f t="shared" si="605"/>
        <v>0</v>
      </c>
      <c r="AD1291" s="34">
        <f t="shared" si="605"/>
        <v>0</v>
      </c>
      <c r="AE1291" s="34">
        <f t="shared" si="605"/>
        <v>0</v>
      </c>
      <c r="AF1291" s="34">
        <f t="shared" si="605"/>
        <v>0</v>
      </c>
      <c r="AG1291" s="34">
        <f t="shared" si="605"/>
        <v>0</v>
      </c>
      <c r="AH1291" s="34">
        <f t="shared" si="605"/>
        <v>0</v>
      </c>
      <c r="AI1291" s="34">
        <f t="shared" si="605"/>
        <v>0</v>
      </c>
      <c r="AJ1291" s="34">
        <f t="shared" si="605"/>
        <v>0</v>
      </c>
      <c r="AK1291" s="34">
        <f t="shared" si="605"/>
        <v>0</v>
      </c>
      <c r="AL1291" s="34">
        <f t="shared" si="605"/>
        <v>0</v>
      </c>
      <c r="AM1291" s="34">
        <f t="shared" si="605"/>
        <v>0</v>
      </c>
      <c r="AN1291" s="34">
        <f t="shared" si="605"/>
        <v>0</v>
      </c>
      <c r="AO1291" s="34"/>
      <c r="AP1291" s="45">
        <f>AO1287</f>
        <v>0</v>
      </c>
      <c r="AQ1291" s="1"/>
    </row>
    <row r="1292" ht="15.75" hidden="1" customHeight="1">
      <c r="A1292" s="1"/>
      <c r="B1292" s="32"/>
      <c r="C1292" s="57" t="s">
        <v>421</v>
      </c>
      <c r="D1292" s="32" t="s">
        <v>433</v>
      </c>
      <c r="E1292" s="109" t="s">
        <v>430</v>
      </c>
      <c r="F1292" s="14" t="s">
        <v>23</v>
      </c>
      <c r="G1292" s="44"/>
      <c r="H1292" s="21">
        <v>3.0</v>
      </c>
      <c r="I1292" s="34">
        <f t="shared" ref="I1292:AO1292" si="606">H1296</f>
        <v>3</v>
      </c>
      <c r="J1292" s="34">
        <f t="shared" si="606"/>
        <v>3</v>
      </c>
      <c r="K1292" s="34">
        <f t="shared" si="606"/>
        <v>3</v>
      </c>
      <c r="L1292" s="34">
        <f t="shared" si="606"/>
        <v>3</v>
      </c>
      <c r="M1292" s="34">
        <f t="shared" si="606"/>
        <v>3</v>
      </c>
      <c r="N1292" s="34">
        <f t="shared" si="606"/>
        <v>3</v>
      </c>
      <c r="O1292" s="34">
        <f t="shared" si="606"/>
        <v>3</v>
      </c>
      <c r="P1292" s="34">
        <f t="shared" si="606"/>
        <v>3</v>
      </c>
      <c r="Q1292" s="34">
        <f t="shared" si="606"/>
        <v>3</v>
      </c>
      <c r="R1292" s="34">
        <f t="shared" si="606"/>
        <v>3</v>
      </c>
      <c r="S1292" s="34">
        <f t="shared" si="606"/>
        <v>3</v>
      </c>
      <c r="T1292" s="34">
        <f t="shared" si="606"/>
        <v>3</v>
      </c>
      <c r="U1292" s="34">
        <f t="shared" si="606"/>
        <v>3</v>
      </c>
      <c r="V1292" s="34">
        <f t="shared" si="606"/>
        <v>3</v>
      </c>
      <c r="W1292" s="34">
        <f t="shared" si="606"/>
        <v>3</v>
      </c>
      <c r="X1292" s="34">
        <f t="shared" si="606"/>
        <v>3</v>
      </c>
      <c r="Y1292" s="34">
        <f t="shared" si="606"/>
        <v>3</v>
      </c>
      <c r="Z1292" s="34">
        <f t="shared" si="606"/>
        <v>3</v>
      </c>
      <c r="AA1292" s="34">
        <f t="shared" si="606"/>
        <v>3</v>
      </c>
      <c r="AB1292" s="34">
        <f t="shared" si="606"/>
        <v>3</v>
      </c>
      <c r="AC1292" s="34">
        <f t="shared" si="606"/>
        <v>3</v>
      </c>
      <c r="AD1292" s="34">
        <f t="shared" si="606"/>
        <v>3</v>
      </c>
      <c r="AE1292" s="34">
        <f t="shared" si="606"/>
        <v>3</v>
      </c>
      <c r="AF1292" s="34">
        <f t="shared" si="606"/>
        <v>3</v>
      </c>
      <c r="AG1292" s="34">
        <f t="shared" si="606"/>
        <v>3</v>
      </c>
      <c r="AH1292" s="34">
        <f t="shared" si="606"/>
        <v>3</v>
      </c>
      <c r="AI1292" s="34">
        <f t="shared" si="606"/>
        <v>3</v>
      </c>
      <c r="AJ1292" s="34">
        <f t="shared" si="606"/>
        <v>3</v>
      </c>
      <c r="AK1292" s="34">
        <f t="shared" si="606"/>
        <v>3</v>
      </c>
      <c r="AL1292" s="34">
        <f t="shared" si="606"/>
        <v>3</v>
      </c>
      <c r="AM1292" s="34">
        <f t="shared" si="606"/>
        <v>3</v>
      </c>
      <c r="AN1292" s="34">
        <f t="shared" si="606"/>
        <v>3</v>
      </c>
      <c r="AO1292" s="34">
        <f t="shared" si="606"/>
        <v>3</v>
      </c>
      <c r="AP1292" s="54"/>
      <c r="AQ1292" s="1"/>
    </row>
    <row r="1293" ht="15.0" hidden="1" customHeight="1">
      <c r="A1293" s="1"/>
      <c r="B1293" s="35"/>
      <c r="C1293" s="35"/>
      <c r="D1293" s="35"/>
      <c r="E1293" s="35"/>
      <c r="F1293" s="36" t="s">
        <v>25</v>
      </c>
      <c r="G1293" s="37"/>
      <c r="H1293" s="37"/>
      <c r="I1293" s="37"/>
      <c r="J1293" s="37"/>
      <c r="K1293" s="37"/>
      <c r="L1293" s="37"/>
      <c r="M1293" s="37"/>
      <c r="N1293" s="37"/>
      <c r="O1293" s="37"/>
      <c r="P1293" s="37"/>
      <c r="Q1293" s="37"/>
      <c r="R1293" s="37"/>
      <c r="S1293" s="38"/>
      <c r="T1293" s="37"/>
      <c r="U1293" s="38"/>
      <c r="V1293" s="37"/>
      <c r="W1293" s="37"/>
      <c r="X1293" s="37"/>
      <c r="Y1293" s="37"/>
      <c r="Z1293" s="37"/>
      <c r="AA1293" s="37"/>
      <c r="AB1293" s="37"/>
      <c r="AC1293" s="37"/>
      <c r="AD1293" s="38"/>
      <c r="AE1293" s="37"/>
      <c r="AF1293" s="37"/>
      <c r="AG1293" s="37"/>
      <c r="AH1293" s="37"/>
      <c r="AI1293" s="37"/>
      <c r="AJ1293" s="37"/>
      <c r="AK1293" s="37"/>
      <c r="AL1293" s="37"/>
      <c r="AM1293" s="37"/>
      <c r="AN1293" s="37"/>
      <c r="AO1293" s="37"/>
      <c r="AP1293" s="39">
        <f t="shared" ref="AP1293:AP1295" si="607">SUM(H1293:AO1293)</f>
        <v>0</v>
      </c>
      <c r="AQ1293" s="1"/>
    </row>
    <row r="1294" ht="15.0" hidden="1" customHeight="1">
      <c r="A1294" s="1"/>
      <c r="B1294" s="35"/>
      <c r="C1294" s="35"/>
      <c r="D1294" s="35"/>
      <c r="E1294" s="35"/>
      <c r="F1294" s="40" t="s">
        <v>94</v>
      </c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  <c r="S1294" s="38"/>
      <c r="T1294" s="37"/>
      <c r="U1294" s="38"/>
      <c r="V1294" s="37"/>
      <c r="W1294" s="37"/>
      <c r="X1294" s="37"/>
      <c r="Y1294" s="37"/>
      <c r="Z1294" s="37"/>
      <c r="AA1294" s="37"/>
      <c r="AB1294" s="37"/>
      <c r="AC1294" s="37"/>
      <c r="AD1294" s="38"/>
      <c r="AE1294" s="37"/>
      <c r="AF1294" s="37"/>
      <c r="AG1294" s="37"/>
      <c r="AH1294" s="37"/>
      <c r="AI1294" s="37"/>
      <c r="AJ1294" s="37"/>
      <c r="AK1294" s="37"/>
      <c r="AL1294" s="37"/>
      <c r="AM1294" s="37"/>
      <c r="AN1294" s="37"/>
      <c r="AO1294" s="37"/>
      <c r="AP1294" s="39">
        <f t="shared" si="607"/>
        <v>0</v>
      </c>
      <c r="AQ1294" s="1"/>
    </row>
    <row r="1295" ht="15.0" hidden="1" customHeight="1">
      <c r="A1295" s="1"/>
      <c r="B1295" s="35"/>
      <c r="C1295" s="35"/>
      <c r="D1295" s="35"/>
      <c r="E1295" s="35"/>
      <c r="F1295" s="14" t="s">
        <v>43</v>
      </c>
      <c r="G1295" s="37"/>
      <c r="H1295" s="38"/>
      <c r="I1295" s="38"/>
      <c r="J1295" s="38"/>
      <c r="K1295" s="38"/>
      <c r="L1295" s="38"/>
      <c r="M1295" s="38"/>
      <c r="N1295" s="38"/>
      <c r="O1295" s="38"/>
      <c r="P1295" s="38"/>
      <c r="Q1295" s="38"/>
      <c r="R1295" s="38"/>
      <c r="S1295" s="38"/>
      <c r="T1295" s="38"/>
      <c r="U1295" s="38"/>
      <c r="V1295" s="38"/>
      <c r="W1295" s="38"/>
      <c r="X1295" s="38"/>
      <c r="Y1295" s="38"/>
      <c r="Z1295" s="38"/>
      <c r="AA1295" s="38"/>
      <c r="AB1295" s="38"/>
      <c r="AC1295" s="38"/>
      <c r="AD1295" s="38"/>
      <c r="AE1295" s="38"/>
      <c r="AF1295" s="38"/>
      <c r="AG1295" s="38"/>
      <c r="AH1295" s="38"/>
      <c r="AI1295" s="38"/>
      <c r="AJ1295" s="38"/>
      <c r="AK1295" s="38"/>
      <c r="AL1295" s="38"/>
      <c r="AM1295" s="38"/>
      <c r="AN1295" s="38"/>
      <c r="AO1295" s="37"/>
      <c r="AP1295" s="39">
        <f t="shared" si="607"/>
        <v>0</v>
      </c>
      <c r="AQ1295" s="1"/>
    </row>
    <row r="1296" ht="15.75" hidden="1" customHeight="1">
      <c r="A1296" s="1"/>
      <c r="B1296" s="42"/>
      <c r="C1296" s="42"/>
      <c r="D1296" s="42"/>
      <c r="E1296" s="42"/>
      <c r="F1296" s="43" t="s">
        <v>30</v>
      </c>
      <c r="G1296" s="55"/>
      <c r="H1296" s="34">
        <f t="shared" ref="H1296:AN1296" si="608">H1292+H1293-H1294-H1295</f>
        <v>3</v>
      </c>
      <c r="I1296" s="34">
        <f t="shared" si="608"/>
        <v>3</v>
      </c>
      <c r="J1296" s="34">
        <f t="shared" si="608"/>
        <v>3</v>
      </c>
      <c r="K1296" s="34">
        <f t="shared" si="608"/>
        <v>3</v>
      </c>
      <c r="L1296" s="34">
        <f t="shared" si="608"/>
        <v>3</v>
      </c>
      <c r="M1296" s="34">
        <f t="shared" si="608"/>
        <v>3</v>
      </c>
      <c r="N1296" s="34">
        <f t="shared" si="608"/>
        <v>3</v>
      </c>
      <c r="O1296" s="34">
        <f t="shared" si="608"/>
        <v>3</v>
      </c>
      <c r="P1296" s="34">
        <f t="shared" si="608"/>
        <v>3</v>
      </c>
      <c r="Q1296" s="34">
        <f t="shared" si="608"/>
        <v>3</v>
      </c>
      <c r="R1296" s="34">
        <f t="shared" si="608"/>
        <v>3</v>
      </c>
      <c r="S1296" s="34">
        <f t="shared" si="608"/>
        <v>3</v>
      </c>
      <c r="T1296" s="34">
        <f t="shared" si="608"/>
        <v>3</v>
      </c>
      <c r="U1296" s="34">
        <f t="shared" si="608"/>
        <v>3</v>
      </c>
      <c r="V1296" s="34">
        <f t="shared" si="608"/>
        <v>3</v>
      </c>
      <c r="W1296" s="34">
        <f t="shared" si="608"/>
        <v>3</v>
      </c>
      <c r="X1296" s="34">
        <f t="shared" si="608"/>
        <v>3</v>
      </c>
      <c r="Y1296" s="34">
        <f t="shared" si="608"/>
        <v>3</v>
      </c>
      <c r="Z1296" s="34">
        <f t="shared" si="608"/>
        <v>3</v>
      </c>
      <c r="AA1296" s="34">
        <f t="shared" si="608"/>
        <v>3</v>
      </c>
      <c r="AB1296" s="34">
        <f t="shared" si="608"/>
        <v>3</v>
      </c>
      <c r="AC1296" s="34">
        <f t="shared" si="608"/>
        <v>3</v>
      </c>
      <c r="AD1296" s="34">
        <f t="shared" si="608"/>
        <v>3</v>
      </c>
      <c r="AE1296" s="34">
        <f t="shared" si="608"/>
        <v>3</v>
      </c>
      <c r="AF1296" s="34">
        <f t="shared" si="608"/>
        <v>3</v>
      </c>
      <c r="AG1296" s="34">
        <f t="shared" si="608"/>
        <v>3</v>
      </c>
      <c r="AH1296" s="34">
        <f t="shared" si="608"/>
        <v>3</v>
      </c>
      <c r="AI1296" s="34">
        <f t="shared" si="608"/>
        <v>3</v>
      </c>
      <c r="AJ1296" s="34">
        <f t="shared" si="608"/>
        <v>3</v>
      </c>
      <c r="AK1296" s="34">
        <f t="shared" si="608"/>
        <v>3</v>
      </c>
      <c r="AL1296" s="34">
        <f t="shared" si="608"/>
        <v>3</v>
      </c>
      <c r="AM1296" s="34">
        <f t="shared" si="608"/>
        <v>3</v>
      </c>
      <c r="AN1296" s="34">
        <f t="shared" si="608"/>
        <v>3</v>
      </c>
      <c r="AO1296" s="34"/>
      <c r="AP1296" s="45">
        <f>AO1292</f>
        <v>3</v>
      </c>
      <c r="AQ1296" s="1"/>
    </row>
    <row r="1297" ht="15.75" hidden="1" customHeight="1">
      <c r="A1297" s="1"/>
      <c r="B1297" s="32"/>
      <c r="C1297" s="57" t="s">
        <v>419</v>
      </c>
      <c r="D1297" s="32" t="s">
        <v>434</v>
      </c>
      <c r="E1297" s="109" t="s">
        <v>423</v>
      </c>
      <c r="F1297" s="14" t="s">
        <v>23</v>
      </c>
      <c r="G1297" s="44"/>
      <c r="H1297" s="21">
        <v>31.0</v>
      </c>
      <c r="I1297" s="34">
        <f t="shared" ref="I1297:AO1297" si="609">H1301</f>
        <v>31</v>
      </c>
      <c r="J1297" s="34">
        <f t="shared" si="609"/>
        <v>31</v>
      </c>
      <c r="K1297" s="34">
        <f t="shared" si="609"/>
        <v>31</v>
      </c>
      <c r="L1297" s="34">
        <f t="shared" si="609"/>
        <v>31</v>
      </c>
      <c r="M1297" s="34">
        <f t="shared" si="609"/>
        <v>31</v>
      </c>
      <c r="N1297" s="34">
        <f t="shared" si="609"/>
        <v>31</v>
      </c>
      <c r="O1297" s="34">
        <f t="shared" si="609"/>
        <v>31</v>
      </c>
      <c r="P1297" s="34">
        <f t="shared" si="609"/>
        <v>31</v>
      </c>
      <c r="Q1297" s="34">
        <f t="shared" si="609"/>
        <v>31</v>
      </c>
      <c r="R1297" s="34">
        <f t="shared" si="609"/>
        <v>31</v>
      </c>
      <c r="S1297" s="34">
        <f t="shared" si="609"/>
        <v>31</v>
      </c>
      <c r="T1297" s="34">
        <f t="shared" si="609"/>
        <v>31</v>
      </c>
      <c r="U1297" s="34">
        <f t="shared" si="609"/>
        <v>31</v>
      </c>
      <c r="V1297" s="34">
        <f t="shared" si="609"/>
        <v>31</v>
      </c>
      <c r="W1297" s="34">
        <f t="shared" si="609"/>
        <v>31</v>
      </c>
      <c r="X1297" s="34">
        <f t="shared" si="609"/>
        <v>31</v>
      </c>
      <c r="Y1297" s="34">
        <f t="shared" si="609"/>
        <v>31</v>
      </c>
      <c r="Z1297" s="34">
        <f t="shared" si="609"/>
        <v>31</v>
      </c>
      <c r="AA1297" s="34">
        <f t="shared" si="609"/>
        <v>31</v>
      </c>
      <c r="AB1297" s="34">
        <f t="shared" si="609"/>
        <v>31</v>
      </c>
      <c r="AC1297" s="34">
        <f t="shared" si="609"/>
        <v>31</v>
      </c>
      <c r="AD1297" s="34">
        <f t="shared" si="609"/>
        <v>31</v>
      </c>
      <c r="AE1297" s="34">
        <f t="shared" si="609"/>
        <v>31</v>
      </c>
      <c r="AF1297" s="34">
        <f t="shared" si="609"/>
        <v>31</v>
      </c>
      <c r="AG1297" s="34">
        <f t="shared" si="609"/>
        <v>31</v>
      </c>
      <c r="AH1297" s="34">
        <f t="shared" si="609"/>
        <v>31</v>
      </c>
      <c r="AI1297" s="34">
        <f t="shared" si="609"/>
        <v>31</v>
      </c>
      <c r="AJ1297" s="34">
        <f t="shared" si="609"/>
        <v>31</v>
      </c>
      <c r="AK1297" s="34">
        <f t="shared" si="609"/>
        <v>31</v>
      </c>
      <c r="AL1297" s="34">
        <f t="shared" si="609"/>
        <v>31</v>
      </c>
      <c r="AM1297" s="34">
        <f t="shared" si="609"/>
        <v>31</v>
      </c>
      <c r="AN1297" s="34">
        <f t="shared" si="609"/>
        <v>31</v>
      </c>
      <c r="AO1297" s="34">
        <f t="shared" si="609"/>
        <v>31</v>
      </c>
      <c r="AP1297" s="54"/>
      <c r="AQ1297" s="1"/>
    </row>
    <row r="1298" ht="15.0" hidden="1" customHeight="1">
      <c r="A1298" s="1"/>
      <c r="B1298" s="35"/>
      <c r="C1298" s="35"/>
      <c r="D1298" s="35"/>
      <c r="E1298" s="35"/>
      <c r="F1298" s="36" t="s">
        <v>25</v>
      </c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8"/>
      <c r="T1298" s="37"/>
      <c r="U1298" s="38"/>
      <c r="V1298" s="37"/>
      <c r="W1298" s="37"/>
      <c r="X1298" s="37"/>
      <c r="Y1298" s="37"/>
      <c r="Z1298" s="37"/>
      <c r="AA1298" s="37"/>
      <c r="AB1298" s="37"/>
      <c r="AC1298" s="37"/>
      <c r="AD1298" s="38"/>
      <c r="AE1298" s="37"/>
      <c r="AF1298" s="37"/>
      <c r="AG1298" s="37"/>
      <c r="AH1298" s="37"/>
      <c r="AI1298" s="37"/>
      <c r="AJ1298" s="37"/>
      <c r="AK1298" s="37"/>
      <c r="AL1298" s="37"/>
      <c r="AM1298" s="37"/>
      <c r="AN1298" s="37"/>
      <c r="AO1298" s="37"/>
      <c r="AP1298" s="39">
        <f t="shared" ref="AP1298:AP1300" si="610">SUM(H1298:AO1298)</f>
        <v>0</v>
      </c>
      <c r="AQ1298" s="1"/>
    </row>
    <row r="1299" ht="15.0" hidden="1" customHeight="1">
      <c r="A1299" s="1"/>
      <c r="B1299" s="35"/>
      <c r="C1299" s="35"/>
      <c r="D1299" s="35"/>
      <c r="E1299" s="35"/>
      <c r="F1299" s="40" t="s">
        <v>94</v>
      </c>
      <c r="G1299" s="37"/>
      <c r="H1299" s="37"/>
      <c r="I1299" s="37"/>
      <c r="J1299" s="37"/>
      <c r="K1299" s="37"/>
      <c r="L1299" s="37"/>
      <c r="M1299" s="37"/>
      <c r="N1299" s="37"/>
      <c r="O1299" s="37"/>
      <c r="P1299" s="37"/>
      <c r="Q1299" s="37"/>
      <c r="R1299" s="37"/>
      <c r="S1299" s="38"/>
      <c r="T1299" s="37"/>
      <c r="U1299" s="38"/>
      <c r="V1299" s="37"/>
      <c r="W1299" s="37"/>
      <c r="X1299" s="37"/>
      <c r="Y1299" s="37"/>
      <c r="Z1299" s="37"/>
      <c r="AA1299" s="37"/>
      <c r="AB1299" s="37"/>
      <c r="AC1299" s="37"/>
      <c r="AD1299" s="38"/>
      <c r="AE1299" s="37"/>
      <c r="AF1299" s="37"/>
      <c r="AG1299" s="37"/>
      <c r="AH1299" s="37"/>
      <c r="AI1299" s="37"/>
      <c r="AJ1299" s="37"/>
      <c r="AK1299" s="37"/>
      <c r="AL1299" s="37"/>
      <c r="AM1299" s="37"/>
      <c r="AN1299" s="37"/>
      <c r="AO1299" s="37"/>
      <c r="AP1299" s="39">
        <f t="shared" si="610"/>
        <v>0</v>
      </c>
      <c r="AQ1299" s="1"/>
    </row>
    <row r="1300" ht="15.0" hidden="1" customHeight="1">
      <c r="A1300" s="1"/>
      <c r="B1300" s="35"/>
      <c r="C1300" s="35"/>
      <c r="D1300" s="35"/>
      <c r="E1300" s="35"/>
      <c r="F1300" s="14" t="s">
        <v>43</v>
      </c>
      <c r="G1300" s="37"/>
      <c r="H1300" s="38"/>
      <c r="I1300" s="38"/>
      <c r="J1300" s="38"/>
      <c r="K1300" s="38"/>
      <c r="L1300" s="38"/>
      <c r="M1300" s="38"/>
      <c r="N1300" s="38"/>
      <c r="O1300" s="38"/>
      <c r="P1300" s="38"/>
      <c r="Q1300" s="38"/>
      <c r="R1300" s="38"/>
      <c r="S1300" s="38"/>
      <c r="T1300" s="38"/>
      <c r="U1300" s="38"/>
      <c r="V1300" s="38"/>
      <c r="W1300" s="38"/>
      <c r="X1300" s="38"/>
      <c r="Y1300" s="38"/>
      <c r="Z1300" s="38"/>
      <c r="AA1300" s="38"/>
      <c r="AB1300" s="38"/>
      <c r="AC1300" s="38"/>
      <c r="AD1300" s="38"/>
      <c r="AE1300" s="38"/>
      <c r="AF1300" s="38"/>
      <c r="AG1300" s="38"/>
      <c r="AH1300" s="38"/>
      <c r="AI1300" s="38"/>
      <c r="AJ1300" s="38"/>
      <c r="AK1300" s="38"/>
      <c r="AL1300" s="38"/>
      <c r="AM1300" s="38"/>
      <c r="AN1300" s="38"/>
      <c r="AO1300" s="37"/>
      <c r="AP1300" s="39">
        <f t="shared" si="610"/>
        <v>0</v>
      </c>
      <c r="AQ1300" s="1"/>
    </row>
    <row r="1301" ht="15.75" hidden="1" customHeight="1">
      <c r="A1301" s="1"/>
      <c r="B1301" s="42"/>
      <c r="C1301" s="42"/>
      <c r="D1301" s="42"/>
      <c r="E1301" s="42"/>
      <c r="F1301" s="43" t="s">
        <v>30</v>
      </c>
      <c r="G1301" s="55"/>
      <c r="H1301" s="34">
        <f t="shared" ref="H1301:AN1301" si="611">H1297+H1298-H1299-H1300</f>
        <v>31</v>
      </c>
      <c r="I1301" s="34">
        <f t="shared" si="611"/>
        <v>31</v>
      </c>
      <c r="J1301" s="34">
        <f t="shared" si="611"/>
        <v>31</v>
      </c>
      <c r="K1301" s="34">
        <f t="shared" si="611"/>
        <v>31</v>
      </c>
      <c r="L1301" s="34">
        <f t="shared" si="611"/>
        <v>31</v>
      </c>
      <c r="M1301" s="34">
        <f t="shared" si="611"/>
        <v>31</v>
      </c>
      <c r="N1301" s="34">
        <f t="shared" si="611"/>
        <v>31</v>
      </c>
      <c r="O1301" s="34">
        <f t="shared" si="611"/>
        <v>31</v>
      </c>
      <c r="P1301" s="34">
        <f t="shared" si="611"/>
        <v>31</v>
      </c>
      <c r="Q1301" s="34">
        <f t="shared" si="611"/>
        <v>31</v>
      </c>
      <c r="R1301" s="34">
        <f t="shared" si="611"/>
        <v>31</v>
      </c>
      <c r="S1301" s="34">
        <f t="shared" si="611"/>
        <v>31</v>
      </c>
      <c r="T1301" s="34">
        <f t="shared" si="611"/>
        <v>31</v>
      </c>
      <c r="U1301" s="34">
        <f t="shared" si="611"/>
        <v>31</v>
      </c>
      <c r="V1301" s="34">
        <f t="shared" si="611"/>
        <v>31</v>
      </c>
      <c r="W1301" s="34">
        <f t="shared" si="611"/>
        <v>31</v>
      </c>
      <c r="X1301" s="34">
        <f t="shared" si="611"/>
        <v>31</v>
      </c>
      <c r="Y1301" s="34">
        <f t="shared" si="611"/>
        <v>31</v>
      </c>
      <c r="Z1301" s="34">
        <f t="shared" si="611"/>
        <v>31</v>
      </c>
      <c r="AA1301" s="34">
        <f t="shared" si="611"/>
        <v>31</v>
      </c>
      <c r="AB1301" s="34">
        <f t="shared" si="611"/>
        <v>31</v>
      </c>
      <c r="AC1301" s="34">
        <f t="shared" si="611"/>
        <v>31</v>
      </c>
      <c r="AD1301" s="34">
        <f t="shared" si="611"/>
        <v>31</v>
      </c>
      <c r="AE1301" s="34">
        <f t="shared" si="611"/>
        <v>31</v>
      </c>
      <c r="AF1301" s="34">
        <f t="shared" si="611"/>
        <v>31</v>
      </c>
      <c r="AG1301" s="34">
        <f t="shared" si="611"/>
        <v>31</v>
      </c>
      <c r="AH1301" s="34">
        <f t="shared" si="611"/>
        <v>31</v>
      </c>
      <c r="AI1301" s="34">
        <f t="shared" si="611"/>
        <v>31</v>
      </c>
      <c r="AJ1301" s="34">
        <f t="shared" si="611"/>
        <v>31</v>
      </c>
      <c r="AK1301" s="34">
        <f t="shared" si="611"/>
        <v>31</v>
      </c>
      <c r="AL1301" s="34">
        <f t="shared" si="611"/>
        <v>31</v>
      </c>
      <c r="AM1301" s="34">
        <f t="shared" si="611"/>
        <v>31</v>
      </c>
      <c r="AN1301" s="34">
        <f t="shared" si="611"/>
        <v>31</v>
      </c>
      <c r="AO1301" s="34"/>
      <c r="AP1301" s="45">
        <f>AO1297</f>
        <v>31</v>
      </c>
      <c r="AQ1301" s="1"/>
    </row>
    <row r="1302" ht="15.75" hidden="1" customHeight="1">
      <c r="A1302" s="1"/>
      <c r="B1302" s="32"/>
      <c r="C1302" s="57" t="s">
        <v>421</v>
      </c>
      <c r="D1302" s="32" t="s">
        <v>435</v>
      </c>
      <c r="E1302" s="109" t="s">
        <v>423</v>
      </c>
      <c r="F1302" s="14" t="s">
        <v>23</v>
      </c>
      <c r="G1302" s="44"/>
      <c r="H1302" s="21">
        <v>5.0</v>
      </c>
      <c r="I1302" s="34">
        <f t="shared" ref="I1302:AO1302" si="612">H1306</f>
        <v>5</v>
      </c>
      <c r="J1302" s="34">
        <f t="shared" si="612"/>
        <v>5</v>
      </c>
      <c r="K1302" s="34">
        <f t="shared" si="612"/>
        <v>5</v>
      </c>
      <c r="L1302" s="34">
        <f t="shared" si="612"/>
        <v>5</v>
      </c>
      <c r="M1302" s="34">
        <f t="shared" si="612"/>
        <v>5</v>
      </c>
      <c r="N1302" s="34">
        <f t="shared" si="612"/>
        <v>5</v>
      </c>
      <c r="O1302" s="34">
        <f t="shared" si="612"/>
        <v>5</v>
      </c>
      <c r="P1302" s="34">
        <f t="shared" si="612"/>
        <v>5</v>
      </c>
      <c r="Q1302" s="34">
        <f t="shared" si="612"/>
        <v>5</v>
      </c>
      <c r="R1302" s="34">
        <f t="shared" si="612"/>
        <v>5</v>
      </c>
      <c r="S1302" s="34">
        <f t="shared" si="612"/>
        <v>5</v>
      </c>
      <c r="T1302" s="34">
        <f t="shared" si="612"/>
        <v>5</v>
      </c>
      <c r="U1302" s="34">
        <f t="shared" si="612"/>
        <v>5</v>
      </c>
      <c r="V1302" s="34">
        <f t="shared" si="612"/>
        <v>5</v>
      </c>
      <c r="W1302" s="34">
        <f t="shared" si="612"/>
        <v>5</v>
      </c>
      <c r="X1302" s="34">
        <f t="shared" si="612"/>
        <v>5</v>
      </c>
      <c r="Y1302" s="34">
        <f t="shared" si="612"/>
        <v>5</v>
      </c>
      <c r="Z1302" s="34">
        <f t="shared" si="612"/>
        <v>5</v>
      </c>
      <c r="AA1302" s="34">
        <f t="shared" si="612"/>
        <v>5</v>
      </c>
      <c r="AB1302" s="34">
        <f t="shared" si="612"/>
        <v>5</v>
      </c>
      <c r="AC1302" s="34">
        <f t="shared" si="612"/>
        <v>5</v>
      </c>
      <c r="AD1302" s="34">
        <f t="shared" si="612"/>
        <v>5</v>
      </c>
      <c r="AE1302" s="34">
        <f t="shared" si="612"/>
        <v>5</v>
      </c>
      <c r="AF1302" s="34">
        <f t="shared" si="612"/>
        <v>5</v>
      </c>
      <c r="AG1302" s="34">
        <f t="shared" si="612"/>
        <v>5</v>
      </c>
      <c r="AH1302" s="34">
        <f t="shared" si="612"/>
        <v>5</v>
      </c>
      <c r="AI1302" s="34">
        <f t="shared" si="612"/>
        <v>5</v>
      </c>
      <c r="AJ1302" s="34">
        <f t="shared" si="612"/>
        <v>5</v>
      </c>
      <c r="AK1302" s="34">
        <f t="shared" si="612"/>
        <v>5</v>
      </c>
      <c r="AL1302" s="34">
        <f t="shared" si="612"/>
        <v>5</v>
      </c>
      <c r="AM1302" s="34">
        <f t="shared" si="612"/>
        <v>5</v>
      </c>
      <c r="AN1302" s="34">
        <f t="shared" si="612"/>
        <v>5</v>
      </c>
      <c r="AO1302" s="34">
        <f t="shared" si="612"/>
        <v>5</v>
      </c>
      <c r="AP1302" s="54"/>
      <c r="AQ1302" s="1"/>
    </row>
    <row r="1303" ht="15.0" hidden="1" customHeight="1">
      <c r="A1303" s="1"/>
      <c r="B1303" s="35"/>
      <c r="C1303" s="35"/>
      <c r="D1303" s="35"/>
      <c r="E1303" s="35"/>
      <c r="F1303" s="36" t="s">
        <v>25</v>
      </c>
      <c r="G1303" s="37"/>
      <c r="H1303" s="37"/>
      <c r="I1303" s="37"/>
      <c r="J1303" s="37"/>
      <c r="K1303" s="37"/>
      <c r="L1303" s="37"/>
      <c r="M1303" s="37"/>
      <c r="N1303" s="37"/>
      <c r="O1303" s="37"/>
      <c r="P1303" s="37"/>
      <c r="Q1303" s="37"/>
      <c r="R1303" s="37"/>
      <c r="S1303" s="38"/>
      <c r="T1303" s="37"/>
      <c r="U1303" s="38"/>
      <c r="V1303" s="37"/>
      <c r="W1303" s="37"/>
      <c r="X1303" s="37"/>
      <c r="Y1303" s="37"/>
      <c r="Z1303" s="37"/>
      <c r="AA1303" s="37"/>
      <c r="AB1303" s="37"/>
      <c r="AC1303" s="37"/>
      <c r="AD1303" s="38"/>
      <c r="AE1303" s="37"/>
      <c r="AF1303" s="37"/>
      <c r="AG1303" s="37"/>
      <c r="AH1303" s="37"/>
      <c r="AI1303" s="37"/>
      <c r="AJ1303" s="37"/>
      <c r="AK1303" s="37"/>
      <c r="AL1303" s="37"/>
      <c r="AM1303" s="37"/>
      <c r="AN1303" s="37"/>
      <c r="AO1303" s="37"/>
      <c r="AP1303" s="39">
        <f t="shared" ref="AP1303:AP1305" si="613">SUM(H1303:AO1303)</f>
        <v>0</v>
      </c>
      <c r="AQ1303" s="1"/>
    </row>
    <row r="1304" ht="15.0" hidden="1" customHeight="1">
      <c r="A1304" s="1"/>
      <c r="B1304" s="35"/>
      <c r="C1304" s="35"/>
      <c r="D1304" s="35"/>
      <c r="E1304" s="35"/>
      <c r="F1304" s="40" t="s">
        <v>94</v>
      </c>
      <c r="G1304" s="37"/>
      <c r="H1304" s="37"/>
      <c r="I1304" s="37"/>
      <c r="J1304" s="37"/>
      <c r="K1304" s="37"/>
      <c r="L1304" s="37"/>
      <c r="M1304" s="37"/>
      <c r="N1304" s="37"/>
      <c r="O1304" s="37"/>
      <c r="P1304" s="37"/>
      <c r="Q1304" s="37"/>
      <c r="R1304" s="37"/>
      <c r="S1304" s="38"/>
      <c r="T1304" s="37"/>
      <c r="U1304" s="38"/>
      <c r="V1304" s="37"/>
      <c r="W1304" s="37"/>
      <c r="X1304" s="37"/>
      <c r="Y1304" s="37"/>
      <c r="Z1304" s="37"/>
      <c r="AA1304" s="37"/>
      <c r="AB1304" s="37"/>
      <c r="AC1304" s="37"/>
      <c r="AD1304" s="38"/>
      <c r="AE1304" s="38"/>
      <c r="AF1304" s="37"/>
      <c r="AG1304" s="37"/>
      <c r="AH1304" s="37"/>
      <c r="AI1304" s="37"/>
      <c r="AJ1304" s="37"/>
      <c r="AK1304" s="37"/>
      <c r="AL1304" s="37"/>
      <c r="AM1304" s="37"/>
      <c r="AN1304" s="37"/>
      <c r="AO1304" s="37"/>
      <c r="AP1304" s="39">
        <f t="shared" si="613"/>
        <v>0</v>
      </c>
      <c r="AQ1304" s="1"/>
    </row>
    <row r="1305" ht="15.0" hidden="1" customHeight="1">
      <c r="A1305" s="1"/>
      <c r="B1305" s="35"/>
      <c r="C1305" s="35"/>
      <c r="D1305" s="35"/>
      <c r="E1305" s="35"/>
      <c r="F1305" s="14" t="s">
        <v>43</v>
      </c>
      <c r="G1305" s="37"/>
      <c r="H1305" s="38"/>
      <c r="I1305" s="38"/>
      <c r="J1305" s="38"/>
      <c r="K1305" s="38"/>
      <c r="L1305" s="38"/>
      <c r="M1305" s="38"/>
      <c r="N1305" s="38"/>
      <c r="O1305" s="38"/>
      <c r="P1305" s="38"/>
      <c r="Q1305" s="38"/>
      <c r="R1305" s="38"/>
      <c r="S1305" s="38"/>
      <c r="T1305" s="38"/>
      <c r="U1305" s="38"/>
      <c r="V1305" s="38"/>
      <c r="W1305" s="38"/>
      <c r="X1305" s="38"/>
      <c r="Y1305" s="38"/>
      <c r="Z1305" s="38"/>
      <c r="AA1305" s="38"/>
      <c r="AB1305" s="38"/>
      <c r="AC1305" s="38"/>
      <c r="AD1305" s="38"/>
      <c r="AE1305" s="38"/>
      <c r="AF1305" s="38"/>
      <c r="AG1305" s="38"/>
      <c r="AH1305" s="38"/>
      <c r="AI1305" s="38"/>
      <c r="AJ1305" s="38"/>
      <c r="AK1305" s="38"/>
      <c r="AL1305" s="38"/>
      <c r="AM1305" s="38"/>
      <c r="AN1305" s="38"/>
      <c r="AO1305" s="37"/>
      <c r="AP1305" s="39">
        <f t="shared" si="613"/>
        <v>0</v>
      </c>
      <c r="AQ1305" s="1"/>
    </row>
    <row r="1306" ht="15.75" hidden="1" customHeight="1">
      <c r="A1306" s="1"/>
      <c r="B1306" s="42"/>
      <c r="C1306" s="42"/>
      <c r="D1306" s="42"/>
      <c r="E1306" s="42"/>
      <c r="F1306" s="43" t="s">
        <v>30</v>
      </c>
      <c r="G1306" s="55"/>
      <c r="H1306" s="34">
        <f t="shared" ref="H1306:AN1306" si="614">H1302+H1303-H1304-H1305</f>
        <v>5</v>
      </c>
      <c r="I1306" s="34">
        <f t="shared" si="614"/>
        <v>5</v>
      </c>
      <c r="J1306" s="34">
        <f t="shared" si="614"/>
        <v>5</v>
      </c>
      <c r="K1306" s="34">
        <f t="shared" si="614"/>
        <v>5</v>
      </c>
      <c r="L1306" s="34">
        <f t="shared" si="614"/>
        <v>5</v>
      </c>
      <c r="M1306" s="34">
        <f t="shared" si="614"/>
        <v>5</v>
      </c>
      <c r="N1306" s="34">
        <f t="shared" si="614"/>
        <v>5</v>
      </c>
      <c r="O1306" s="34">
        <f t="shared" si="614"/>
        <v>5</v>
      </c>
      <c r="P1306" s="34">
        <f t="shared" si="614"/>
        <v>5</v>
      </c>
      <c r="Q1306" s="34">
        <f t="shared" si="614"/>
        <v>5</v>
      </c>
      <c r="R1306" s="34">
        <f t="shared" si="614"/>
        <v>5</v>
      </c>
      <c r="S1306" s="34">
        <f t="shared" si="614"/>
        <v>5</v>
      </c>
      <c r="T1306" s="34">
        <f t="shared" si="614"/>
        <v>5</v>
      </c>
      <c r="U1306" s="34">
        <f t="shared" si="614"/>
        <v>5</v>
      </c>
      <c r="V1306" s="34">
        <f t="shared" si="614"/>
        <v>5</v>
      </c>
      <c r="W1306" s="34">
        <f t="shared" si="614"/>
        <v>5</v>
      </c>
      <c r="X1306" s="34">
        <f t="shared" si="614"/>
        <v>5</v>
      </c>
      <c r="Y1306" s="34">
        <f t="shared" si="614"/>
        <v>5</v>
      </c>
      <c r="Z1306" s="34">
        <f t="shared" si="614"/>
        <v>5</v>
      </c>
      <c r="AA1306" s="34">
        <f t="shared" si="614"/>
        <v>5</v>
      </c>
      <c r="AB1306" s="34">
        <f t="shared" si="614"/>
        <v>5</v>
      </c>
      <c r="AC1306" s="34">
        <f t="shared" si="614"/>
        <v>5</v>
      </c>
      <c r="AD1306" s="34">
        <f t="shared" si="614"/>
        <v>5</v>
      </c>
      <c r="AE1306" s="34">
        <f t="shared" si="614"/>
        <v>5</v>
      </c>
      <c r="AF1306" s="34">
        <f t="shared" si="614"/>
        <v>5</v>
      </c>
      <c r="AG1306" s="34">
        <f t="shared" si="614"/>
        <v>5</v>
      </c>
      <c r="AH1306" s="34">
        <f t="shared" si="614"/>
        <v>5</v>
      </c>
      <c r="AI1306" s="34">
        <f t="shared" si="614"/>
        <v>5</v>
      </c>
      <c r="AJ1306" s="34">
        <f t="shared" si="614"/>
        <v>5</v>
      </c>
      <c r="AK1306" s="34">
        <f t="shared" si="614"/>
        <v>5</v>
      </c>
      <c r="AL1306" s="34">
        <f t="shared" si="614"/>
        <v>5</v>
      </c>
      <c r="AM1306" s="34">
        <f t="shared" si="614"/>
        <v>5</v>
      </c>
      <c r="AN1306" s="34">
        <f t="shared" si="614"/>
        <v>5</v>
      </c>
      <c r="AO1306" s="34"/>
      <c r="AP1306" s="45">
        <f>AO1302</f>
        <v>5</v>
      </c>
      <c r="AQ1306" s="1"/>
    </row>
    <row r="1307" ht="15.75" hidden="1" customHeight="1">
      <c r="A1307" s="1"/>
      <c r="B1307" s="32"/>
      <c r="C1307" s="57" t="s">
        <v>421</v>
      </c>
      <c r="D1307" s="32" t="s">
        <v>436</v>
      </c>
      <c r="E1307" s="109" t="s">
        <v>430</v>
      </c>
      <c r="F1307" s="14" t="s">
        <v>23</v>
      </c>
      <c r="G1307" s="44"/>
      <c r="H1307" s="21">
        <v>37.0</v>
      </c>
      <c r="I1307" s="34">
        <f t="shared" ref="I1307:AO1307" si="615">H1311</f>
        <v>37</v>
      </c>
      <c r="J1307" s="34">
        <f t="shared" si="615"/>
        <v>37</v>
      </c>
      <c r="K1307" s="34">
        <f t="shared" si="615"/>
        <v>37</v>
      </c>
      <c r="L1307" s="34">
        <f t="shared" si="615"/>
        <v>37</v>
      </c>
      <c r="M1307" s="34">
        <f t="shared" si="615"/>
        <v>37</v>
      </c>
      <c r="N1307" s="34">
        <f t="shared" si="615"/>
        <v>37</v>
      </c>
      <c r="O1307" s="34">
        <f t="shared" si="615"/>
        <v>37</v>
      </c>
      <c r="P1307" s="34">
        <f t="shared" si="615"/>
        <v>37</v>
      </c>
      <c r="Q1307" s="34">
        <f t="shared" si="615"/>
        <v>37</v>
      </c>
      <c r="R1307" s="34">
        <f t="shared" si="615"/>
        <v>37</v>
      </c>
      <c r="S1307" s="34">
        <f t="shared" si="615"/>
        <v>37</v>
      </c>
      <c r="T1307" s="34">
        <f t="shared" si="615"/>
        <v>37</v>
      </c>
      <c r="U1307" s="34">
        <f t="shared" si="615"/>
        <v>37</v>
      </c>
      <c r="V1307" s="34">
        <f t="shared" si="615"/>
        <v>37</v>
      </c>
      <c r="W1307" s="34">
        <f t="shared" si="615"/>
        <v>37</v>
      </c>
      <c r="X1307" s="34">
        <f t="shared" si="615"/>
        <v>37</v>
      </c>
      <c r="Y1307" s="34">
        <f t="shared" si="615"/>
        <v>37</v>
      </c>
      <c r="Z1307" s="34">
        <f t="shared" si="615"/>
        <v>37</v>
      </c>
      <c r="AA1307" s="34">
        <f t="shared" si="615"/>
        <v>37</v>
      </c>
      <c r="AB1307" s="34">
        <f t="shared" si="615"/>
        <v>37</v>
      </c>
      <c r="AC1307" s="34">
        <f t="shared" si="615"/>
        <v>37</v>
      </c>
      <c r="AD1307" s="34">
        <f t="shared" si="615"/>
        <v>37</v>
      </c>
      <c r="AE1307" s="34">
        <f t="shared" si="615"/>
        <v>37</v>
      </c>
      <c r="AF1307" s="34">
        <f t="shared" si="615"/>
        <v>37</v>
      </c>
      <c r="AG1307" s="34">
        <f t="shared" si="615"/>
        <v>37</v>
      </c>
      <c r="AH1307" s="34">
        <f t="shared" si="615"/>
        <v>37</v>
      </c>
      <c r="AI1307" s="34">
        <f t="shared" si="615"/>
        <v>37</v>
      </c>
      <c r="AJ1307" s="34">
        <f t="shared" si="615"/>
        <v>37</v>
      </c>
      <c r="AK1307" s="34">
        <f t="shared" si="615"/>
        <v>37</v>
      </c>
      <c r="AL1307" s="34">
        <f t="shared" si="615"/>
        <v>37</v>
      </c>
      <c r="AM1307" s="34">
        <f t="shared" si="615"/>
        <v>37</v>
      </c>
      <c r="AN1307" s="34">
        <f t="shared" si="615"/>
        <v>37</v>
      </c>
      <c r="AO1307" s="34">
        <f t="shared" si="615"/>
        <v>37</v>
      </c>
      <c r="AP1307" s="54"/>
      <c r="AQ1307" s="1"/>
    </row>
    <row r="1308" ht="15.0" hidden="1" customHeight="1">
      <c r="A1308" s="1"/>
      <c r="B1308" s="35"/>
      <c r="C1308" s="35"/>
      <c r="D1308" s="35"/>
      <c r="E1308" s="35"/>
      <c r="F1308" s="36" t="s">
        <v>25</v>
      </c>
      <c r="G1308" s="37"/>
      <c r="H1308" s="37"/>
      <c r="I1308" s="37"/>
      <c r="J1308" s="37"/>
      <c r="K1308" s="37"/>
      <c r="L1308" s="37"/>
      <c r="M1308" s="37"/>
      <c r="N1308" s="37"/>
      <c r="O1308" s="37"/>
      <c r="P1308" s="37"/>
      <c r="Q1308" s="37"/>
      <c r="R1308" s="37"/>
      <c r="S1308" s="38"/>
      <c r="T1308" s="37"/>
      <c r="U1308" s="38"/>
      <c r="V1308" s="37"/>
      <c r="W1308" s="37"/>
      <c r="X1308" s="37"/>
      <c r="Y1308" s="37"/>
      <c r="Z1308" s="37"/>
      <c r="AA1308" s="37"/>
      <c r="AB1308" s="37"/>
      <c r="AC1308" s="37"/>
      <c r="AD1308" s="38"/>
      <c r="AE1308" s="37"/>
      <c r="AF1308" s="37"/>
      <c r="AG1308" s="37"/>
      <c r="AH1308" s="37"/>
      <c r="AI1308" s="37"/>
      <c r="AJ1308" s="37"/>
      <c r="AK1308" s="37"/>
      <c r="AL1308" s="37"/>
      <c r="AM1308" s="37"/>
      <c r="AN1308" s="37"/>
      <c r="AO1308" s="37"/>
      <c r="AP1308" s="39">
        <f t="shared" ref="AP1308:AP1310" si="616">SUM(H1308:AO1308)</f>
        <v>0</v>
      </c>
      <c r="AQ1308" s="1"/>
    </row>
    <row r="1309" ht="15.0" hidden="1" customHeight="1">
      <c r="A1309" s="1"/>
      <c r="B1309" s="35"/>
      <c r="C1309" s="35"/>
      <c r="D1309" s="35"/>
      <c r="E1309" s="35"/>
      <c r="F1309" s="40" t="s">
        <v>94</v>
      </c>
      <c r="G1309" s="37"/>
      <c r="H1309" s="37"/>
      <c r="I1309" s="37"/>
      <c r="J1309" s="37"/>
      <c r="K1309" s="37"/>
      <c r="L1309" s="37"/>
      <c r="M1309" s="37"/>
      <c r="N1309" s="37"/>
      <c r="O1309" s="37"/>
      <c r="P1309" s="37"/>
      <c r="Q1309" s="37"/>
      <c r="R1309" s="37"/>
      <c r="S1309" s="38"/>
      <c r="T1309" s="37"/>
      <c r="U1309" s="38"/>
      <c r="V1309" s="37"/>
      <c r="W1309" s="37"/>
      <c r="X1309" s="37"/>
      <c r="Y1309" s="37"/>
      <c r="Z1309" s="37"/>
      <c r="AA1309" s="37"/>
      <c r="AB1309" s="37"/>
      <c r="AC1309" s="37"/>
      <c r="AD1309" s="38"/>
      <c r="AE1309" s="38"/>
      <c r="AF1309" s="37"/>
      <c r="AG1309" s="37"/>
      <c r="AH1309" s="37"/>
      <c r="AI1309" s="37"/>
      <c r="AJ1309" s="37"/>
      <c r="AK1309" s="37"/>
      <c r="AL1309" s="37"/>
      <c r="AM1309" s="37"/>
      <c r="AN1309" s="37"/>
      <c r="AO1309" s="37"/>
      <c r="AP1309" s="39">
        <f t="shared" si="616"/>
        <v>0</v>
      </c>
      <c r="AQ1309" s="1"/>
    </row>
    <row r="1310" ht="15.0" hidden="1" customHeight="1">
      <c r="A1310" s="1"/>
      <c r="B1310" s="35"/>
      <c r="C1310" s="35"/>
      <c r="D1310" s="35"/>
      <c r="E1310" s="35"/>
      <c r="F1310" s="14" t="s">
        <v>43</v>
      </c>
      <c r="G1310" s="37"/>
      <c r="H1310" s="38"/>
      <c r="I1310" s="38"/>
      <c r="J1310" s="38"/>
      <c r="K1310" s="38"/>
      <c r="L1310" s="38"/>
      <c r="M1310" s="38"/>
      <c r="N1310" s="38"/>
      <c r="O1310" s="38"/>
      <c r="P1310" s="38"/>
      <c r="Q1310" s="38"/>
      <c r="R1310" s="38"/>
      <c r="S1310" s="38"/>
      <c r="T1310" s="38"/>
      <c r="U1310" s="38"/>
      <c r="V1310" s="38"/>
      <c r="W1310" s="38"/>
      <c r="X1310" s="38"/>
      <c r="Y1310" s="38"/>
      <c r="Z1310" s="38"/>
      <c r="AA1310" s="38"/>
      <c r="AB1310" s="38"/>
      <c r="AC1310" s="38"/>
      <c r="AD1310" s="38"/>
      <c r="AE1310" s="38"/>
      <c r="AF1310" s="38"/>
      <c r="AG1310" s="38"/>
      <c r="AH1310" s="38"/>
      <c r="AI1310" s="38"/>
      <c r="AJ1310" s="38"/>
      <c r="AK1310" s="38"/>
      <c r="AL1310" s="38"/>
      <c r="AM1310" s="38"/>
      <c r="AN1310" s="38"/>
      <c r="AO1310" s="37"/>
      <c r="AP1310" s="39">
        <f t="shared" si="616"/>
        <v>0</v>
      </c>
      <c r="AQ1310" s="1"/>
    </row>
    <row r="1311" ht="15.75" hidden="1" customHeight="1">
      <c r="A1311" s="1"/>
      <c r="B1311" s="42"/>
      <c r="C1311" s="42"/>
      <c r="D1311" s="42"/>
      <c r="E1311" s="42"/>
      <c r="F1311" s="43" t="s">
        <v>30</v>
      </c>
      <c r="G1311" s="55"/>
      <c r="H1311" s="34">
        <f t="shared" ref="H1311:AN1311" si="617">H1307+H1308-H1309-H1310</f>
        <v>37</v>
      </c>
      <c r="I1311" s="34">
        <f t="shared" si="617"/>
        <v>37</v>
      </c>
      <c r="J1311" s="34">
        <f t="shared" si="617"/>
        <v>37</v>
      </c>
      <c r="K1311" s="34">
        <f t="shared" si="617"/>
        <v>37</v>
      </c>
      <c r="L1311" s="34">
        <f t="shared" si="617"/>
        <v>37</v>
      </c>
      <c r="M1311" s="34">
        <f t="shared" si="617"/>
        <v>37</v>
      </c>
      <c r="N1311" s="34">
        <f t="shared" si="617"/>
        <v>37</v>
      </c>
      <c r="O1311" s="34">
        <f t="shared" si="617"/>
        <v>37</v>
      </c>
      <c r="P1311" s="34">
        <f t="shared" si="617"/>
        <v>37</v>
      </c>
      <c r="Q1311" s="34">
        <f t="shared" si="617"/>
        <v>37</v>
      </c>
      <c r="R1311" s="34">
        <f t="shared" si="617"/>
        <v>37</v>
      </c>
      <c r="S1311" s="34">
        <f t="shared" si="617"/>
        <v>37</v>
      </c>
      <c r="T1311" s="34">
        <f t="shared" si="617"/>
        <v>37</v>
      </c>
      <c r="U1311" s="34">
        <f t="shared" si="617"/>
        <v>37</v>
      </c>
      <c r="V1311" s="34">
        <f t="shared" si="617"/>
        <v>37</v>
      </c>
      <c r="W1311" s="34">
        <f t="shared" si="617"/>
        <v>37</v>
      </c>
      <c r="X1311" s="34">
        <f t="shared" si="617"/>
        <v>37</v>
      </c>
      <c r="Y1311" s="34">
        <f t="shared" si="617"/>
        <v>37</v>
      </c>
      <c r="Z1311" s="34">
        <f t="shared" si="617"/>
        <v>37</v>
      </c>
      <c r="AA1311" s="34">
        <f t="shared" si="617"/>
        <v>37</v>
      </c>
      <c r="AB1311" s="34">
        <f t="shared" si="617"/>
        <v>37</v>
      </c>
      <c r="AC1311" s="34">
        <f t="shared" si="617"/>
        <v>37</v>
      </c>
      <c r="AD1311" s="34">
        <f t="shared" si="617"/>
        <v>37</v>
      </c>
      <c r="AE1311" s="34">
        <f t="shared" si="617"/>
        <v>37</v>
      </c>
      <c r="AF1311" s="34">
        <f t="shared" si="617"/>
        <v>37</v>
      </c>
      <c r="AG1311" s="34">
        <f t="shared" si="617"/>
        <v>37</v>
      </c>
      <c r="AH1311" s="34">
        <f t="shared" si="617"/>
        <v>37</v>
      </c>
      <c r="AI1311" s="34">
        <f t="shared" si="617"/>
        <v>37</v>
      </c>
      <c r="AJ1311" s="34">
        <f t="shared" si="617"/>
        <v>37</v>
      </c>
      <c r="AK1311" s="34">
        <f t="shared" si="617"/>
        <v>37</v>
      </c>
      <c r="AL1311" s="34">
        <f t="shared" si="617"/>
        <v>37</v>
      </c>
      <c r="AM1311" s="34">
        <f t="shared" si="617"/>
        <v>37</v>
      </c>
      <c r="AN1311" s="34">
        <f t="shared" si="617"/>
        <v>37</v>
      </c>
      <c r="AO1311" s="34"/>
      <c r="AP1311" s="45">
        <f>AO1307</f>
        <v>37</v>
      </c>
      <c r="AQ1311" s="1"/>
    </row>
    <row r="1312" ht="15.75" hidden="1" customHeight="1">
      <c r="A1312" s="1"/>
      <c r="B1312" s="32"/>
      <c r="C1312" s="57" t="s">
        <v>421</v>
      </c>
      <c r="D1312" s="32" t="s">
        <v>437</v>
      </c>
      <c r="E1312" s="109" t="s">
        <v>430</v>
      </c>
      <c r="F1312" s="14" t="s">
        <v>23</v>
      </c>
      <c r="G1312" s="44"/>
      <c r="H1312" s="21">
        <v>8.0</v>
      </c>
      <c r="I1312" s="34">
        <f t="shared" ref="I1312:AO1312" si="618">H1316</f>
        <v>8</v>
      </c>
      <c r="J1312" s="34">
        <f t="shared" si="618"/>
        <v>8</v>
      </c>
      <c r="K1312" s="34">
        <f t="shared" si="618"/>
        <v>8</v>
      </c>
      <c r="L1312" s="34">
        <f t="shared" si="618"/>
        <v>8</v>
      </c>
      <c r="M1312" s="34">
        <f t="shared" si="618"/>
        <v>8</v>
      </c>
      <c r="N1312" s="34">
        <f t="shared" si="618"/>
        <v>8</v>
      </c>
      <c r="O1312" s="34">
        <f t="shared" si="618"/>
        <v>8</v>
      </c>
      <c r="P1312" s="34">
        <f t="shared" si="618"/>
        <v>8</v>
      </c>
      <c r="Q1312" s="34">
        <f t="shared" si="618"/>
        <v>8</v>
      </c>
      <c r="R1312" s="34">
        <f t="shared" si="618"/>
        <v>8</v>
      </c>
      <c r="S1312" s="34">
        <f t="shared" si="618"/>
        <v>8</v>
      </c>
      <c r="T1312" s="34">
        <f t="shared" si="618"/>
        <v>8</v>
      </c>
      <c r="U1312" s="34">
        <f t="shared" si="618"/>
        <v>8</v>
      </c>
      <c r="V1312" s="34">
        <f t="shared" si="618"/>
        <v>8</v>
      </c>
      <c r="W1312" s="34">
        <f t="shared" si="618"/>
        <v>8</v>
      </c>
      <c r="X1312" s="34">
        <f t="shared" si="618"/>
        <v>8</v>
      </c>
      <c r="Y1312" s="34">
        <f t="shared" si="618"/>
        <v>8</v>
      </c>
      <c r="Z1312" s="34">
        <f t="shared" si="618"/>
        <v>8</v>
      </c>
      <c r="AA1312" s="34">
        <f t="shared" si="618"/>
        <v>8</v>
      </c>
      <c r="AB1312" s="34">
        <f t="shared" si="618"/>
        <v>8</v>
      </c>
      <c r="AC1312" s="34">
        <f t="shared" si="618"/>
        <v>8</v>
      </c>
      <c r="AD1312" s="34">
        <f t="shared" si="618"/>
        <v>8</v>
      </c>
      <c r="AE1312" s="34">
        <f t="shared" si="618"/>
        <v>8</v>
      </c>
      <c r="AF1312" s="34">
        <f t="shared" si="618"/>
        <v>8</v>
      </c>
      <c r="AG1312" s="34">
        <f t="shared" si="618"/>
        <v>8</v>
      </c>
      <c r="AH1312" s="34">
        <f t="shared" si="618"/>
        <v>8</v>
      </c>
      <c r="AI1312" s="34">
        <f t="shared" si="618"/>
        <v>8</v>
      </c>
      <c r="AJ1312" s="34">
        <f t="shared" si="618"/>
        <v>8</v>
      </c>
      <c r="AK1312" s="34">
        <f t="shared" si="618"/>
        <v>8</v>
      </c>
      <c r="AL1312" s="34">
        <f t="shared" si="618"/>
        <v>8</v>
      </c>
      <c r="AM1312" s="34">
        <f t="shared" si="618"/>
        <v>8</v>
      </c>
      <c r="AN1312" s="34">
        <f t="shared" si="618"/>
        <v>8</v>
      </c>
      <c r="AO1312" s="34">
        <f t="shared" si="618"/>
        <v>8</v>
      </c>
      <c r="AP1312" s="54"/>
      <c r="AQ1312" s="1"/>
    </row>
    <row r="1313" ht="15.0" hidden="1" customHeight="1">
      <c r="A1313" s="1"/>
      <c r="B1313" s="35"/>
      <c r="C1313" s="35"/>
      <c r="D1313" s="35"/>
      <c r="E1313" s="35"/>
      <c r="F1313" s="36" t="s">
        <v>25</v>
      </c>
      <c r="G1313" s="37"/>
      <c r="H1313" s="37"/>
      <c r="I1313" s="37"/>
      <c r="J1313" s="37"/>
      <c r="K1313" s="37"/>
      <c r="L1313" s="37"/>
      <c r="M1313" s="37"/>
      <c r="N1313" s="37"/>
      <c r="O1313" s="37"/>
      <c r="P1313" s="37"/>
      <c r="Q1313" s="37"/>
      <c r="R1313" s="37"/>
      <c r="S1313" s="38"/>
      <c r="T1313" s="37"/>
      <c r="U1313" s="38"/>
      <c r="V1313" s="37"/>
      <c r="W1313" s="37"/>
      <c r="X1313" s="37"/>
      <c r="Y1313" s="37"/>
      <c r="Z1313" s="37"/>
      <c r="AA1313" s="37"/>
      <c r="AB1313" s="37"/>
      <c r="AC1313" s="37"/>
      <c r="AD1313" s="38"/>
      <c r="AE1313" s="37"/>
      <c r="AF1313" s="37"/>
      <c r="AG1313" s="37"/>
      <c r="AH1313" s="37"/>
      <c r="AI1313" s="37"/>
      <c r="AJ1313" s="37"/>
      <c r="AK1313" s="37"/>
      <c r="AL1313" s="37"/>
      <c r="AM1313" s="37"/>
      <c r="AN1313" s="37"/>
      <c r="AO1313" s="37"/>
      <c r="AP1313" s="39">
        <f t="shared" ref="AP1313:AP1315" si="619">SUM(H1313:AO1313)</f>
        <v>0</v>
      </c>
      <c r="AQ1313" s="1"/>
    </row>
    <row r="1314" ht="15.0" hidden="1" customHeight="1">
      <c r="A1314" s="1"/>
      <c r="B1314" s="35"/>
      <c r="C1314" s="35"/>
      <c r="D1314" s="35"/>
      <c r="E1314" s="35"/>
      <c r="F1314" s="40" t="s">
        <v>94</v>
      </c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R1314" s="37"/>
      <c r="S1314" s="38"/>
      <c r="T1314" s="37"/>
      <c r="U1314" s="38"/>
      <c r="V1314" s="37"/>
      <c r="W1314" s="37"/>
      <c r="X1314" s="37"/>
      <c r="Y1314" s="37"/>
      <c r="Z1314" s="37"/>
      <c r="AA1314" s="37"/>
      <c r="AB1314" s="37"/>
      <c r="AC1314" s="37"/>
      <c r="AD1314" s="38"/>
      <c r="AE1314" s="38"/>
      <c r="AF1314" s="37"/>
      <c r="AG1314" s="37"/>
      <c r="AH1314" s="37"/>
      <c r="AI1314" s="37"/>
      <c r="AJ1314" s="37"/>
      <c r="AK1314" s="37"/>
      <c r="AL1314" s="37"/>
      <c r="AM1314" s="37"/>
      <c r="AN1314" s="37"/>
      <c r="AO1314" s="37"/>
      <c r="AP1314" s="39">
        <f t="shared" si="619"/>
        <v>0</v>
      </c>
      <c r="AQ1314" s="1"/>
    </row>
    <row r="1315" ht="15.0" hidden="1" customHeight="1">
      <c r="A1315" s="1"/>
      <c r="B1315" s="35"/>
      <c r="C1315" s="35"/>
      <c r="D1315" s="35"/>
      <c r="E1315" s="35"/>
      <c r="F1315" s="14" t="s">
        <v>43</v>
      </c>
      <c r="G1315" s="37"/>
      <c r="H1315" s="38"/>
      <c r="I1315" s="38"/>
      <c r="J1315" s="38"/>
      <c r="K1315" s="38"/>
      <c r="L1315" s="38"/>
      <c r="M1315" s="38"/>
      <c r="N1315" s="38"/>
      <c r="O1315" s="38"/>
      <c r="P1315" s="38"/>
      <c r="Q1315" s="38"/>
      <c r="R1315" s="38"/>
      <c r="S1315" s="38"/>
      <c r="T1315" s="38"/>
      <c r="U1315" s="38"/>
      <c r="V1315" s="38"/>
      <c r="W1315" s="38"/>
      <c r="X1315" s="38"/>
      <c r="Y1315" s="38"/>
      <c r="Z1315" s="38"/>
      <c r="AA1315" s="38"/>
      <c r="AB1315" s="38"/>
      <c r="AC1315" s="38"/>
      <c r="AD1315" s="38"/>
      <c r="AE1315" s="38"/>
      <c r="AF1315" s="38"/>
      <c r="AG1315" s="38"/>
      <c r="AH1315" s="38"/>
      <c r="AI1315" s="38"/>
      <c r="AJ1315" s="38"/>
      <c r="AK1315" s="38"/>
      <c r="AL1315" s="38"/>
      <c r="AM1315" s="38"/>
      <c r="AN1315" s="38"/>
      <c r="AO1315" s="37"/>
      <c r="AP1315" s="39">
        <f t="shared" si="619"/>
        <v>0</v>
      </c>
      <c r="AQ1315" s="1"/>
    </row>
    <row r="1316" ht="15.75" hidden="1" customHeight="1">
      <c r="A1316" s="1"/>
      <c r="B1316" s="42"/>
      <c r="C1316" s="42"/>
      <c r="D1316" s="42"/>
      <c r="E1316" s="42"/>
      <c r="F1316" s="43" t="s">
        <v>30</v>
      </c>
      <c r="G1316" s="55"/>
      <c r="H1316" s="34">
        <f t="shared" ref="H1316:AN1316" si="620">H1312+H1313-H1314-H1315</f>
        <v>8</v>
      </c>
      <c r="I1316" s="34">
        <f t="shared" si="620"/>
        <v>8</v>
      </c>
      <c r="J1316" s="34">
        <f t="shared" si="620"/>
        <v>8</v>
      </c>
      <c r="K1316" s="34">
        <f t="shared" si="620"/>
        <v>8</v>
      </c>
      <c r="L1316" s="34">
        <f t="shared" si="620"/>
        <v>8</v>
      </c>
      <c r="M1316" s="34">
        <f t="shared" si="620"/>
        <v>8</v>
      </c>
      <c r="N1316" s="34">
        <f t="shared" si="620"/>
        <v>8</v>
      </c>
      <c r="O1316" s="34">
        <f t="shared" si="620"/>
        <v>8</v>
      </c>
      <c r="P1316" s="34">
        <f t="shared" si="620"/>
        <v>8</v>
      </c>
      <c r="Q1316" s="34">
        <f t="shared" si="620"/>
        <v>8</v>
      </c>
      <c r="R1316" s="34">
        <f t="shared" si="620"/>
        <v>8</v>
      </c>
      <c r="S1316" s="34">
        <f t="shared" si="620"/>
        <v>8</v>
      </c>
      <c r="T1316" s="34">
        <f t="shared" si="620"/>
        <v>8</v>
      </c>
      <c r="U1316" s="34">
        <f t="shared" si="620"/>
        <v>8</v>
      </c>
      <c r="V1316" s="34">
        <f t="shared" si="620"/>
        <v>8</v>
      </c>
      <c r="W1316" s="34">
        <f t="shared" si="620"/>
        <v>8</v>
      </c>
      <c r="X1316" s="34">
        <f t="shared" si="620"/>
        <v>8</v>
      </c>
      <c r="Y1316" s="34">
        <f t="shared" si="620"/>
        <v>8</v>
      </c>
      <c r="Z1316" s="34">
        <f t="shared" si="620"/>
        <v>8</v>
      </c>
      <c r="AA1316" s="34">
        <f t="shared" si="620"/>
        <v>8</v>
      </c>
      <c r="AB1316" s="34">
        <f t="shared" si="620"/>
        <v>8</v>
      </c>
      <c r="AC1316" s="34">
        <f t="shared" si="620"/>
        <v>8</v>
      </c>
      <c r="AD1316" s="34">
        <f t="shared" si="620"/>
        <v>8</v>
      </c>
      <c r="AE1316" s="34">
        <f t="shared" si="620"/>
        <v>8</v>
      </c>
      <c r="AF1316" s="34">
        <f t="shared" si="620"/>
        <v>8</v>
      </c>
      <c r="AG1316" s="34">
        <f t="shared" si="620"/>
        <v>8</v>
      </c>
      <c r="AH1316" s="34">
        <f t="shared" si="620"/>
        <v>8</v>
      </c>
      <c r="AI1316" s="34">
        <f t="shared" si="620"/>
        <v>8</v>
      </c>
      <c r="AJ1316" s="34">
        <f t="shared" si="620"/>
        <v>8</v>
      </c>
      <c r="AK1316" s="34">
        <f t="shared" si="620"/>
        <v>8</v>
      </c>
      <c r="AL1316" s="34">
        <f t="shared" si="620"/>
        <v>8</v>
      </c>
      <c r="AM1316" s="34">
        <f t="shared" si="620"/>
        <v>8</v>
      </c>
      <c r="AN1316" s="34">
        <f t="shared" si="620"/>
        <v>8</v>
      </c>
      <c r="AO1316" s="34"/>
      <c r="AP1316" s="45">
        <f>AO1312</f>
        <v>8</v>
      </c>
      <c r="AQ1316" s="1"/>
    </row>
    <row r="1317" ht="15.75" hidden="1" customHeight="1">
      <c r="A1317" s="1"/>
      <c r="B1317" s="32"/>
      <c r="C1317" s="57" t="s">
        <v>419</v>
      </c>
      <c r="D1317" s="32" t="s">
        <v>420</v>
      </c>
      <c r="E1317" s="109" t="s">
        <v>423</v>
      </c>
      <c r="F1317" s="14" t="s">
        <v>23</v>
      </c>
      <c r="G1317" s="44"/>
      <c r="H1317" s="21">
        <v>64.0</v>
      </c>
      <c r="I1317" s="34">
        <f t="shared" ref="I1317:AO1317" si="621">H1321</f>
        <v>64</v>
      </c>
      <c r="J1317" s="34">
        <f t="shared" si="621"/>
        <v>64</v>
      </c>
      <c r="K1317" s="34">
        <f t="shared" si="621"/>
        <v>64</v>
      </c>
      <c r="L1317" s="34">
        <f t="shared" si="621"/>
        <v>64</v>
      </c>
      <c r="M1317" s="34">
        <f t="shared" si="621"/>
        <v>64</v>
      </c>
      <c r="N1317" s="34">
        <f t="shared" si="621"/>
        <v>64</v>
      </c>
      <c r="O1317" s="34">
        <f t="shared" si="621"/>
        <v>64</v>
      </c>
      <c r="P1317" s="34">
        <f t="shared" si="621"/>
        <v>64</v>
      </c>
      <c r="Q1317" s="34">
        <f t="shared" si="621"/>
        <v>64</v>
      </c>
      <c r="R1317" s="34">
        <f t="shared" si="621"/>
        <v>64</v>
      </c>
      <c r="S1317" s="34">
        <f t="shared" si="621"/>
        <v>64</v>
      </c>
      <c r="T1317" s="34">
        <f t="shared" si="621"/>
        <v>64</v>
      </c>
      <c r="U1317" s="34">
        <f t="shared" si="621"/>
        <v>64</v>
      </c>
      <c r="V1317" s="34">
        <f t="shared" si="621"/>
        <v>64</v>
      </c>
      <c r="W1317" s="34">
        <f t="shared" si="621"/>
        <v>64</v>
      </c>
      <c r="X1317" s="34">
        <f t="shared" si="621"/>
        <v>64</v>
      </c>
      <c r="Y1317" s="34">
        <f t="shared" si="621"/>
        <v>64</v>
      </c>
      <c r="Z1317" s="34">
        <f t="shared" si="621"/>
        <v>64</v>
      </c>
      <c r="AA1317" s="34">
        <f t="shared" si="621"/>
        <v>64</v>
      </c>
      <c r="AB1317" s="34">
        <f t="shared" si="621"/>
        <v>64</v>
      </c>
      <c r="AC1317" s="34">
        <f t="shared" si="621"/>
        <v>64</v>
      </c>
      <c r="AD1317" s="34">
        <f t="shared" si="621"/>
        <v>64</v>
      </c>
      <c r="AE1317" s="34">
        <f t="shared" si="621"/>
        <v>64</v>
      </c>
      <c r="AF1317" s="34">
        <f t="shared" si="621"/>
        <v>64</v>
      </c>
      <c r="AG1317" s="34">
        <f t="shared" si="621"/>
        <v>64</v>
      </c>
      <c r="AH1317" s="34">
        <f t="shared" si="621"/>
        <v>64</v>
      </c>
      <c r="AI1317" s="34">
        <f t="shared" si="621"/>
        <v>64</v>
      </c>
      <c r="AJ1317" s="34">
        <f t="shared" si="621"/>
        <v>64</v>
      </c>
      <c r="AK1317" s="34">
        <f t="shared" si="621"/>
        <v>64</v>
      </c>
      <c r="AL1317" s="34">
        <f t="shared" si="621"/>
        <v>64</v>
      </c>
      <c r="AM1317" s="34">
        <f t="shared" si="621"/>
        <v>64</v>
      </c>
      <c r="AN1317" s="34">
        <f t="shared" si="621"/>
        <v>64</v>
      </c>
      <c r="AO1317" s="34">
        <f t="shared" si="621"/>
        <v>64</v>
      </c>
      <c r="AP1317" s="54"/>
      <c r="AQ1317" s="1"/>
    </row>
    <row r="1318" ht="15.0" hidden="1" customHeight="1">
      <c r="A1318" s="1"/>
      <c r="B1318" s="35"/>
      <c r="C1318" s="35"/>
      <c r="D1318" s="35"/>
      <c r="E1318" s="35"/>
      <c r="F1318" s="36" t="s">
        <v>25</v>
      </c>
      <c r="G1318" s="37"/>
      <c r="H1318" s="37"/>
      <c r="I1318" s="37"/>
      <c r="J1318" s="37"/>
      <c r="K1318" s="37"/>
      <c r="L1318" s="37"/>
      <c r="M1318" s="37"/>
      <c r="N1318" s="37"/>
      <c r="O1318" s="37"/>
      <c r="P1318" s="37"/>
      <c r="Q1318" s="37"/>
      <c r="R1318" s="37"/>
      <c r="S1318" s="38"/>
      <c r="T1318" s="37"/>
      <c r="U1318" s="38"/>
      <c r="V1318" s="37"/>
      <c r="W1318" s="37"/>
      <c r="X1318" s="37"/>
      <c r="Y1318" s="37"/>
      <c r="Z1318" s="37"/>
      <c r="AA1318" s="37"/>
      <c r="AB1318" s="37"/>
      <c r="AC1318" s="37"/>
      <c r="AD1318" s="38"/>
      <c r="AE1318" s="37"/>
      <c r="AF1318" s="37"/>
      <c r="AG1318" s="37"/>
      <c r="AH1318" s="37"/>
      <c r="AI1318" s="37"/>
      <c r="AJ1318" s="37"/>
      <c r="AK1318" s="37"/>
      <c r="AL1318" s="37"/>
      <c r="AM1318" s="37"/>
      <c r="AN1318" s="37"/>
      <c r="AO1318" s="37"/>
      <c r="AP1318" s="39">
        <f t="shared" ref="AP1318:AP1320" si="622">SUM(H1318:AO1318)</f>
        <v>0</v>
      </c>
      <c r="AQ1318" s="1"/>
    </row>
    <row r="1319" ht="15.0" hidden="1" customHeight="1">
      <c r="A1319" s="1"/>
      <c r="B1319" s="35"/>
      <c r="C1319" s="35"/>
      <c r="D1319" s="35"/>
      <c r="E1319" s="35"/>
      <c r="F1319" s="40" t="s">
        <v>94</v>
      </c>
      <c r="G1319" s="37"/>
      <c r="H1319" s="37"/>
      <c r="I1319" s="37"/>
      <c r="J1319" s="37"/>
      <c r="K1319" s="37"/>
      <c r="L1319" s="37"/>
      <c r="M1319" s="37"/>
      <c r="N1319" s="37"/>
      <c r="O1319" s="37"/>
      <c r="P1319" s="37"/>
      <c r="Q1319" s="37"/>
      <c r="R1319" s="37"/>
      <c r="S1319" s="38"/>
      <c r="T1319" s="37"/>
      <c r="U1319" s="38"/>
      <c r="V1319" s="37"/>
      <c r="W1319" s="37"/>
      <c r="X1319" s="37"/>
      <c r="Y1319" s="37"/>
      <c r="Z1319" s="37"/>
      <c r="AA1319" s="37"/>
      <c r="AB1319" s="37"/>
      <c r="AC1319" s="37"/>
      <c r="AD1319" s="38"/>
      <c r="AE1319" s="38"/>
      <c r="AF1319" s="37"/>
      <c r="AG1319" s="37"/>
      <c r="AH1319" s="37"/>
      <c r="AI1319" s="37"/>
      <c r="AJ1319" s="37"/>
      <c r="AK1319" s="37"/>
      <c r="AL1319" s="37"/>
      <c r="AM1319" s="37"/>
      <c r="AN1319" s="37"/>
      <c r="AO1319" s="37"/>
      <c r="AP1319" s="39">
        <f t="shared" si="622"/>
        <v>0</v>
      </c>
      <c r="AQ1319" s="1"/>
    </row>
    <row r="1320" ht="15.0" hidden="1" customHeight="1">
      <c r="A1320" s="1"/>
      <c r="B1320" s="35"/>
      <c r="C1320" s="35"/>
      <c r="D1320" s="35"/>
      <c r="E1320" s="35"/>
      <c r="F1320" s="14" t="s">
        <v>43</v>
      </c>
      <c r="G1320" s="37"/>
      <c r="H1320" s="38"/>
      <c r="I1320" s="38"/>
      <c r="J1320" s="38"/>
      <c r="K1320" s="38"/>
      <c r="L1320" s="38"/>
      <c r="M1320" s="38"/>
      <c r="N1320" s="38"/>
      <c r="O1320" s="38"/>
      <c r="P1320" s="38"/>
      <c r="Q1320" s="38"/>
      <c r="R1320" s="38"/>
      <c r="S1320" s="38"/>
      <c r="T1320" s="38"/>
      <c r="U1320" s="38"/>
      <c r="V1320" s="38"/>
      <c r="W1320" s="38"/>
      <c r="X1320" s="38"/>
      <c r="Y1320" s="38"/>
      <c r="Z1320" s="38"/>
      <c r="AA1320" s="38"/>
      <c r="AB1320" s="38"/>
      <c r="AC1320" s="38"/>
      <c r="AD1320" s="38"/>
      <c r="AE1320" s="38"/>
      <c r="AF1320" s="38"/>
      <c r="AG1320" s="38"/>
      <c r="AH1320" s="38"/>
      <c r="AI1320" s="38"/>
      <c r="AJ1320" s="38"/>
      <c r="AK1320" s="38"/>
      <c r="AL1320" s="38"/>
      <c r="AM1320" s="38"/>
      <c r="AN1320" s="38"/>
      <c r="AO1320" s="37"/>
      <c r="AP1320" s="39">
        <f t="shared" si="622"/>
        <v>0</v>
      </c>
      <c r="AQ1320" s="1"/>
    </row>
    <row r="1321" ht="15.75" hidden="1" customHeight="1">
      <c r="A1321" s="1"/>
      <c r="B1321" s="42"/>
      <c r="C1321" s="42"/>
      <c r="D1321" s="42"/>
      <c r="E1321" s="42"/>
      <c r="F1321" s="43" t="s">
        <v>30</v>
      </c>
      <c r="G1321" s="55"/>
      <c r="H1321" s="34">
        <f t="shared" ref="H1321:AN1321" si="623">H1317+H1318-H1319-H1320</f>
        <v>64</v>
      </c>
      <c r="I1321" s="34">
        <f t="shared" si="623"/>
        <v>64</v>
      </c>
      <c r="J1321" s="34">
        <f t="shared" si="623"/>
        <v>64</v>
      </c>
      <c r="K1321" s="34">
        <f t="shared" si="623"/>
        <v>64</v>
      </c>
      <c r="L1321" s="34">
        <f t="shared" si="623"/>
        <v>64</v>
      </c>
      <c r="M1321" s="34">
        <f t="shared" si="623"/>
        <v>64</v>
      </c>
      <c r="N1321" s="34">
        <f t="shared" si="623"/>
        <v>64</v>
      </c>
      <c r="O1321" s="34">
        <f t="shared" si="623"/>
        <v>64</v>
      </c>
      <c r="P1321" s="34">
        <f t="shared" si="623"/>
        <v>64</v>
      </c>
      <c r="Q1321" s="34">
        <f t="shared" si="623"/>
        <v>64</v>
      </c>
      <c r="R1321" s="34">
        <f t="shared" si="623"/>
        <v>64</v>
      </c>
      <c r="S1321" s="34">
        <f t="shared" si="623"/>
        <v>64</v>
      </c>
      <c r="T1321" s="34">
        <f t="shared" si="623"/>
        <v>64</v>
      </c>
      <c r="U1321" s="34">
        <f t="shared" si="623"/>
        <v>64</v>
      </c>
      <c r="V1321" s="34">
        <f t="shared" si="623"/>
        <v>64</v>
      </c>
      <c r="W1321" s="34">
        <f t="shared" si="623"/>
        <v>64</v>
      </c>
      <c r="X1321" s="34">
        <f t="shared" si="623"/>
        <v>64</v>
      </c>
      <c r="Y1321" s="34">
        <f t="shared" si="623"/>
        <v>64</v>
      </c>
      <c r="Z1321" s="34">
        <f t="shared" si="623"/>
        <v>64</v>
      </c>
      <c r="AA1321" s="34">
        <f t="shared" si="623"/>
        <v>64</v>
      </c>
      <c r="AB1321" s="34">
        <f t="shared" si="623"/>
        <v>64</v>
      </c>
      <c r="AC1321" s="34">
        <f t="shared" si="623"/>
        <v>64</v>
      </c>
      <c r="AD1321" s="34">
        <f t="shared" si="623"/>
        <v>64</v>
      </c>
      <c r="AE1321" s="34">
        <f t="shared" si="623"/>
        <v>64</v>
      </c>
      <c r="AF1321" s="34">
        <f t="shared" si="623"/>
        <v>64</v>
      </c>
      <c r="AG1321" s="34">
        <f t="shared" si="623"/>
        <v>64</v>
      </c>
      <c r="AH1321" s="34">
        <f t="shared" si="623"/>
        <v>64</v>
      </c>
      <c r="AI1321" s="34">
        <f t="shared" si="623"/>
        <v>64</v>
      </c>
      <c r="AJ1321" s="34">
        <f t="shared" si="623"/>
        <v>64</v>
      </c>
      <c r="AK1321" s="34">
        <f t="shared" si="623"/>
        <v>64</v>
      </c>
      <c r="AL1321" s="34">
        <f t="shared" si="623"/>
        <v>64</v>
      </c>
      <c r="AM1321" s="34">
        <f t="shared" si="623"/>
        <v>64</v>
      </c>
      <c r="AN1321" s="34">
        <f t="shared" si="623"/>
        <v>64</v>
      </c>
      <c r="AO1321" s="34"/>
      <c r="AP1321" s="45">
        <f>AO1317</f>
        <v>64</v>
      </c>
      <c r="AQ1321" s="1"/>
    </row>
    <row r="1322" ht="15.75" hidden="1" customHeight="1">
      <c r="A1322" s="1"/>
      <c r="B1322" s="32"/>
      <c r="C1322" s="57" t="s">
        <v>421</v>
      </c>
      <c r="D1322" s="32" t="s">
        <v>438</v>
      </c>
      <c r="E1322" s="109" t="s">
        <v>430</v>
      </c>
      <c r="F1322" s="14" t="s">
        <v>23</v>
      </c>
      <c r="G1322" s="44"/>
      <c r="H1322" s="21">
        <v>30.0</v>
      </c>
      <c r="I1322" s="34">
        <f t="shared" ref="I1322:AO1322" si="624">H1326</f>
        <v>30</v>
      </c>
      <c r="J1322" s="34">
        <f t="shared" si="624"/>
        <v>30</v>
      </c>
      <c r="K1322" s="34">
        <f t="shared" si="624"/>
        <v>30</v>
      </c>
      <c r="L1322" s="34">
        <f t="shared" si="624"/>
        <v>30</v>
      </c>
      <c r="M1322" s="34">
        <f t="shared" si="624"/>
        <v>30</v>
      </c>
      <c r="N1322" s="34">
        <f t="shared" si="624"/>
        <v>30</v>
      </c>
      <c r="O1322" s="34">
        <f t="shared" si="624"/>
        <v>30</v>
      </c>
      <c r="P1322" s="34">
        <f t="shared" si="624"/>
        <v>30</v>
      </c>
      <c r="Q1322" s="34">
        <f t="shared" si="624"/>
        <v>30</v>
      </c>
      <c r="R1322" s="34">
        <f t="shared" si="624"/>
        <v>30</v>
      </c>
      <c r="S1322" s="34">
        <f t="shared" si="624"/>
        <v>30</v>
      </c>
      <c r="T1322" s="34">
        <f t="shared" si="624"/>
        <v>30</v>
      </c>
      <c r="U1322" s="34">
        <f t="shared" si="624"/>
        <v>30</v>
      </c>
      <c r="V1322" s="34">
        <f t="shared" si="624"/>
        <v>30</v>
      </c>
      <c r="W1322" s="34">
        <f t="shared" si="624"/>
        <v>30</v>
      </c>
      <c r="X1322" s="34">
        <f t="shared" si="624"/>
        <v>30</v>
      </c>
      <c r="Y1322" s="34">
        <f t="shared" si="624"/>
        <v>30</v>
      </c>
      <c r="Z1322" s="34">
        <f t="shared" si="624"/>
        <v>30</v>
      </c>
      <c r="AA1322" s="34">
        <f t="shared" si="624"/>
        <v>30</v>
      </c>
      <c r="AB1322" s="34">
        <f t="shared" si="624"/>
        <v>30</v>
      </c>
      <c r="AC1322" s="34">
        <f t="shared" si="624"/>
        <v>30</v>
      </c>
      <c r="AD1322" s="34">
        <f t="shared" si="624"/>
        <v>30</v>
      </c>
      <c r="AE1322" s="34">
        <f t="shared" si="624"/>
        <v>30</v>
      </c>
      <c r="AF1322" s="34">
        <f t="shared" si="624"/>
        <v>30</v>
      </c>
      <c r="AG1322" s="34">
        <f t="shared" si="624"/>
        <v>30</v>
      </c>
      <c r="AH1322" s="34">
        <f t="shared" si="624"/>
        <v>30</v>
      </c>
      <c r="AI1322" s="34">
        <f t="shared" si="624"/>
        <v>30</v>
      </c>
      <c r="AJ1322" s="34">
        <f t="shared" si="624"/>
        <v>30</v>
      </c>
      <c r="AK1322" s="34">
        <f t="shared" si="624"/>
        <v>30</v>
      </c>
      <c r="AL1322" s="34">
        <f t="shared" si="624"/>
        <v>30</v>
      </c>
      <c r="AM1322" s="34">
        <f t="shared" si="624"/>
        <v>30</v>
      </c>
      <c r="AN1322" s="34">
        <f t="shared" si="624"/>
        <v>30</v>
      </c>
      <c r="AO1322" s="34">
        <f t="shared" si="624"/>
        <v>30</v>
      </c>
      <c r="AP1322" s="54"/>
      <c r="AQ1322" s="1"/>
    </row>
    <row r="1323" ht="15.0" hidden="1" customHeight="1">
      <c r="A1323" s="1"/>
      <c r="B1323" s="35"/>
      <c r="C1323" s="35"/>
      <c r="D1323" s="35"/>
      <c r="E1323" s="35"/>
      <c r="F1323" s="36" t="s">
        <v>25</v>
      </c>
      <c r="G1323" s="37"/>
      <c r="H1323" s="37"/>
      <c r="I1323" s="37"/>
      <c r="J1323" s="37"/>
      <c r="K1323" s="37"/>
      <c r="L1323" s="37"/>
      <c r="M1323" s="37"/>
      <c r="N1323" s="37"/>
      <c r="O1323" s="37"/>
      <c r="P1323" s="37"/>
      <c r="Q1323" s="37"/>
      <c r="R1323" s="37"/>
      <c r="S1323" s="38"/>
      <c r="T1323" s="37"/>
      <c r="U1323" s="38"/>
      <c r="V1323" s="37"/>
      <c r="W1323" s="37"/>
      <c r="X1323" s="37"/>
      <c r="Y1323" s="37"/>
      <c r="Z1323" s="37"/>
      <c r="AA1323" s="37"/>
      <c r="AB1323" s="37"/>
      <c r="AC1323" s="37"/>
      <c r="AD1323" s="38"/>
      <c r="AE1323" s="37"/>
      <c r="AF1323" s="37"/>
      <c r="AG1323" s="37"/>
      <c r="AH1323" s="37"/>
      <c r="AI1323" s="37"/>
      <c r="AJ1323" s="37"/>
      <c r="AK1323" s="37"/>
      <c r="AL1323" s="37"/>
      <c r="AM1323" s="37"/>
      <c r="AN1323" s="37"/>
      <c r="AO1323" s="37"/>
      <c r="AP1323" s="39">
        <f t="shared" ref="AP1323:AP1325" si="625">SUM(H1323:AO1323)</f>
        <v>0</v>
      </c>
      <c r="AQ1323" s="1"/>
    </row>
    <row r="1324" ht="15.0" hidden="1" customHeight="1">
      <c r="A1324" s="1"/>
      <c r="B1324" s="35"/>
      <c r="C1324" s="35"/>
      <c r="D1324" s="35"/>
      <c r="E1324" s="35"/>
      <c r="F1324" s="40" t="s">
        <v>94</v>
      </c>
      <c r="G1324" s="37"/>
      <c r="H1324" s="37"/>
      <c r="I1324" s="37"/>
      <c r="J1324" s="37"/>
      <c r="K1324" s="37"/>
      <c r="L1324" s="37"/>
      <c r="M1324" s="37"/>
      <c r="N1324" s="37"/>
      <c r="O1324" s="37"/>
      <c r="P1324" s="37"/>
      <c r="Q1324" s="37"/>
      <c r="R1324" s="37"/>
      <c r="S1324" s="38"/>
      <c r="T1324" s="37"/>
      <c r="U1324" s="38"/>
      <c r="V1324" s="37"/>
      <c r="W1324" s="37"/>
      <c r="X1324" s="37"/>
      <c r="Y1324" s="37"/>
      <c r="Z1324" s="37"/>
      <c r="AA1324" s="37"/>
      <c r="AB1324" s="37"/>
      <c r="AC1324" s="37"/>
      <c r="AD1324" s="38"/>
      <c r="AE1324" s="38"/>
      <c r="AF1324" s="37"/>
      <c r="AG1324" s="37"/>
      <c r="AH1324" s="37"/>
      <c r="AI1324" s="37"/>
      <c r="AJ1324" s="37"/>
      <c r="AK1324" s="37"/>
      <c r="AL1324" s="37"/>
      <c r="AM1324" s="37"/>
      <c r="AN1324" s="37"/>
      <c r="AO1324" s="37"/>
      <c r="AP1324" s="39">
        <f t="shared" si="625"/>
        <v>0</v>
      </c>
      <c r="AQ1324" s="1"/>
    </row>
    <row r="1325" ht="15.0" hidden="1" customHeight="1">
      <c r="A1325" s="1"/>
      <c r="B1325" s="35"/>
      <c r="C1325" s="35"/>
      <c r="D1325" s="35"/>
      <c r="E1325" s="35"/>
      <c r="F1325" s="14" t="s">
        <v>43</v>
      </c>
      <c r="G1325" s="37"/>
      <c r="H1325" s="38"/>
      <c r="I1325" s="38"/>
      <c r="J1325" s="38"/>
      <c r="K1325" s="38"/>
      <c r="L1325" s="38"/>
      <c r="M1325" s="38"/>
      <c r="N1325" s="38"/>
      <c r="O1325" s="38"/>
      <c r="P1325" s="38"/>
      <c r="Q1325" s="38"/>
      <c r="R1325" s="38"/>
      <c r="S1325" s="38"/>
      <c r="T1325" s="38"/>
      <c r="U1325" s="38"/>
      <c r="V1325" s="38"/>
      <c r="W1325" s="38"/>
      <c r="X1325" s="38"/>
      <c r="Y1325" s="38"/>
      <c r="Z1325" s="38"/>
      <c r="AA1325" s="38"/>
      <c r="AB1325" s="38"/>
      <c r="AC1325" s="38"/>
      <c r="AD1325" s="38"/>
      <c r="AE1325" s="38"/>
      <c r="AF1325" s="38"/>
      <c r="AG1325" s="38"/>
      <c r="AH1325" s="38"/>
      <c r="AI1325" s="38"/>
      <c r="AJ1325" s="38"/>
      <c r="AK1325" s="38"/>
      <c r="AL1325" s="38"/>
      <c r="AM1325" s="38"/>
      <c r="AN1325" s="38"/>
      <c r="AO1325" s="37"/>
      <c r="AP1325" s="39">
        <f t="shared" si="625"/>
        <v>0</v>
      </c>
      <c r="AQ1325" s="1"/>
    </row>
    <row r="1326" ht="15.75" hidden="1" customHeight="1">
      <c r="A1326" s="1"/>
      <c r="B1326" s="42"/>
      <c r="C1326" s="42"/>
      <c r="D1326" s="42"/>
      <c r="E1326" s="42"/>
      <c r="F1326" s="43" t="s">
        <v>30</v>
      </c>
      <c r="G1326" s="55"/>
      <c r="H1326" s="34">
        <f t="shared" ref="H1326:AN1326" si="626">H1322+H1323-H1324-H1325</f>
        <v>30</v>
      </c>
      <c r="I1326" s="34">
        <f t="shared" si="626"/>
        <v>30</v>
      </c>
      <c r="J1326" s="34">
        <f t="shared" si="626"/>
        <v>30</v>
      </c>
      <c r="K1326" s="34">
        <f t="shared" si="626"/>
        <v>30</v>
      </c>
      <c r="L1326" s="34">
        <f t="shared" si="626"/>
        <v>30</v>
      </c>
      <c r="M1326" s="34">
        <f t="shared" si="626"/>
        <v>30</v>
      </c>
      <c r="N1326" s="34">
        <f t="shared" si="626"/>
        <v>30</v>
      </c>
      <c r="O1326" s="34">
        <f t="shared" si="626"/>
        <v>30</v>
      </c>
      <c r="P1326" s="34">
        <f t="shared" si="626"/>
        <v>30</v>
      </c>
      <c r="Q1326" s="34">
        <f t="shared" si="626"/>
        <v>30</v>
      </c>
      <c r="R1326" s="34">
        <f t="shared" si="626"/>
        <v>30</v>
      </c>
      <c r="S1326" s="34">
        <f t="shared" si="626"/>
        <v>30</v>
      </c>
      <c r="T1326" s="34">
        <f t="shared" si="626"/>
        <v>30</v>
      </c>
      <c r="U1326" s="34">
        <f t="shared" si="626"/>
        <v>30</v>
      </c>
      <c r="V1326" s="34">
        <f t="shared" si="626"/>
        <v>30</v>
      </c>
      <c r="W1326" s="34">
        <f t="shared" si="626"/>
        <v>30</v>
      </c>
      <c r="X1326" s="34">
        <f t="shared" si="626"/>
        <v>30</v>
      </c>
      <c r="Y1326" s="34">
        <f t="shared" si="626"/>
        <v>30</v>
      </c>
      <c r="Z1326" s="34">
        <f t="shared" si="626"/>
        <v>30</v>
      </c>
      <c r="AA1326" s="34">
        <f t="shared" si="626"/>
        <v>30</v>
      </c>
      <c r="AB1326" s="34">
        <f t="shared" si="626"/>
        <v>30</v>
      </c>
      <c r="AC1326" s="34">
        <f t="shared" si="626"/>
        <v>30</v>
      </c>
      <c r="AD1326" s="34">
        <f t="shared" si="626"/>
        <v>30</v>
      </c>
      <c r="AE1326" s="34">
        <f t="shared" si="626"/>
        <v>30</v>
      </c>
      <c r="AF1326" s="34">
        <f t="shared" si="626"/>
        <v>30</v>
      </c>
      <c r="AG1326" s="34">
        <f t="shared" si="626"/>
        <v>30</v>
      </c>
      <c r="AH1326" s="34">
        <f t="shared" si="626"/>
        <v>30</v>
      </c>
      <c r="AI1326" s="34">
        <f t="shared" si="626"/>
        <v>30</v>
      </c>
      <c r="AJ1326" s="34">
        <f t="shared" si="626"/>
        <v>30</v>
      </c>
      <c r="AK1326" s="34">
        <f t="shared" si="626"/>
        <v>30</v>
      </c>
      <c r="AL1326" s="34">
        <f t="shared" si="626"/>
        <v>30</v>
      </c>
      <c r="AM1326" s="34">
        <f t="shared" si="626"/>
        <v>30</v>
      </c>
      <c r="AN1326" s="34">
        <f t="shared" si="626"/>
        <v>30</v>
      </c>
      <c r="AO1326" s="34"/>
      <c r="AP1326" s="45">
        <f>AO1322</f>
        <v>30</v>
      </c>
      <c r="AQ1326" s="1"/>
    </row>
    <row r="1327" ht="15.75" hidden="1" customHeight="1">
      <c r="A1327" s="1"/>
      <c r="B1327" s="32"/>
      <c r="C1327" s="57" t="s">
        <v>419</v>
      </c>
      <c r="D1327" s="32" t="s">
        <v>431</v>
      </c>
      <c r="E1327" s="109" t="s">
        <v>423</v>
      </c>
      <c r="F1327" s="14" t="s">
        <v>23</v>
      </c>
      <c r="G1327" s="44"/>
      <c r="H1327" s="21">
        <v>76.0</v>
      </c>
      <c r="I1327" s="34">
        <f t="shared" ref="I1327:AO1327" si="627">H1331</f>
        <v>76</v>
      </c>
      <c r="J1327" s="34">
        <f t="shared" si="627"/>
        <v>76</v>
      </c>
      <c r="K1327" s="34">
        <f t="shared" si="627"/>
        <v>76</v>
      </c>
      <c r="L1327" s="34">
        <f t="shared" si="627"/>
        <v>76</v>
      </c>
      <c r="M1327" s="34">
        <f t="shared" si="627"/>
        <v>76</v>
      </c>
      <c r="N1327" s="34">
        <f t="shared" si="627"/>
        <v>76</v>
      </c>
      <c r="O1327" s="34">
        <f t="shared" si="627"/>
        <v>76</v>
      </c>
      <c r="P1327" s="34">
        <f t="shared" si="627"/>
        <v>76</v>
      </c>
      <c r="Q1327" s="34">
        <f t="shared" si="627"/>
        <v>76</v>
      </c>
      <c r="R1327" s="34">
        <f t="shared" si="627"/>
        <v>76</v>
      </c>
      <c r="S1327" s="34">
        <f t="shared" si="627"/>
        <v>76</v>
      </c>
      <c r="T1327" s="34">
        <f t="shared" si="627"/>
        <v>76</v>
      </c>
      <c r="U1327" s="34">
        <f t="shared" si="627"/>
        <v>76</v>
      </c>
      <c r="V1327" s="34">
        <f t="shared" si="627"/>
        <v>76</v>
      </c>
      <c r="W1327" s="34">
        <f t="shared" si="627"/>
        <v>76</v>
      </c>
      <c r="X1327" s="34">
        <f t="shared" si="627"/>
        <v>76</v>
      </c>
      <c r="Y1327" s="34">
        <f t="shared" si="627"/>
        <v>76</v>
      </c>
      <c r="Z1327" s="34">
        <f t="shared" si="627"/>
        <v>76</v>
      </c>
      <c r="AA1327" s="34">
        <f t="shared" si="627"/>
        <v>76</v>
      </c>
      <c r="AB1327" s="34">
        <f t="shared" si="627"/>
        <v>76</v>
      </c>
      <c r="AC1327" s="34">
        <f t="shared" si="627"/>
        <v>76</v>
      </c>
      <c r="AD1327" s="34">
        <f t="shared" si="627"/>
        <v>76</v>
      </c>
      <c r="AE1327" s="34">
        <f t="shared" si="627"/>
        <v>76</v>
      </c>
      <c r="AF1327" s="34">
        <f t="shared" si="627"/>
        <v>76</v>
      </c>
      <c r="AG1327" s="34">
        <f t="shared" si="627"/>
        <v>76</v>
      </c>
      <c r="AH1327" s="34">
        <f t="shared" si="627"/>
        <v>76</v>
      </c>
      <c r="AI1327" s="34">
        <f t="shared" si="627"/>
        <v>76</v>
      </c>
      <c r="AJ1327" s="34">
        <f t="shared" si="627"/>
        <v>76</v>
      </c>
      <c r="AK1327" s="34">
        <f t="shared" si="627"/>
        <v>76</v>
      </c>
      <c r="AL1327" s="34">
        <f t="shared" si="627"/>
        <v>76</v>
      </c>
      <c r="AM1327" s="34">
        <f t="shared" si="627"/>
        <v>76</v>
      </c>
      <c r="AN1327" s="34">
        <f t="shared" si="627"/>
        <v>76</v>
      </c>
      <c r="AO1327" s="34">
        <f t="shared" si="627"/>
        <v>76</v>
      </c>
      <c r="AP1327" s="54"/>
      <c r="AQ1327" s="1"/>
    </row>
    <row r="1328" ht="15.0" hidden="1" customHeight="1">
      <c r="A1328" s="1"/>
      <c r="B1328" s="35"/>
      <c r="C1328" s="35"/>
      <c r="D1328" s="35"/>
      <c r="E1328" s="35"/>
      <c r="F1328" s="36" t="s">
        <v>25</v>
      </c>
      <c r="G1328" s="37"/>
      <c r="H1328" s="37"/>
      <c r="I1328" s="37"/>
      <c r="J1328" s="37"/>
      <c r="K1328" s="37"/>
      <c r="L1328" s="37"/>
      <c r="M1328" s="37"/>
      <c r="N1328" s="37"/>
      <c r="O1328" s="37"/>
      <c r="P1328" s="37"/>
      <c r="Q1328" s="37"/>
      <c r="R1328" s="37"/>
      <c r="S1328" s="38"/>
      <c r="T1328" s="37"/>
      <c r="U1328" s="38"/>
      <c r="V1328" s="37"/>
      <c r="W1328" s="37"/>
      <c r="X1328" s="37"/>
      <c r="Y1328" s="37"/>
      <c r="Z1328" s="37"/>
      <c r="AA1328" s="37"/>
      <c r="AB1328" s="37"/>
      <c r="AC1328" s="37"/>
      <c r="AD1328" s="38"/>
      <c r="AE1328" s="37"/>
      <c r="AF1328" s="37"/>
      <c r="AG1328" s="37"/>
      <c r="AH1328" s="37"/>
      <c r="AI1328" s="37"/>
      <c r="AJ1328" s="37"/>
      <c r="AK1328" s="37"/>
      <c r="AL1328" s="37"/>
      <c r="AM1328" s="37"/>
      <c r="AN1328" s="37"/>
      <c r="AO1328" s="37"/>
      <c r="AP1328" s="39">
        <f t="shared" ref="AP1328:AP1330" si="628">SUM(H1328:AO1328)</f>
        <v>0</v>
      </c>
      <c r="AQ1328" s="1"/>
    </row>
    <row r="1329" ht="15.0" hidden="1" customHeight="1">
      <c r="A1329" s="1"/>
      <c r="B1329" s="35"/>
      <c r="C1329" s="35"/>
      <c r="D1329" s="35"/>
      <c r="E1329" s="35"/>
      <c r="F1329" s="40" t="s">
        <v>94</v>
      </c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8"/>
      <c r="T1329" s="37"/>
      <c r="U1329" s="38"/>
      <c r="V1329" s="37"/>
      <c r="W1329" s="37"/>
      <c r="X1329" s="37"/>
      <c r="Y1329" s="37"/>
      <c r="Z1329" s="37"/>
      <c r="AA1329" s="37"/>
      <c r="AB1329" s="37"/>
      <c r="AC1329" s="37"/>
      <c r="AD1329" s="38"/>
      <c r="AE1329" s="38"/>
      <c r="AF1329" s="37"/>
      <c r="AG1329" s="37"/>
      <c r="AH1329" s="37"/>
      <c r="AI1329" s="37"/>
      <c r="AJ1329" s="37"/>
      <c r="AK1329" s="37"/>
      <c r="AL1329" s="37"/>
      <c r="AM1329" s="37"/>
      <c r="AN1329" s="37"/>
      <c r="AO1329" s="37"/>
      <c r="AP1329" s="39">
        <f t="shared" si="628"/>
        <v>0</v>
      </c>
      <c r="AQ1329" s="1"/>
    </row>
    <row r="1330" ht="15.0" hidden="1" customHeight="1">
      <c r="A1330" s="1"/>
      <c r="B1330" s="35"/>
      <c r="C1330" s="35"/>
      <c r="D1330" s="35"/>
      <c r="E1330" s="35"/>
      <c r="F1330" s="14" t="s">
        <v>43</v>
      </c>
      <c r="G1330" s="37"/>
      <c r="H1330" s="38"/>
      <c r="I1330" s="38"/>
      <c r="J1330" s="38"/>
      <c r="K1330" s="38"/>
      <c r="L1330" s="38"/>
      <c r="M1330" s="38"/>
      <c r="N1330" s="38"/>
      <c r="O1330" s="38"/>
      <c r="P1330" s="38"/>
      <c r="Q1330" s="38"/>
      <c r="R1330" s="38"/>
      <c r="S1330" s="38"/>
      <c r="T1330" s="38"/>
      <c r="U1330" s="38"/>
      <c r="V1330" s="38"/>
      <c r="W1330" s="38"/>
      <c r="X1330" s="38"/>
      <c r="Y1330" s="38"/>
      <c r="Z1330" s="38"/>
      <c r="AA1330" s="38"/>
      <c r="AB1330" s="38"/>
      <c r="AC1330" s="38"/>
      <c r="AD1330" s="38"/>
      <c r="AE1330" s="38"/>
      <c r="AF1330" s="38"/>
      <c r="AG1330" s="38"/>
      <c r="AH1330" s="38"/>
      <c r="AI1330" s="38"/>
      <c r="AJ1330" s="38"/>
      <c r="AK1330" s="38"/>
      <c r="AL1330" s="38"/>
      <c r="AM1330" s="38"/>
      <c r="AN1330" s="38"/>
      <c r="AO1330" s="37"/>
      <c r="AP1330" s="39">
        <f t="shared" si="628"/>
        <v>0</v>
      </c>
      <c r="AQ1330" s="1"/>
    </row>
    <row r="1331" ht="15.75" hidden="1" customHeight="1">
      <c r="A1331" s="1"/>
      <c r="B1331" s="42"/>
      <c r="C1331" s="42"/>
      <c r="D1331" s="42"/>
      <c r="E1331" s="42"/>
      <c r="F1331" s="43" t="s">
        <v>30</v>
      </c>
      <c r="G1331" s="55"/>
      <c r="H1331" s="34">
        <f t="shared" ref="H1331:AN1331" si="629">H1327+H1328-H1329-H1330</f>
        <v>76</v>
      </c>
      <c r="I1331" s="34">
        <f t="shared" si="629"/>
        <v>76</v>
      </c>
      <c r="J1331" s="34">
        <f t="shared" si="629"/>
        <v>76</v>
      </c>
      <c r="K1331" s="34">
        <f t="shared" si="629"/>
        <v>76</v>
      </c>
      <c r="L1331" s="34">
        <f t="shared" si="629"/>
        <v>76</v>
      </c>
      <c r="M1331" s="34">
        <f t="shared" si="629"/>
        <v>76</v>
      </c>
      <c r="N1331" s="34">
        <f t="shared" si="629"/>
        <v>76</v>
      </c>
      <c r="O1331" s="34">
        <f t="shared" si="629"/>
        <v>76</v>
      </c>
      <c r="P1331" s="34">
        <f t="shared" si="629"/>
        <v>76</v>
      </c>
      <c r="Q1331" s="34">
        <f t="shared" si="629"/>
        <v>76</v>
      </c>
      <c r="R1331" s="34">
        <f t="shared" si="629"/>
        <v>76</v>
      </c>
      <c r="S1331" s="34">
        <f t="shared" si="629"/>
        <v>76</v>
      </c>
      <c r="T1331" s="34">
        <f t="shared" si="629"/>
        <v>76</v>
      </c>
      <c r="U1331" s="34">
        <f t="shared" si="629"/>
        <v>76</v>
      </c>
      <c r="V1331" s="34">
        <f t="shared" si="629"/>
        <v>76</v>
      </c>
      <c r="W1331" s="34">
        <f t="shared" si="629"/>
        <v>76</v>
      </c>
      <c r="X1331" s="34">
        <f t="shared" si="629"/>
        <v>76</v>
      </c>
      <c r="Y1331" s="34">
        <f t="shared" si="629"/>
        <v>76</v>
      </c>
      <c r="Z1331" s="34">
        <f t="shared" si="629"/>
        <v>76</v>
      </c>
      <c r="AA1331" s="34">
        <f t="shared" si="629"/>
        <v>76</v>
      </c>
      <c r="AB1331" s="34">
        <f t="shared" si="629"/>
        <v>76</v>
      </c>
      <c r="AC1331" s="34">
        <f t="shared" si="629"/>
        <v>76</v>
      </c>
      <c r="AD1331" s="34">
        <f t="shared" si="629"/>
        <v>76</v>
      </c>
      <c r="AE1331" s="34">
        <f t="shared" si="629"/>
        <v>76</v>
      </c>
      <c r="AF1331" s="34">
        <f t="shared" si="629"/>
        <v>76</v>
      </c>
      <c r="AG1331" s="34">
        <f t="shared" si="629"/>
        <v>76</v>
      </c>
      <c r="AH1331" s="34">
        <f t="shared" si="629"/>
        <v>76</v>
      </c>
      <c r="AI1331" s="34">
        <f t="shared" si="629"/>
        <v>76</v>
      </c>
      <c r="AJ1331" s="34">
        <f t="shared" si="629"/>
        <v>76</v>
      </c>
      <c r="AK1331" s="34">
        <f t="shared" si="629"/>
        <v>76</v>
      </c>
      <c r="AL1331" s="34">
        <f t="shared" si="629"/>
        <v>76</v>
      </c>
      <c r="AM1331" s="34">
        <f t="shared" si="629"/>
        <v>76</v>
      </c>
      <c r="AN1331" s="34">
        <f t="shared" si="629"/>
        <v>76</v>
      </c>
      <c r="AO1331" s="34"/>
      <c r="AP1331" s="45">
        <f>AO1327</f>
        <v>76</v>
      </c>
      <c r="AQ1331" s="1"/>
    </row>
    <row r="1332" ht="15.75" hidden="1" customHeight="1">
      <c r="A1332" s="1"/>
      <c r="B1332" s="32"/>
      <c r="C1332" s="57" t="s">
        <v>419</v>
      </c>
      <c r="D1332" s="32" t="s">
        <v>439</v>
      </c>
      <c r="E1332" s="109" t="s">
        <v>430</v>
      </c>
      <c r="F1332" s="14" t="s">
        <v>23</v>
      </c>
      <c r="G1332" s="44"/>
      <c r="H1332" s="21">
        <v>12.0</v>
      </c>
      <c r="I1332" s="34">
        <f t="shared" ref="I1332:AO1332" si="630">H1336</f>
        <v>12</v>
      </c>
      <c r="J1332" s="34">
        <f t="shared" si="630"/>
        <v>12</v>
      </c>
      <c r="K1332" s="34">
        <f t="shared" si="630"/>
        <v>12</v>
      </c>
      <c r="L1332" s="34">
        <f t="shared" si="630"/>
        <v>12</v>
      </c>
      <c r="M1332" s="34">
        <f t="shared" si="630"/>
        <v>12</v>
      </c>
      <c r="N1332" s="34">
        <f t="shared" si="630"/>
        <v>12</v>
      </c>
      <c r="O1332" s="34">
        <f t="shared" si="630"/>
        <v>12</v>
      </c>
      <c r="P1332" s="34">
        <f t="shared" si="630"/>
        <v>12</v>
      </c>
      <c r="Q1332" s="34">
        <f t="shared" si="630"/>
        <v>12</v>
      </c>
      <c r="R1332" s="34">
        <f t="shared" si="630"/>
        <v>12</v>
      </c>
      <c r="S1332" s="34">
        <f t="shared" si="630"/>
        <v>12</v>
      </c>
      <c r="T1332" s="34">
        <f t="shared" si="630"/>
        <v>12</v>
      </c>
      <c r="U1332" s="34">
        <f t="shared" si="630"/>
        <v>12</v>
      </c>
      <c r="V1332" s="34">
        <f t="shared" si="630"/>
        <v>12</v>
      </c>
      <c r="W1332" s="34">
        <f t="shared" si="630"/>
        <v>12</v>
      </c>
      <c r="X1332" s="34">
        <f t="shared" si="630"/>
        <v>12</v>
      </c>
      <c r="Y1332" s="34">
        <f t="shared" si="630"/>
        <v>12</v>
      </c>
      <c r="Z1332" s="34">
        <f t="shared" si="630"/>
        <v>12</v>
      </c>
      <c r="AA1332" s="34">
        <f t="shared" si="630"/>
        <v>12</v>
      </c>
      <c r="AB1332" s="34">
        <f t="shared" si="630"/>
        <v>12</v>
      </c>
      <c r="AC1332" s="34">
        <f t="shared" si="630"/>
        <v>12</v>
      </c>
      <c r="AD1332" s="34">
        <f t="shared" si="630"/>
        <v>12</v>
      </c>
      <c r="AE1332" s="34">
        <f t="shared" si="630"/>
        <v>12</v>
      </c>
      <c r="AF1332" s="34">
        <f t="shared" si="630"/>
        <v>12</v>
      </c>
      <c r="AG1332" s="34">
        <f t="shared" si="630"/>
        <v>12</v>
      </c>
      <c r="AH1332" s="34">
        <f t="shared" si="630"/>
        <v>12</v>
      </c>
      <c r="AI1332" s="34">
        <f t="shared" si="630"/>
        <v>12</v>
      </c>
      <c r="AJ1332" s="34">
        <f t="shared" si="630"/>
        <v>12</v>
      </c>
      <c r="AK1332" s="34">
        <f t="shared" si="630"/>
        <v>12</v>
      </c>
      <c r="AL1332" s="34">
        <f t="shared" si="630"/>
        <v>12</v>
      </c>
      <c r="AM1332" s="34">
        <f t="shared" si="630"/>
        <v>12</v>
      </c>
      <c r="AN1332" s="34">
        <f t="shared" si="630"/>
        <v>12</v>
      </c>
      <c r="AO1332" s="34">
        <f t="shared" si="630"/>
        <v>12</v>
      </c>
      <c r="AP1332" s="54"/>
      <c r="AQ1332" s="1"/>
    </row>
    <row r="1333" ht="15.0" hidden="1" customHeight="1">
      <c r="A1333" s="1"/>
      <c r="B1333" s="35"/>
      <c r="C1333" s="35"/>
      <c r="D1333" s="35"/>
      <c r="E1333" s="35"/>
      <c r="F1333" s="36" t="s">
        <v>25</v>
      </c>
      <c r="G1333" s="37"/>
      <c r="H1333" s="37"/>
      <c r="I1333" s="37"/>
      <c r="J1333" s="37"/>
      <c r="K1333" s="37"/>
      <c r="L1333" s="37"/>
      <c r="M1333" s="37"/>
      <c r="N1333" s="37"/>
      <c r="O1333" s="37"/>
      <c r="P1333" s="37"/>
      <c r="Q1333" s="37"/>
      <c r="R1333" s="37"/>
      <c r="S1333" s="38"/>
      <c r="T1333" s="37"/>
      <c r="U1333" s="38"/>
      <c r="V1333" s="37"/>
      <c r="W1333" s="37"/>
      <c r="X1333" s="37"/>
      <c r="Y1333" s="37"/>
      <c r="Z1333" s="37"/>
      <c r="AA1333" s="37"/>
      <c r="AB1333" s="37"/>
      <c r="AC1333" s="37"/>
      <c r="AD1333" s="38"/>
      <c r="AE1333" s="37"/>
      <c r="AF1333" s="37"/>
      <c r="AG1333" s="37"/>
      <c r="AH1333" s="37"/>
      <c r="AI1333" s="37"/>
      <c r="AJ1333" s="37"/>
      <c r="AK1333" s="37"/>
      <c r="AL1333" s="37"/>
      <c r="AM1333" s="37"/>
      <c r="AN1333" s="37"/>
      <c r="AO1333" s="37"/>
      <c r="AP1333" s="39">
        <f t="shared" ref="AP1333:AP1335" si="631">SUM(H1333:AO1333)</f>
        <v>0</v>
      </c>
      <c r="AQ1333" s="1"/>
    </row>
    <row r="1334" ht="15.0" hidden="1" customHeight="1">
      <c r="A1334" s="1"/>
      <c r="B1334" s="35"/>
      <c r="C1334" s="35"/>
      <c r="D1334" s="35"/>
      <c r="E1334" s="35"/>
      <c r="F1334" s="40" t="s">
        <v>94</v>
      </c>
      <c r="G1334" s="37"/>
      <c r="H1334" s="37"/>
      <c r="I1334" s="37"/>
      <c r="J1334" s="37"/>
      <c r="K1334" s="37"/>
      <c r="L1334" s="37"/>
      <c r="M1334" s="37"/>
      <c r="N1334" s="37"/>
      <c r="O1334" s="37"/>
      <c r="P1334" s="37"/>
      <c r="Q1334" s="37"/>
      <c r="R1334" s="37"/>
      <c r="S1334" s="38"/>
      <c r="T1334" s="37"/>
      <c r="U1334" s="38"/>
      <c r="V1334" s="37"/>
      <c r="W1334" s="37"/>
      <c r="X1334" s="37"/>
      <c r="Y1334" s="37"/>
      <c r="Z1334" s="37"/>
      <c r="AA1334" s="37"/>
      <c r="AB1334" s="37"/>
      <c r="AC1334" s="37"/>
      <c r="AD1334" s="38"/>
      <c r="AE1334" s="38"/>
      <c r="AF1334" s="37"/>
      <c r="AG1334" s="37"/>
      <c r="AH1334" s="37"/>
      <c r="AI1334" s="37"/>
      <c r="AJ1334" s="37"/>
      <c r="AK1334" s="37"/>
      <c r="AL1334" s="37"/>
      <c r="AM1334" s="37"/>
      <c r="AN1334" s="37"/>
      <c r="AO1334" s="37"/>
      <c r="AP1334" s="39">
        <f t="shared" si="631"/>
        <v>0</v>
      </c>
      <c r="AQ1334" s="1"/>
    </row>
    <row r="1335" ht="15.0" hidden="1" customHeight="1">
      <c r="A1335" s="1"/>
      <c r="B1335" s="35"/>
      <c r="C1335" s="35"/>
      <c r="D1335" s="35"/>
      <c r="E1335" s="35"/>
      <c r="F1335" s="14" t="s">
        <v>43</v>
      </c>
      <c r="G1335" s="37"/>
      <c r="H1335" s="38"/>
      <c r="I1335" s="38"/>
      <c r="J1335" s="38"/>
      <c r="K1335" s="38"/>
      <c r="L1335" s="38"/>
      <c r="M1335" s="38"/>
      <c r="N1335" s="38"/>
      <c r="O1335" s="38"/>
      <c r="P1335" s="38"/>
      <c r="Q1335" s="38"/>
      <c r="R1335" s="38"/>
      <c r="S1335" s="38"/>
      <c r="T1335" s="38"/>
      <c r="U1335" s="38"/>
      <c r="V1335" s="38"/>
      <c r="W1335" s="38"/>
      <c r="X1335" s="38"/>
      <c r="Y1335" s="38"/>
      <c r="Z1335" s="38"/>
      <c r="AA1335" s="38"/>
      <c r="AB1335" s="38"/>
      <c r="AC1335" s="38"/>
      <c r="AD1335" s="38"/>
      <c r="AE1335" s="38"/>
      <c r="AF1335" s="38"/>
      <c r="AG1335" s="38"/>
      <c r="AH1335" s="38"/>
      <c r="AI1335" s="38"/>
      <c r="AJ1335" s="38"/>
      <c r="AK1335" s="38"/>
      <c r="AL1335" s="38"/>
      <c r="AM1335" s="38"/>
      <c r="AN1335" s="38"/>
      <c r="AO1335" s="37"/>
      <c r="AP1335" s="39">
        <f t="shared" si="631"/>
        <v>0</v>
      </c>
      <c r="AQ1335" s="1"/>
    </row>
    <row r="1336" ht="15.75" hidden="1" customHeight="1">
      <c r="A1336" s="1"/>
      <c r="B1336" s="42"/>
      <c r="C1336" s="42"/>
      <c r="D1336" s="42"/>
      <c r="E1336" s="42"/>
      <c r="F1336" s="43" t="s">
        <v>30</v>
      </c>
      <c r="G1336" s="55"/>
      <c r="H1336" s="34">
        <f t="shared" ref="H1336:AN1336" si="632">H1332+H1333-H1334-H1335</f>
        <v>12</v>
      </c>
      <c r="I1336" s="34">
        <f t="shared" si="632"/>
        <v>12</v>
      </c>
      <c r="J1336" s="34">
        <f t="shared" si="632"/>
        <v>12</v>
      </c>
      <c r="K1336" s="34">
        <f t="shared" si="632"/>
        <v>12</v>
      </c>
      <c r="L1336" s="34">
        <f t="shared" si="632"/>
        <v>12</v>
      </c>
      <c r="M1336" s="34">
        <f t="shared" si="632"/>
        <v>12</v>
      </c>
      <c r="N1336" s="34">
        <f t="shared" si="632"/>
        <v>12</v>
      </c>
      <c r="O1336" s="34">
        <f t="shared" si="632"/>
        <v>12</v>
      </c>
      <c r="P1336" s="34">
        <f t="shared" si="632"/>
        <v>12</v>
      </c>
      <c r="Q1336" s="34">
        <f t="shared" si="632"/>
        <v>12</v>
      </c>
      <c r="R1336" s="34">
        <f t="shared" si="632"/>
        <v>12</v>
      </c>
      <c r="S1336" s="34">
        <f t="shared" si="632"/>
        <v>12</v>
      </c>
      <c r="T1336" s="34">
        <f t="shared" si="632"/>
        <v>12</v>
      </c>
      <c r="U1336" s="34">
        <f t="shared" si="632"/>
        <v>12</v>
      </c>
      <c r="V1336" s="34">
        <f t="shared" si="632"/>
        <v>12</v>
      </c>
      <c r="W1336" s="34">
        <f t="shared" si="632"/>
        <v>12</v>
      </c>
      <c r="X1336" s="34">
        <f t="shared" si="632"/>
        <v>12</v>
      </c>
      <c r="Y1336" s="34">
        <f t="shared" si="632"/>
        <v>12</v>
      </c>
      <c r="Z1336" s="34">
        <f t="shared" si="632"/>
        <v>12</v>
      </c>
      <c r="AA1336" s="34">
        <f t="shared" si="632"/>
        <v>12</v>
      </c>
      <c r="AB1336" s="34">
        <f t="shared" si="632"/>
        <v>12</v>
      </c>
      <c r="AC1336" s="34">
        <f t="shared" si="632"/>
        <v>12</v>
      </c>
      <c r="AD1336" s="34">
        <f t="shared" si="632"/>
        <v>12</v>
      </c>
      <c r="AE1336" s="34">
        <f t="shared" si="632"/>
        <v>12</v>
      </c>
      <c r="AF1336" s="34">
        <f t="shared" si="632"/>
        <v>12</v>
      </c>
      <c r="AG1336" s="34">
        <f t="shared" si="632"/>
        <v>12</v>
      </c>
      <c r="AH1336" s="34">
        <f t="shared" si="632"/>
        <v>12</v>
      </c>
      <c r="AI1336" s="34">
        <f t="shared" si="632"/>
        <v>12</v>
      </c>
      <c r="AJ1336" s="34">
        <f t="shared" si="632"/>
        <v>12</v>
      </c>
      <c r="AK1336" s="34">
        <f t="shared" si="632"/>
        <v>12</v>
      </c>
      <c r="AL1336" s="34">
        <f t="shared" si="632"/>
        <v>12</v>
      </c>
      <c r="AM1336" s="34">
        <f t="shared" si="632"/>
        <v>12</v>
      </c>
      <c r="AN1336" s="34">
        <f t="shared" si="632"/>
        <v>12</v>
      </c>
      <c r="AO1336" s="34"/>
      <c r="AP1336" s="45">
        <f>AO1332</f>
        <v>12</v>
      </c>
      <c r="AQ1336" s="1"/>
    </row>
    <row r="1337" ht="15.75" hidden="1" customHeight="1">
      <c r="A1337" s="1"/>
      <c r="B1337" s="32"/>
      <c r="C1337" s="57" t="s">
        <v>419</v>
      </c>
      <c r="D1337" s="32" t="s">
        <v>440</v>
      </c>
      <c r="E1337" s="109" t="s">
        <v>423</v>
      </c>
      <c r="F1337" s="14" t="s">
        <v>23</v>
      </c>
      <c r="G1337" s="44"/>
      <c r="H1337" s="21">
        <v>361.0</v>
      </c>
      <c r="I1337" s="34">
        <f t="shared" ref="I1337:AO1337" si="633">H1341</f>
        <v>361</v>
      </c>
      <c r="J1337" s="34">
        <f t="shared" si="633"/>
        <v>361</v>
      </c>
      <c r="K1337" s="34">
        <f t="shared" si="633"/>
        <v>361</v>
      </c>
      <c r="L1337" s="34">
        <f t="shared" si="633"/>
        <v>361</v>
      </c>
      <c r="M1337" s="34">
        <f t="shared" si="633"/>
        <v>361</v>
      </c>
      <c r="N1337" s="34">
        <f t="shared" si="633"/>
        <v>361</v>
      </c>
      <c r="O1337" s="34">
        <f t="shared" si="633"/>
        <v>361</v>
      </c>
      <c r="P1337" s="34">
        <f t="shared" si="633"/>
        <v>361</v>
      </c>
      <c r="Q1337" s="34">
        <f t="shared" si="633"/>
        <v>361</v>
      </c>
      <c r="R1337" s="34">
        <f t="shared" si="633"/>
        <v>361</v>
      </c>
      <c r="S1337" s="34">
        <f t="shared" si="633"/>
        <v>361</v>
      </c>
      <c r="T1337" s="34">
        <f t="shared" si="633"/>
        <v>361</v>
      </c>
      <c r="U1337" s="34">
        <f t="shared" si="633"/>
        <v>361</v>
      </c>
      <c r="V1337" s="34">
        <f t="shared" si="633"/>
        <v>361</v>
      </c>
      <c r="W1337" s="34">
        <f t="shared" si="633"/>
        <v>361</v>
      </c>
      <c r="X1337" s="34">
        <f t="shared" si="633"/>
        <v>361</v>
      </c>
      <c r="Y1337" s="34">
        <f t="shared" si="633"/>
        <v>361</v>
      </c>
      <c r="Z1337" s="34">
        <f t="shared" si="633"/>
        <v>361</v>
      </c>
      <c r="AA1337" s="34">
        <f t="shared" si="633"/>
        <v>361</v>
      </c>
      <c r="AB1337" s="34">
        <f t="shared" si="633"/>
        <v>361</v>
      </c>
      <c r="AC1337" s="34">
        <f t="shared" si="633"/>
        <v>361</v>
      </c>
      <c r="AD1337" s="34">
        <f t="shared" si="633"/>
        <v>361</v>
      </c>
      <c r="AE1337" s="34">
        <f t="shared" si="633"/>
        <v>361</v>
      </c>
      <c r="AF1337" s="34">
        <f t="shared" si="633"/>
        <v>361</v>
      </c>
      <c r="AG1337" s="34">
        <f t="shared" si="633"/>
        <v>361</v>
      </c>
      <c r="AH1337" s="34">
        <f t="shared" si="633"/>
        <v>361</v>
      </c>
      <c r="AI1337" s="34">
        <f t="shared" si="633"/>
        <v>361</v>
      </c>
      <c r="AJ1337" s="34">
        <f t="shared" si="633"/>
        <v>361</v>
      </c>
      <c r="AK1337" s="34">
        <f t="shared" si="633"/>
        <v>361</v>
      </c>
      <c r="AL1337" s="34">
        <f t="shared" si="633"/>
        <v>361</v>
      </c>
      <c r="AM1337" s="34">
        <f t="shared" si="633"/>
        <v>361</v>
      </c>
      <c r="AN1337" s="34">
        <f t="shared" si="633"/>
        <v>361</v>
      </c>
      <c r="AO1337" s="34">
        <f t="shared" si="633"/>
        <v>361</v>
      </c>
      <c r="AP1337" s="54"/>
      <c r="AQ1337" s="1"/>
    </row>
    <row r="1338" ht="15.0" hidden="1" customHeight="1">
      <c r="A1338" s="1"/>
      <c r="B1338" s="35"/>
      <c r="C1338" s="35"/>
      <c r="D1338" s="35"/>
      <c r="E1338" s="35"/>
      <c r="F1338" s="36" t="s">
        <v>25</v>
      </c>
      <c r="G1338" s="37"/>
      <c r="H1338" s="37"/>
      <c r="I1338" s="37"/>
      <c r="J1338" s="37"/>
      <c r="K1338" s="37"/>
      <c r="L1338" s="37"/>
      <c r="M1338" s="37"/>
      <c r="N1338" s="37"/>
      <c r="O1338" s="37"/>
      <c r="P1338" s="37"/>
      <c r="Q1338" s="37"/>
      <c r="R1338" s="37"/>
      <c r="S1338" s="38"/>
      <c r="T1338" s="37"/>
      <c r="U1338" s="38"/>
      <c r="V1338" s="37"/>
      <c r="W1338" s="37"/>
      <c r="X1338" s="37"/>
      <c r="Y1338" s="37"/>
      <c r="Z1338" s="37"/>
      <c r="AA1338" s="37"/>
      <c r="AB1338" s="37"/>
      <c r="AC1338" s="37"/>
      <c r="AD1338" s="38"/>
      <c r="AE1338" s="37"/>
      <c r="AF1338" s="37"/>
      <c r="AG1338" s="37"/>
      <c r="AH1338" s="37"/>
      <c r="AI1338" s="37"/>
      <c r="AJ1338" s="37"/>
      <c r="AK1338" s="37"/>
      <c r="AL1338" s="37"/>
      <c r="AM1338" s="37"/>
      <c r="AN1338" s="37"/>
      <c r="AO1338" s="37"/>
      <c r="AP1338" s="39">
        <f t="shared" ref="AP1338:AP1340" si="634">SUM(H1338:AO1338)</f>
        <v>0</v>
      </c>
      <c r="AQ1338" s="1"/>
    </row>
    <row r="1339" ht="15.0" hidden="1" customHeight="1">
      <c r="A1339" s="1"/>
      <c r="B1339" s="35"/>
      <c r="C1339" s="35"/>
      <c r="D1339" s="35"/>
      <c r="E1339" s="35"/>
      <c r="F1339" s="40" t="s">
        <v>94</v>
      </c>
      <c r="G1339" s="37"/>
      <c r="H1339" s="37"/>
      <c r="I1339" s="37"/>
      <c r="J1339" s="37"/>
      <c r="K1339" s="37"/>
      <c r="L1339" s="37"/>
      <c r="M1339" s="37"/>
      <c r="N1339" s="37"/>
      <c r="O1339" s="37"/>
      <c r="P1339" s="37"/>
      <c r="Q1339" s="37"/>
      <c r="R1339" s="37"/>
      <c r="S1339" s="38"/>
      <c r="T1339" s="37"/>
      <c r="U1339" s="38"/>
      <c r="V1339" s="37"/>
      <c r="W1339" s="37"/>
      <c r="X1339" s="37"/>
      <c r="Y1339" s="37"/>
      <c r="Z1339" s="37"/>
      <c r="AA1339" s="37"/>
      <c r="AB1339" s="37"/>
      <c r="AC1339" s="37"/>
      <c r="AD1339" s="38"/>
      <c r="AE1339" s="38"/>
      <c r="AF1339" s="37"/>
      <c r="AG1339" s="37"/>
      <c r="AH1339" s="37"/>
      <c r="AI1339" s="37"/>
      <c r="AJ1339" s="37"/>
      <c r="AK1339" s="37"/>
      <c r="AL1339" s="37"/>
      <c r="AM1339" s="37"/>
      <c r="AN1339" s="37"/>
      <c r="AO1339" s="37"/>
      <c r="AP1339" s="39">
        <f t="shared" si="634"/>
        <v>0</v>
      </c>
      <c r="AQ1339" s="1"/>
    </row>
    <row r="1340" ht="15.0" hidden="1" customHeight="1">
      <c r="A1340" s="1"/>
      <c r="B1340" s="35"/>
      <c r="C1340" s="35"/>
      <c r="D1340" s="35"/>
      <c r="E1340" s="35"/>
      <c r="F1340" s="14" t="s">
        <v>43</v>
      </c>
      <c r="G1340" s="37"/>
      <c r="H1340" s="38"/>
      <c r="I1340" s="38"/>
      <c r="J1340" s="38"/>
      <c r="K1340" s="38"/>
      <c r="L1340" s="38"/>
      <c r="M1340" s="38"/>
      <c r="N1340" s="38"/>
      <c r="O1340" s="38"/>
      <c r="P1340" s="38"/>
      <c r="Q1340" s="38"/>
      <c r="R1340" s="38"/>
      <c r="S1340" s="38"/>
      <c r="T1340" s="38"/>
      <c r="U1340" s="38"/>
      <c r="V1340" s="38"/>
      <c r="W1340" s="38"/>
      <c r="X1340" s="38"/>
      <c r="Y1340" s="38"/>
      <c r="Z1340" s="38"/>
      <c r="AA1340" s="38"/>
      <c r="AB1340" s="38"/>
      <c r="AC1340" s="38"/>
      <c r="AD1340" s="38"/>
      <c r="AE1340" s="38"/>
      <c r="AF1340" s="38"/>
      <c r="AG1340" s="38"/>
      <c r="AH1340" s="38"/>
      <c r="AI1340" s="38"/>
      <c r="AJ1340" s="38"/>
      <c r="AK1340" s="38"/>
      <c r="AL1340" s="38"/>
      <c r="AM1340" s="38"/>
      <c r="AN1340" s="38"/>
      <c r="AO1340" s="37"/>
      <c r="AP1340" s="39">
        <f t="shared" si="634"/>
        <v>0</v>
      </c>
      <c r="AQ1340" s="1"/>
    </row>
    <row r="1341" ht="15.75" hidden="1" customHeight="1">
      <c r="A1341" s="1"/>
      <c r="B1341" s="42"/>
      <c r="C1341" s="42"/>
      <c r="D1341" s="42"/>
      <c r="E1341" s="42"/>
      <c r="F1341" s="43" t="s">
        <v>30</v>
      </c>
      <c r="G1341" s="55"/>
      <c r="H1341" s="34">
        <f t="shared" ref="H1341:AN1341" si="635">H1337+H1338-H1339-H1340</f>
        <v>361</v>
      </c>
      <c r="I1341" s="34">
        <f t="shared" si="635"/>
        <v>361</v>
      </c>
      <c r="J1341" s="34">
        <f t="shared" si="635"/>
        <v>361</v>
      </c>
      <c r="K1341" s="34">
        <f t="shared" si="635"/>
        <v>361</v>
      </c>
      <c r="L1341" s="34">
        <f t="shared" si="635"/>
        <v>361</v>
      </c>
      <c r="M1341" s="34">
        <f t="shared" si="635"/>
        <v>361</v>
      </c>
      <c r="N1341" s="34">
        <f t="shared" si="635"/>
        <v>361</v>
      </c>
      <c r="O1341" s="34">
        <f t="shared" si="635"/>
        <v>361</v>
      </c>
      <c r="P1341" s="34">
        <f t="shared" si="635"/>
        <v>361</v>
      </c>
      <c r="Q1341" s="34">
        <f t="shared" si="635"/>
        <v>361</v>
      </c>
      <c r="R1341" s="34">
        <f t="shared" si="635"/>
        <v>361</v>
      </c>
      <c r="S1341" s="34">
        <f t="shared" si="635"/>
        <v>361</v>
      </c>
      <c r="T1341" s="34">
        <f t="shared" si="635"/>
        <v>361</v>
      </c>
      <c r="U1341" s="34">
        <f t="shared" si="635"/>
        <v>361</v>
      </c>
      <c r="V1341" s="34">
        <f t="shared" si="635"/>
        <v>361</v>
      </c>
      <c r="W1341" s="34">
        <f t="shared" si="635"/>
        <v>361</v>
      </c>
      <c r="X1341" s="34">
        <f t="shared" si="635"/>
        <v>361</v>
      </c>
      <c r="Y1341" s="34">
        <f t="shared" si="635"/>
        <v>361</v>
      </c>
      <c r="Z1341" s="34">
        <f t="shared" si="635"/>
        <v>361</v>
      </c>
      <c r="AA1341" s="34">
        <f t="shared" si="635"/>
        <v>361</v>
      </c>
      <c r="AB1341" s="34">
        <f t="shared" si="635"/>
        <v>361</v>
      </c>
      <c r="AC1341" s="34">
        <f t="shared" si="635"/>
        <v>361</v>
      </c>
      <c r="AD1341" s="34">
        <f t="shared" si="635"/>
        <v>361</v>
      </c>
      <c r="AE1341" s="34">
        <f t="shared" si="635"/>
        <v>361</v>
      </c>
      <c r="AF1341" s="34">
        <f t="shared" si="635"/>
        <v>361</v>
      </c>
      <c r="AG1341" s="34">
        <f t="shared" si="635"/>
        <v>361</v>
      </c>
      <c r="AH1341" s="34">
        <f t="shared" si="635"/>
        <v>361</v>
      </c>
      <c r="AI1341" s="34">
        <f t="shared" si="635"/>
        <v>361</v>
      </c>
      <c r="AJ1341" s="34">
        <f t="shared" si="635"/>
        <v>361</v>
      </c>
      <c r="AK1341" s="34">
        <f t="shared" si="635"/>
        <v>361</v>
      </c>
      <c r="AL1341" s="34">
        <f t="shared" si="635"/>
        <v>361</v>
      </c>
      <c r="AM1341" s="34">
        <f t="shared" si="635"/>
        <v>361</v>
      </c>
      <c r="AN1341" s="34">
        <f t="shared" si="635"/>
        <v>361</v>
      </c>
      <c r="AO1341" s="34"/>
      <c r="AP1341" s="45">
        <f>AO1337</f>
        <v>361</v>
      </c>
      <c r="AQ1341" s="1"/>
    </row>
    <row r="1342" ht="15.75" hidden="1" customHeight="1">
      <c r="A1342" s="1"/>
      <c r="B1342" s="32"/>
      <c r="C1342" s="57"/>
      <c r="D1342" s="32"/>
      <c r="E1342" s="109"/>
      <c r="F1342" s="14" t="s">
        <v>23</v>
      </c>
      <c r="G1342" s="44"/>
      <c r="H1342" s="21">
        <v>0.0</v>
      </c>
      <c r="I1342" s="34">
        <f t="shared" ref="I1342:AO1342" si="636">H1346</f>
        <v>0</v>
      </c>
      <c r="J1342" s="34">
        <f t="shared" si="636"/>
        <v>0</v>
      </c>
      <c r="K1342" s="34">
        <f t="shared" si="636"/>
        <v>0</v>
      </c>
      <c r="L1342" s="34">
        <f t="shared" si="636"/>
        <v>0</v>
      </c>
      <c r="M1342" s="34">
        <f t="shared" si="636"/>
        <v>0</v>
      </c>
      <c r="N1342" s="34">
        <f t="shared" si="636"/>
        <v>0</v>
      </c>
      <c r="O1342" s="34">
        <f t="shared" si="636"/>
        <v>0</v>
      </c>
      <c r="P1342" s="34">
        <f t="shared" si="636"/>
        <v>0</v>
      </c>
      <c r="Q1342" s="34">
        <f t="shared" si="636"/>
        <v>0</v>
      </c>
      <c r="R1342" s="34">
        <f t="shared" si="636"/>
        <v>0</v>
      </c>
      <c r="S1342" s="34">
        <f t="shared" si="636"/>
        <v>0</v>
      </c>
      <c r="T1342" s="34">
        <f t="shared" si="636"/>
        <v>0</v>
      </c>
      <c r="U1342" s="34">
        <f t="shared" si="636"/>
        <v>0</v>
      </c>
      <c r="V1342" s="34">
        <f t="shared" si="636"/>
        <v>0</v>
      </c>
      <c r="W1342" s="34">
        <f t="shared" si="636"/>
        <v>0</v>
      </c>
      <c r="X1342" s="34">
        <f t="shared" si="636"/>
        <v>0</v>
      </c>
      <c r="Y1342" s="34">
        <f t="shared" si="636"/>
        <v>0</v>
      </c>
      <c r="Z1342" s="34">
        <f t="shared" si="636"/>
        <v>0</v>
      </c>
      <c r="AA1342" s="34">
        <f t="shared" si="636"/>
        <v>0</v>
      </c>
      <c r="AB1342" s="34">
        <f t="shared" si="636"/>
        <v>0</v>
      </c>
      <c r="AC1342" s="34">
        <f t="shared" si="636"/>
        <v>0</v>
      </c>
      <c r="AD1342" s="34">
        <f t="shared" si="636"/>
        <v>0</v>
      </c>
      <c r="AE1342" s="34">
        <f t="shared" si="636"/>
        <v>0</v>
      </c>
      <c r="AF1342" s="34">
        <f t="shared" si="636"/>
        <v>0</v>
      </c>
      <c r="AG1342" s="34">
        <f t="shared" si="636"/>
        <v>0</v>
      </c>
      <c r="AH1342" s="34">
        <f t="shared" si="636"/>
        <v>0</v>
      </c>
      <c r="AI1342" s="34">
        <f t="shared" si="636"/>
        <v>0</v>
      </c>
      <c r="AJ1342" s="34">
        <f t="shared" si="636"/>
        <v>0</v>
      </c>
      <c r="AK1342" s="34">
        <f t="shared" si="636"/>
        <v>0</v>
      </c>
      <c r="AL1342" s="34">
        <f t="shared" si="636"/>
        <v>0</v>
      </c>
      <c r="AM1342" s="34">
        <f t="shared" si="636"/>
        <v>0</v>
      </c>
      <c r="AN1342" s="34">
        <f t="shared" si="636"/>
        <v>0</v>
      </c>
      <c r="AO1342" s="34">
        <f t="shared" si="636"/>
        <v>0</v>
      </c>
      <c r="AP1342" s="54"/>
      <c r="AQ1342" s="1"/>
    </row>
    <row r="1343" ht="15.0" hidden="1" customHeight="1">
      <c r="A1343" s="1"/>
      <c r="B1343" s="35"/>
      <c r="C1343" s="35"/>
      <c r="D1343" s="35"/>
      <c r="E1343" s="35"/>
      <c r="F1343" s="36" t="s">
        <v>25</v>
      </c>
      <c r="G1343" s="37"/>
      <c r="H1343" s="37"/>
      <c r="I1343" s="37"/>
      <c r="J1343" s="37"/>
      <c r="K1343" s="37"/>
      <c r="L1343" s="37"/>
      <c r="M1343" s="37"/>
      <c r="N1343" s="37"/>
      <c r="O1343" s="37"/>
      <c r="P1343" s="37"/>
      <c r="Q1343" s="37"/>
      <c r="R1343" s="37"/>
      <c r="S1343" s="38"/>
      <c r="T1343" s="37"/>
      <c r="U1343" s="38"/>
      <c r="V1343" s="37"/>
      <c r="W1343" s="37"/>
      <c r="X1343" s="37"/>
      <c r="Y1343" s="37"/>
      <c r="Z1343" s="37"/>
      <c r="AA1343" s="37"/>
      <c r="AB1343" s="37"/>
      <c r="AC1343" s="37"/>
      <c r="AD1343" s="38"/>
      <c r="AE1343" s="37"/>
      <c r="AF1343" s="37"/>
      <c r="AG1343" s="37"/>
      <c r="AH1343" s="37"/>
      <c r="AI1343" s="37"/>
      <c r="AJ1343" s="37"/>
      <c r="AK1343" s="37"/>
      <c r="AL1343" s="37"/>
      <c r="AM1343" s="37"/>
      <c r="AN1343" s="37"/>
      <c r="AO1343" s="37"/>
      <c r="AP1343" s="39">
        <f t="shared" ref="AP1343:AP1345" si="637">SUM(H1343:AO1343)</f>
        <v>0</v>
      </c>
      <c r="AQ1343" s="1"/>
    </row>
    <row r="1344" ht="15.0" hidden="1" customHeight="1">
      <c r="A1344" s="1"/>
      <c r="B1344" s="35"/>
      <c r="C1344" s="35"/>
      <c r="D1344" s="35"/>
      <c r="E1344" s="35"/>
      <c r="F1344" s="40" t="s">
        <v>94</v>
      </c>
      <c r="G1344" s="37"/>
      <c r="H1344" s="37"/>
      <c r="I1344" s="37"/>
      <c r="J1344" s="37"/>
      <c r="K1344" s="37"/>
      <c r="L1344" s="37"/>
      <c r="M1344" s="37"/>
      <c r="N1344" s="37"/>
      <c r="O1344" s="37"/>
      <c r="P1344" s="37"/>
      <c r="Q1344" s="37"/>
      <c r="R1344" s="37"/>
      <c r="S1344" s="38"/>
      <c r="T1344" s="37"/>
      <c r="U1344" s="38"/>
      <c r="V1344" s="37"/>
      <c r="W1344" s="37"/>
      <c r="X1344" s="37"/>
      <c r="Y1344" s="37"/>
      <c r="Z1344" s="37"/>
      <c r="AA1344" s="37"/>
      <c r="AB1344" s="37"/>
      <c r="AC1344" s="37"/>
      <c r="AD1344" s="38"/>
      <c r="AE1344" s="38"/>
      <c r="AF1344" s="37"/>
      <c r="AG1344" s="37"/>
      <c r="AH1344" s="37"/>
      <c r="AI1344" s="37"/>
      <c r="AJ1344" s="37"/>
      <c r="AK1344" s="37"/>
      <c r="AL1344" s="37"/>
      <c r="AM1344" s="37"/>
      <c r="AN1344" s="37"/>
      <c r="AO1344" s="37"/>
      <c r="AP1344" s="39">
        <f t="shared" si="637"/>
        <v>0</v>
      </c>
      <c r="AQ1344" s="1"/>
    </row>
    <row r="1345" ht="15.0" hidden="1" customHeight="1">
      <c r="A1345" s="1"/>
      <c r="B1345" s="35"/>
      <c r="C1345" s="35"/>
      <c r="D1345" s="35"/>
      <c r="E1345" s="35"/>
      <c r="F1345" s="14" t="s">
        <v>43</v>
      </c>
      <c r="G1345" s="37"/>
      <c r="H1345" s="38"/>
      <c r="I1345" s="38"/>
      <c r="J1345" s="38"/>
      <c r="K1345" s="38"/>
      <c r="L1345" s="38"/>
      <c r="M1345" s="38"/>
      <c r="N1345" s="38"/>
      <c r="O1345" s="38"/>
      <c r="P1345" s="38"/>
      <c r="Q1345" s="38"/>
      <c r="R1345" s="38"/>
      <c r="S1345" s="38"/>
      <c r="T1345" s="38"/>
      <c r="U1345" s="38"/>
      <c r="V1345" s="38"/>
      <c r="W1345" s="38"/>
      <c r="X1345" s="38"/>
      <c r="Y1345" s="38"/>
      <c r="Z1345" s="38"/>
      <c r="AA1345" s="38"/>
      <c r="AB1345" s="38"/>
      <c r="AC1345" s="38"/>
      <c r="AD1345" s="38"/>
      <c r="AE1345" s="38"/>
      <c r="AF1345" s="38"/>
      <c r="AG1345" s="38"/>
      <c r="AH1345" s="38"/>
      <c r="AI1345" s="38"/>
      <c r="AJ1345" s="38"/>
      <c r="AK1345" s="38"/>
      <c r="AL1345" s="38"/>
      <c r="AM1345" s="38"/>
      <c r="AN1345" s="38"/>
      <c r="AO1345" s="37"/>
      <c r="AP1345" s="39">
        <f t="shared" si="637"/>
        <v>0</v>
      </c>
      <c r="AQ1345" s="1"/>
    </row>
    <row r="1346" ht="15.75" hidden="1" customHeight="1">
      <c r="A1346" s="1"/>
      <c r="B1346" s="42"/>
      <c r="C1346" s="42"/>
      <c r="D1346" s="42"/>
      <c r="E1346" s="42"/>
      <c r="F1346" s="43" t="s">
        <v>30</v>
      </c>
      <c r="G1346" s="55"/>
      <c r="H1346" s="34">
        <f t="shared" ref="H1346:AN1346" si="638">H1342+H1343-H1344-H1345</f>
        <v>0</v>
      </c>
      <c r="I1346" s="34">
        <f t="shared" si="638"/>
        <v>0</v>
      </c>
      <c r="J1346" s="34">
        <f t="shared" si="638"/>
        <v>0</v>
      </c>
      <c r="K1346" s="34">
        <f t="shared" si="638"/>
        <v>0</v>
      </c>
      <c r="L1346" s="34">
        <f t="shared" si="638"/>
        <v>0</v>
      </c>
      <c r="M1346" s="34">
        <f t="shared" si="638"/>
        <v>0</v>
      </c>
      <c r="N1346" s="34">
        <f t="shared" si="638"/>
        <v>0</v>
      </c>
      <c r="O1346" s="34">
        <f t="shared" si="638"/>
        <v>0</v>
      </c>
      <c r="P1346" s="34">
        <f t="shared" si="638"/>
        <v>0</v>
      </c>
      <c r="Q1346" s="34">
        <f t="shared" si="638"/>
        <v>0</v>
      </c>
      <c r="R1346" s="34">
        <f t="shared" si="638"/>
        <v>0</v>
      </c>
      <c r="S1346" s="34">
        <f t="shared" si="638"/>
        <v>0</v>
      </c>
      <c r="T1346" s="34">
        <f t="shared" si="638"/>
        <v>0</v>
      </c>
      <c r="U1346" s="34">
        <f t="shared" si="638"/>
        <v>0</v>
      </c>
      <c r="V1346" s="34">
        <f t="shared" si="638"/>
        <v>0</v>
      </c>
      <c r="W1346" s="34">
        <f t="shared" si="638"/>
        <v>0</v>
      </c>
      <c r="X1346" s="34">
        <f t="shared" si="638"/>
        <v>0</v>
      </c>
      <c r="Y1346" s="34">
        <f t="shared" si="638"/>
        <v>0</v>
      </c>
      <c r="Z1346" s="34">
        <f t="shared" si="638"/>
        <v>0</v>
      </c>
      <c r="AA1346" s="34">
        <f t="shared" si="638"/>
        <v>0</v>
      </c>
      <c r="AB1346" s="34">
        <f t="shared" si="638"/>
        <v>0</v>
      </c>
      <c r="AC1346" s="34">
        <f t="shared" si="638"/>
        <v>0</v>
      </c>
      <c r="AD1346" s="34">
        <f t="shared" si="638"/>
        <v>0</v>
      </c>
      <c r="AE1346" s="34">
        <f t="shared" si="638"/>
        <v>0</v>
      </c>
      <c r="AF1346" s="34">
        <f t="shared" si="638"/>
        <v>0</v>
      </c>
      <c r="AG1346" s="34">
        <f t="shared" si="638"/>
        <v>0</v>
      </c>
      <c r="AH1346" s="34">
        <f t="shared" si="638"/>
        <v>0</v>
      </c>
      <c r="AI1346" s="34">
        <f t="shared" si="638"/>
        <v>0</v>
      </c>
      <c r="AJ1346" s="34">
        <f t="shared" si="638"/>
        <v>0</v>
      </c>
      <c r="AK1346" s="34">
        <f t="shared" si="638"/>
        <v>0</v>
      </c>
      <c r="AL1346" s="34">
        <f t="shared" si="638"/>
        <v>0</v>
      </c>
      <c r="AM1346" s="34">
        <f t="shared" si="638"/>
        <v>0</v>
      </c>
      <c r="AN1346" s="34">
        <f t="shared" si="638"/>
        <v>0</v>
      </c>
      <c r="AO1346" s="34"/>
      <c r="AP1346" s="45">
        <f>AO1342</f>
        <v>0</v>
      </c>
      <c r="AQ1346" s="1"/>
    </row>
    <row r="1347" ht="15.75" hidden="1" customHeight="1">
      <c r="A1347" s="1"/>
      <c r="B1347" s="69"/>
      <c r="C1347" s="110"/>
      <c r="D1347" s="69"/>
      <c r="E1347" s="111"/>
      <c r="F1347" s="6"/>
      <c r="G1347" s="112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113"/>
      <c r="AQ1347" s="1"/>
    </row>
    <row r="1348" ht="15.75" customHeight="1">
      <c r="A1348" s="1"/>
      <c r="B1348" s="69"/>
      <c r="C1348" s="110"/>
      <c r="D1348" s="69"/>
      <c r="E1348" s="111"/>
      <c r="F1348" s="6"/>
      <c r="G1348" s="112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113"/>
      <c r="AQ1348" s="1"/>
    </row>
    <row r="1349" ht="15.75" customHeight="1">
      <c r="A1349" s="1"/>
      <c r="B1349" s="69"/>
      <c r="C1349" s="110"/>
      <c r="D1349" s="69"/>
      <c r="E1349" s="111"/>
      <c r="F1349" s="6"/>
      <c r="G1349" s="112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113"/>
      <c r="AQ1349" s="1"/>
    </row>
    <row r="1350" ht="15.75" customHeight="1">
      <c r="A1350" s="1"/>
      <c r="B1350" s="69"/>
      <c r="C1350" s="110"/>
      <c r="D1350" s="69"/>
      <c r="E1350" s="111"/>
      <c r="F1350" s="6"/>
      <c r="G1350" s="112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113"/>
      <c r="AQ1350" s="1"/>
    </row>
    <row r="1351" ht="15.75" customHeight="1">
      <c r="A1351" s="1"/>
      <c r="B1351" s="69"/>
      <c r="C1351" s="110"/>
      <c r="D1351" s="69"/>
      <c r="E1351" s="111"/>
      <c r="F1351" s="6"/>
      <c r="G1351" s="112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113"/>
      <c r="AQ1351" s="1"/>
    </row>
    <row r="1352" ht="15.75" customHeight="1">
      <c r="A1352" s="1"/>
      <c r="B1352" s="69"/>
      <c r="C1352" s="110"/>
      <c r="D1352" s="69"/>
      <c r="E1352" s="111"/>
      <c r="F1352" s="6"/>
      <c r="G1352" s="112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113"/>
      <c r="AQ1352" s="1"/>
    </row>
    <row r="1353" ht="15.75" customHeight="1">
      <c r="A1353" s="1"/>
      <c r="B1353" s="114" t="s">
        <v>441</v>
      </c>
      <c r="D1353" s="69"/>
      <c r="E1353" s="111"/>
      <c r="F1353" s="6"/>
      <c r="G1353" s="112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113"/>
      <c r="AQ1353" s="1"/>
    </row>
    <row r="1354" ht="15.75" customHeight="1">
      <c r="A1354" s="1"/>
      <c r="B1354" s="1"/>
      <c r="C1354" s="1"/>
      <c r="D1354" s="1"/>
      <c r="E1354" s="1"/>
      <c r="F1354" s="1"/>
      <c r="G1354" s="1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  <c r="S1354" s="103"/>
      <c r="T1354" s="99"/>
      <c r="U1354" s="103"/>
      <c r="V1354" s="99"/>
      <c r="W1354" s="99"/>
      <c r="X1354" s="99"/>
      <c r="Y1354" s="99"/>
      <c r="Z1354" s="99"/>
      <c r="AA1354" s="99"/>
      <c r="AB1354" s="99"/>
      <c r="AC1354" s="99"/>
      <c r="AD1354" s="103"/>
      <c r="AE1354" s="99"/>
      <c r="AF1354" s="99"/>
      <c r="AG1354" s="99"/>
      <c r="AH1354" s="99"/>
      <c r="AI1354" s="99"/>
      <c r="AJ1354" s="99"/>
      <c r="AK1354" s="99"/>
      <c r="AL1354" s="99"/>
      <c r="AM1354" s="99"/>
      <c r="AN1354" s="99"/>
      <c r="AO1354" s="99"/>
      <c r="AP1354" s="1"/>
      <c r="AQ1354" s="1"/>
    </row>
    <row r="1355" ht="15.75" customHeight="1">
      <c r="A1355" s="1"/>
      <c r="B1355" s="12" t="s">
        <v>5</v>
      </c>
      <c r="C1355" s="12" t="s">
        <v>6</v>
      </c>
      <c r="D1355" s="13" t="s">
        <v>7</v>
      </c>
      <c r="E1355" s="12" t="s">
        <v>8</v>
      </c>
      <c r="F1355" s="12" t="s">
        <v>9</v>
      </c>
      <c r="G1355" s="14" t="s">
        <v>10</v>
      </c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6"/>
      <c r="AP1355" s="17" t="s">
        <v>11</v>
      </c>
      <c r="AQ1355" s="1"/>
    </row>
    <row r="1356" ht="15.75" customHeight="1">
      <c r="A1356" s="1"/>
      <c r="B1356" s="18"/>
      <c r="C1356" s="19" t="s">
        <v>12</v>
      </c>
      <c r="D1356" s="20" t="s">
        <v>13</v>
      </c>
      <c r="E1356" s="18"/>
      <c r="F1356" s="18"/>
      <c r="G1356" s="21"/>
      <c r="H1356" s="23">
        <v>1.0</v>
      </c>
      <c r="I1356" s="23">
        <v>2.0</v>
      </c>
      <c r="J1356" s="23">
        <v>3.0</v>
      </c>
      <c r="K1356" s="23">
        <v>4.0</v>
      </c>
      <c r="L1356" s="23">
        <v>5.0</v>
      </c>
      <c r="M1356" s="23">
        <v>6.0</v>
      </c>
      <c r="N1356" s="23">
        <v>7.0</v>
      </c>
      <c r="O1356" s="23">
        <v>8.0</v>
      </c>
      <c r="P1356" s="23">
        <v>9.0</v>
      </c>
      <c r="Q1356" s="23">
        <v>10.0</v>
      </c>
      <c r="R1356" s="23">
        <v>11.0</v>
      </c>
      <c r="S1356" s="23">
        <v>12.0</v>
      </c>
      <c r="T1356" s="23">
        <v>13.0</v>
      </c>
      <c r="U1356" s="23">
        <v>14.0</v>
      </c>
      <c r="V1356" s="23">
        <v>15.0</v>
      </c>
      <c r="W1356" s="23">
        <v>16.0</v>
      </c>
      <c r="X1356" s="23">
        <v>17.0</v>
      </c>
      <c r="Y1356" s="23">
        <v>18.0</v>
      </c>
      <c r="Z1356" s="23">
        <v>19.0</v>
      </c>
      <c r="AA1356" s="23">
        <v>20.0</v>
      </c>
      <c r="AB1356" s="23">
        <v>21.0</v>
      </c>
      <c r="AC1356" s="23">
        <v>22.0</v>
      </c>
      <c r="AD1356" s="23">
        <v>23.0</v>
      </c>
      <c r="AE1356" s="23">
        <v>24.0</v>
      </c>
      <c r="AF1356" s="23">
        <v>25.0</v>
      </c>
      <c r="AG1356" s="23">
        <v>26.0</v>
      </c>
      <c r="AH1356" s="23">
        <v>27.0</v>
      </c>
      <c r="AI1356" s="23">
        <v>28.0</v>
      </c>
      <c r="AJ1356" s="23">
        <v>29.0</v>
      </c>
      <c r="AK1356" s="23">
        <v>30.0</v>
      </c>
      <c r="AL1356" s="23">
        <v>31.0</v>
      </c>
      <c r="AM1356" s="106"/>
      <c r="AN1356" s="106"/>
      <c r="AO1356" s="21"/>
      <c r="AP1356" s="20"/>
      <c r="AQ1356" s="1"/>
    </row>
    <row r="1357" ht="15.75" customHeight="1">
      <c r="A1357" s="25"/>
      <c r="B1357" s="26"/>
      <c r="C1357" s="27"/>
      <c r="D1357" s="28"/>
      <c r="E1357" s="29"/>
      <c r="F1357" s="29"/>
      <c r="G1357" s="30"/>
      <c r="H1357" s="31" t="s">
        <v>18</v>
      </c>
      <c r="I1357" s="30" t="s">
        <v>19</v>
      </c>
      <c r="J1357" s="31" t="s">
        <v>20</v>
      </c>
      <c r="K1357" s="31" t="s">
        <v>14</v>
      </c>
      <c r="L1357" s="31" t="s">
        <v>15</v>
      </c>
      <c r="M1357" s="31" t="s">
        <v>16</v>
      </c>
      <c r="N1357" s="30" t="s">
        <v>17</v>
      </c>
      <c r="O1357" s="30" t="s">
        <v>18</v>
      </c>
      <c r="P1357" s="30" t="s">
        <v>19</v>
      </c>
      <c r="Q1357" s="31" t="s">
        <v>20</v>
      </c>
      <c r="R1357" s="31" t="s">
        <v>14</v>
      </c>
      <c r="S1357" s="31" t="s">
        <v>15</v>
      </c>
      <c r="T1357" s="31" t="s">
        <v>16</v>
      </c>
      <c r="U1357" s="30" t="s">
        <v>17</v>
      </c>
      <c r="V1357" s="30" t="s">
        <v>18</v>
      </c>
      <c r="W1357" s="30" t="s">
        <v>19</v>
      </c>
      <c r="X1357" s="31" t="s">
        <v>20</v>
      </c>
      <c r="Y1357" s="31" t="s">
        <v>14</v>
      </c>
      <c r="Z1357" s="31" t="s">
        <v>15</v>
      </c>
      <c r="AA1357" s="31" t="s">
        <v>16</v>
      </c>
      <c r="AB1357" s="30" t="s">
        <v>17</v>
      </c>
      <c r="AC1357" s="30" t="s">
        <v>18</v>
      </c>
      <c r="AD1357" s="30" t="s">
        <v>19</v>
      </c>
      <c r="AE1357" s="31" t="s">
        <v>20</v>
      </c>
      <c r="AF1357" s="31" t="s">
        <v>14</v>
      </c>
      <c r="AG1357" s="31" t="s">
        <v>15</v>
      </c>
      <c r="AH1357" s="31" t="s">
        <v>16</v>
      </c>
      <c r="AI1357" s="30" t="s">
        <v>17</v>
      </c>
      <c r="AJ1357" s="30" t="s">
        <v>18</v>
      </c>
      <c r="AK1357" s="30" t="s">
        <v>19</v>
      </c>
      <c r="AL1357" s="31" t="s">
        <v>20</v>
      </c>
      <c r="AM1357" s="30"/>
      <c r="AN1357" s="30"/>
      <c r="AO1357" s="30"/>
      <c r="AP1357" s="30"/>
      <c r="AQ1357" s="25"/>
    </row>
    <row r="1358" ht="15.75" customHeight="1">
      <c r="A1358" s="1"/>
      <c r="B1358" s="32">
        <v>1.0</v>
      </c>
      <c r="C1358" s="57" t="s">
        <v>399</v>
      </c>
      <c r="D1358" s="32" t="s">
        <v>442</v>
      </c>
      <c r="E1358" s="13"/>
      <c r="F1358" s="14" t="s">
        <v>23</v>
      </c>
      <c r="G1358" s="44"/>
      <c r="H1358" s="21">
        <v>0.0</v>
      </c>
      <c r="I1358" s="34">
        <f t="shared" ref="I1358:AO1358" si="639">H1364</f>
        <v>0</v>
      </c>
      <c r="J1358" s="34">
        <f t="shared" si="639"/>
        <v>0</v>
      </c>
      <c r="K1358" s="34">
        <f t="shared" si="639"/>
        <v>0</v>
      </c>
      <c r="L1358" s="34">
        <f t="shared" si="639"/>
        <v>0</v>
      </c>
      <c r="M1358" s="34">
        <f t="shared" si="639"/>
        <v>0</v>
      </c>
      <c r="N1358" s="34">
        <f t="shared" si="639"/>
        <v>0</v>
      </c>
      <c r="O1358" s="34">
        <f t="shared" si="639"/>
        <v>0</v>
      </c>
      <c r="P1358" s="34">
        <f t="shared" si="639"/>
        <v>0</v>
      </c>
      <c r="Q1358" s="34">
        <f t="shared" si="639"/>
        <v>0</v>
      </c>
      <c r="R1358" s="34">
        <f t="shared" si="639"/>
        <v>0</v>
      </c>
      <c r="S1358" s="34">
        <f t="shared" si="639"/>
        <v>0</v>
      </c>
      <c r="T1358" s="34">
        <f t="shared" si="639"/>
        <v>0</v>
      </c>
      <c r="U1358" s="34">
        <f t="shared" si="639"/>
        <v>0</v>
      </c>
      <c r="V1358" s="34">
        <f t="shared" si="639"/>
        <v>0</v>
      </c>
      <c r="W1358" s="34">
        <f t="shared" si="639"/>
        <v>0</v>
      </c>
      <c r="X1358" s="34">
        <f t="shared" si="639"/>
        <v>0</v>
      </c>
      <c r="Y1358" s="34">
        <f t="shared" si="639"/>
        <v>0</v>
      </c>
      <c r="Z1358" s="34">
        <f t="shared" si="639"/>
        <v>0</v>
      </c>
      <c r="AA1358" s="34">
        <f t="shared" si="639"/>
        <v>0</v>
      </c>
      <c r="AB1358" s="34">
        <f t="shared" si="639"/>
        <v>0</v>
      </c>
      <c r="AC1358" s="34">
        <f t="shared" si="639"/>
        <v>0</v>
      </c>
      <c r="AD1358" s="34">
        <f t="shared" si="639"/>
        <v>0</v>
      </c>
      <c r="AE1358" s="34">
        <f t="shared" si="639"/>
        <v>0</v>
      </c>
      <c r="AF1358" s="34">
        <f t="shared" si="639"/>
        <v>0</v>
      </c>
      <c r="AG1358" s="34">
        <f t="shared" si="639"/>
        <v>0</v>
      </c>
      <c r="AH1358" s="34">
        <f t="shared" si="639"/>
        <v>0</v>
      </c>
      <c r="AI1358" s="34">
        <f t="shared" si="639"/>
        <v>0</v>
      </c>
      <c r="AJ1358" s="34">
        <f t="shared" si="639"/>
        <v>0</v>
      </c>
      <c r="AK1358" s="34">
        <f t="shared" si="639"/>
        <v>0</v>
      </c>
      <c r="AL1358" s="34">
        <f t="shared" si="639"/>
        <v>0</v>
      </c>
      <c r="AM1358" s="34">
        <f t="shared" si="639"/>
        <v>0</v>
      </c>
      <c r="AN1358" s="34">
        <f t="shared" si="639"/>
        <v>0</v>
      </c>
      <c r="AO1358" s="34">
        <f t="shared" si="639"/>
        <v>0</v>
      </c>
      <c r="AP1358" s="54"/>
      <c r="AQ1358" s="1"/>
    </row>
    <row r="1359" ht="15.0" customHeight="1">
      <c r="A1359" s="1"/>
      <c r="B1359" s="35"/>
      <c r="C1359" s="35"/>
      <c r="D1359" s="35"/>
      <c r="E1359" s="33" t="s">
        <v>24</v>
      </c>
      <c r="F1359" s="36" t="s">
        <v>25</v>
      </c>
      <c r="G1359" s="37"/>
      <c r="H1359" s="37"/>
      <c r="I1359" s="37"/>
      <c r="J1359" s="37"/>
      <c r="K1359" s="37"/>
      <c r="L1359" s="37"/>
      <c r="M1359" s="37"/>
      <c r="N1359" s="37"/>
      <c r="O1359" s="37"/>
      <c r="P1359" s="37"/>
      <c r="Q1359" s="37"/>
      <c r="R1359" s="37"/>
      <c r="S1359" s="38"/>
      <c r="T1359" s="37"/>
      <c r="U1359" s="38"/>
      <c r="V1359" s="37"/>
      <c r="W1359" s="37"/>
      <c r="X1359" s="37"/>
      <c r="Y1359" s="37"/>
      <c r="Z1359" s="37"/>
      <c r="AA1359" s="37"/>
      <c r="AB1359" s="37"/>
      <c r="AC1359" s="37"/>
      <c r="AD1359" s="38"/>
      <c r="AE1359" s="37"/>
      <c r="AF1359" s="37"/>
      <c r="AG1359" s="37"/>
      <c r="AH1359" s="37"/>
      <c r="AI1359" s="37"/>
      <c r="AJ1359" s="37"/>
      <c r="AK1359" s="37"/>
      <c r="AL1359" s="37"/>
      <c r="AM1359" s="37"/>
      <c r="AN1359" s="37"/>
      <c r="AO1359" s="37"/>
      <c r="AP1359" s="39">
        <f t="shared" ref="AP1359:AP1363" si="640">SUM(H1359:AO1359)</f>
        <v>0</v>
      </c>
      <c r="AQ1359" s="1"/>
    </row>
    <row r="1360" ht="15.0" customHeight="1">
      <c r="A1360" s="1"/>
      <c r="B1360" s="35"/>
      <c r="C1360" s="35"/>
      <c r="D1360" s="35"/>
      <c r="E1360" s="33" t="s">
        <v>400</v>
      </c>
      <c r="F1360" s="36" t="s">
        <v>401</v>
      </c>
      <c r="G1360" s="37"/>
      <c r="H1360" s="37"/>
      <c r="I1360" s="37"/>
      <c r="J1360" s="37"/>
      <c r="K1360" s="37"/>
      <c r="L1360" s="37"/>
      <c r="M1360" s="37"/>
      <c r="N1360" s="37"/>
      <c r="O1360" s="37"/>
      <c r="P1360" s="37"/>
      <c r="Q1360" s="37"/>
      <c r="R1360" s="37"/>
      <c r="S1360" s="38"/>
      <c r="T1360" s="37"/>
      <c r="U1360" s="38"/>
      <c r="V1360" s="37"/>
      <c r="W1360" s="37"/>
      <c r="X1360" s="37"/>
      <c r="Y1360" s="37"/>
      <c r="Z1360" s="37"/>
      <c r="AA1360" s="37"/>
      <c r="AB1360" s="37"/>
      <c r="AC1360" s="37"/>
      <c r="AD1360" s="38"/>
      <c r="AE1360" s="37"/>
      <c r="AF1360" s="37"/>
      <c r="AG1360" s="37"/>
      <c r="AH1360" s="37"/>
      <c r="AI1360" s="37"/>
      <c r="AJ1360" s="37"/>
      <c r="AK1360" s="37"/>
      <c r="AL1360" s="37"/>
      <c r="AM1360" s="37"/>
      <c r="AN1360" s="37"/>
      <c r="AO1360" s="37"/>
      <c r="AP1360" s="39">
        <f t="shared" si="640"/>
        <v>0</v>
      </c>
      <c r="AQ1360" s="1"/>
    </row>
    <row r="1361" ht="15.0" customHeight="1">
      <c r="A1361" s="51"/>
      <c r="B1361" s="35"/>
      <c r="C1361" s="35"/>
      <c r="D1361" s="35"/>
      <c r="E1361" s="47"/>
      <c r="F1361" s="40" t="s">
        <v>26</v>
      </c>
      <c r="G1361" s="49"/>
      <c r="H1361" s="48"/>
      <c r="I1361" s="48"/>
      <c r="J1361" s="48"/>
      <c r="K1361" s="48"/>
      <c r="L1361" s="48"/>
      <c r="M1361" s="48"/>
      <c r="N1361" s="48"/>
      <c r="O1361" s="48"/>
      <c r="P1361" s="48"/>
      <c r="Q1361" s="48"/>
      <c r="R1361" s="48"/>
      <c r="S1361" s="48"/>
      <c r="T1361" s="48"/>
      <c r="U1361" s="48"/>
      <c r="V1361" s="48"/>
      <c r="W1361" s="48"/>
      <c r="X1361" s="48"/>
      <c r="Y1361" s="48"/>
      <c r="Z1361" s="48"/>
      <c r="AA1361" s="48"/>
      <c r="AB1361" s="48"/>
      <c r="AC1361" s="48"/>
      <c r="AD1361" s="48"/>
      <c r="AE1361" s="48"/>
      <c r="AF1361" s="48"/>
      <c r="AG1361" s="48"/>
      <c r="AH1361" s="48"/>
      <c r="AI1361" s="48"/>
      <c r="AJ1361" s="48"/>
      <c r="AK1361" s="48"/>
      <c r="AL1361" s="48"/>
      <c r="AM1361" s="48"/>
      <c r="AN1361" s="48"/>
      <c r="AO1361" s="49"/>
      <c r="AP1361" s="50">
        <f t="shared" si="640"/>
        <v>0</v>
      </c>
      <c r="AQ1361" s="51"/>
    </row>
    <row r="1362" ht="15.0" customHeight="1">
      <c r="A1362" s="1"/>
      <c r="B1362" s="35"/>
      <c r="C1362" s="35"/>
      <c r="D1362" s="35"/>
      <c r="E1362" s="33" t="s">
        <v>27</v>
      </c>
      <c r="F1362" s="41" t="s">
        <v>28</v>
      </c>
      <c r="G1362" s="37"/>
      <c r="H1362" s="38"/>
      <c r="I1362" s="38"/>
      <c r="J1362" s="38"/>
      <c r="K1362" s="38"/>
      <c r="L1362" s="38"/>
      <c r="M1362" s="38"/>
      <c r="N1362" s="38"/>
      <c r="O1362" s="38"/>
      <c r="P1362" s="38"/>
      <c r="Q1362" s="38"/>
      <c r="R1362" s="38"/>
      <c r="S1362" s="38"/>
      <c r="T1362" s="38"/>
      <c r="U1362" s="38"/>
      <c r="V1362" s="38"/>
      <c r="W1362" s="38"/>
      <c r="X1362" s="38"/>
      <c r="Y1362" s="38"/>
      <c r="Z1362" s="38"/>
      <c r="AA1362" s="38"/>
      <c r="AB1362" s="38"/>
      <c r="AC1362" s="38"/>
      <c r="AD1362" s="38"/>
      <c r="AE1362" s="38"/>
      <c r="AF1362" s="38"/>
      <c r="AG1362" s="38"/>
      <c r="AH1362" s="38"/>
      <c r="AI1362" s="38"/>
      <c r="AJ1362" s="38"/>
      <c r="AK1362" s="38"/>
      <c r="AL1362" s="38"/>
      <c r="AM1362" s="38"/>
      <c r="AN1362" s="38"/>
      <c r="AO1362" s="37"/>
      <c r="AP1362" s="39">
        <f t="shared" si="640"/>
        <v>0</v>
      </c>
      <c r="AQ1362" s="1"/>
    </row>
    <row r="1363" ht="15.0" customHeight="1">
      <c r="A1363" s="1"/>
      <c r="B1363" s="35"/>
      <c r="C1363" s="35"/>
      <c r="D1363" s="35"/>
      <c r="E1363" s="33"/>
      <c r="F1363" s="41" t="s">
        <v>29</v>
      </c>
      <c r="G1363" s="37"/>
      <c r="H1363" s="37"/>
      <c r="I1363" s="37"/>
      <c r="J1363" s="37"/>
      <c r="K1363" s="37"/>
      <c r="L1363" s="37"/>
      <c r="M1363" s="37"/>
      <c r="N1363" s="37"/>
      <c r="O1363" s="37"/>
      <c r="P1363" s="37"/>
      <c r="Q1363" s="37"/>
      <c r="R1363" s="37"/>
      <c r="S1363" s="38"/>
      <c r="T1363" s="37"/>
      <c r="U1363" s="38"/>
      <c r="V1363" s="37"/>
      <c r="W1363" s="37"/>
      <c r="X1363" s="37"/>
      <c r="Y1363" s="37"/>
      <c r="Z1363" s="37"/>
      <c r="AA1363" s="37"/>
      <c r="AB1363" s="37"/>
      <c r="AC1363" s="37"/>
      <c r="AD1363" s="38"/>
      <c r="AE1363" s="37"/>
      <c r="AF1363" s="37"/>
      <c r="AG1363" s="37"/>
      <c r="AH1363" s="37"/>
      <c r="AI1363" s="37"/>
      <c r="AJ1363" s="37"/>
      <c r="AK1363" s="37"/>
      <c r="AL1363" s="37"/>
      <c r="AM1363" s="37"/>
      <c r="AN1363" s="37"/>
      <c r="AO1363" s="37"/>
      <c r="AP1363" s="39">
        <f t="shared" si="640"/>
        <v>0</v>
      </c>
      <c r="AQ1363" s="1"/>
    </row>
    <row r="1364" ht="15.75" customHeight="1">
      <c r="A1364" s="1"/>
      <c r="B1364" s="42"/>
      <c r="C1364" s="42"/>
      <c r="D1364" s="42"/>
      <c r="E1364" s="52"/>
      <c r="F1364" s="43" t="s">
        <v>30</v>
      </c>
      <c r="G1364" s="55"/>
      <c r="H1364" s="34">
        <f t="shared" ref="H1364:AN1364" si="641">H1358+H1359+H1360-H1361+H1362-H1363</f>
        <v>0</v>
      </c>
      <c r="I1364" s="34">
        <f t="shared" si="641"/>
        <v>0</v>
      </c>
      <c r="J1364" s="34">
        <f t="shared" si="641"/>
        <v>0</v>
      </c>
      <c r="K1364" s="34">
        <f t="shared" si="641"/>
        <v>0</v>
      </c>
      <c r="L1364" s="34">
        <f t="shared" si="641"/>
        <v>0</v>
      </c>
      <c r="M1364" s="34">
        <f t="shared" si="641"/>
        <v>0</v>
      </c>
      <c r="N1364" s="34">
        <f t="shared" si="641"/>
        <v>0</v>
      </c>
      <c r="O1364" s="34">
        <f t="shared" si="641"/>
        <v>0</v>
      </c>
      <c r="P1364" s="34">
        <f t="shared" si="641"/>
        <v>0</v>
      </c>
      <c r="Q1364" s="34">
        <f t="shared" si="641"/>
        <v>0</v>
      </c>
      <c r="R1364" s="34">
        <f t="shared" si="641"/>
        <v>0</v>
      </c>
      <c r="S1364" s="34">
        <f t="shared" si="641"/>
        <v>0</v>
      </c>
      <c r="T1364" s="34">
        <f t="shared" si="641"/>
        <v>0</v>
      </c>
      <c r="U1364" s="34">
        <f t="shared" si="641"/>
        <v>0</v>
      </c>
      <c r="V1364" s="34">
        <f t="shared" si="641"/>
        <v>0</v>
      </c>
      <c r="W1364" s="34">
        <f t="shared" si="641"/>
        <v>0</v>
      </c>
      <c r="X1364" s="34">
        <f t="shared" si="641"/>
        <v>0</v>
      </c>
      <c r="Y1364" s="34">
        <f t="shared" si="641"/>
        <v>0</v>
      </c>
      <c r="Z1364" s="34">
        <f t="shared" si="641"/>
        <v>0</v>
      </c>
      <c r="AA1364" s="34">
        <f t="shared" si="641"/>
        <v>0</v>
      </c>
      <c r="AB1364" s="34">
        <f t="shared" si="641"/>
        <v>0</v>
      </c>
      <c r="AC1364" s="34">
        <f t="shared" si="641"/>
        <v>0</v>
      </c>
      <c r="AD1364" s="34">
        <f t="shared" si="641"/>
        <v>0</v>
      </c>
      <c r="AE1364" s="34">
        <f t="shared" si="641"/>
        <v>0</v>
      </c>
      <c r="AF1364" s="34">
        <f t="shared" si="641"/>
        <v>0</v>
      </c>
      <c r="AG1364" s="34">
        <f t="shared" si="641"/>
        <v>0</v>
      </c>
      <c r="AH1364" s="34">
        <f t="shared" si="641"/>
        <v>0</v>
      </c>
      <c r="AI1364" s="34">
        <f t="shared" si="641"/>
        <v>0</v>
      </c>
      <c r="AJ1364" s="34">
        <f t="shared" si="641"/>
        <v>0</v>
      </c>
      <c r="AK1364" s="34">
        <f t="shared" si="641"/>
        <v>0</v>
      </c>
      <c r="AL1364" s="34">
        <f t="shared" si="641"/>
        <v>0</v>
      </c>
      <c r="AM1364" s="34">
        <f t="shared" si="641"/>
        <v>0</v>
      </c>
      <c r="AN1364" s="34">
        <f t="shared" si="641"/>
        <v>0</v>
      </c>
      <c r="AO1364" s="34"/>
      <c r="AP1364" s="45">
        <f>AO1358</f>
        <v>0</v>
      </c>
      <c r="AQ1364" s="1"/>
    </row>
    <row r="1365" ht="15.75" customHeight="1">
      <c r="A1365" s="1"/>
      <c r="B1365" s="32">
        <v>2.0</v>
      </c>
      <c r="C1365" s="57" t="s">
        <v>402</v>
      </c>
      <c r="D1365" s="32" t="s">
        <v>443</v>
      </c>
      <c r="E1365" s="13"/>
      <c r="F1365" s="14" t="s">
        <v>23</v>
      </c>
      <c r="G1365" s="44"/>
      <c r="H1365" s="21">
        <v>0.0</v>
      </c>
      <c r="I1365" s="34">
        <f t="shared" ref="I1365:AO1365" si="642">H1372</f>
        <v>0</v>
      </c>
      <c r="J1365" s="34">
        <f t="shared" si="642"/>
        <v>0</v>
      </c>
      <c r="K1365" s="34">
        <f t="shared" si="642"/>
        <v>0</v>
      </c>
      <c r="L1365" s="34">
        <f t="shared" si="642"/>
        <v>0</v>
      </c>
      <c r="M1365" s="34">
        <f t="shared" si="642"/>
        <v>0</v>
      </c>
      <c r="N1365" s="34">
        <f t="shared" si="642"/>
        <v>0</v>
      </c>
      <c r="O1365" s="34">
        <f t="shared" si="642"/>
        <v>0</v>
      </c>
      <c r="P1365" s="34">
        <f t="shared" si="642"/>
        <v>0</v>
      </c>
      <c r="Q1365" s="34">
        <f t="shared" si="642"/>
        <v>0</v>
      </c>
      <c r="R1365" s="34">
        <f t="shared" si="642"/>
        <v>0</v>
      </c>
      <c r="S1365" s="34">
        <f t="shared" si="642"/>
        <v>0</v>
      </c>
      <c r="T1365" s="34">
        <f t="shared" si="642"/>
        <v>0</v>
      </c>
      <c r="U1365" s="34">
        <f t="shared" si="642"/>
        <v>0</v>
      </c>
      <c r="V1365" s="34">
        <f t="shared" si="642"/>
        <v>5</v>
      </c>
      <c r="W1365" s="34">
        <f t="shared" si="642"/>
        <v>5</v>
      </c>
      <c r="X1365" s="34">
        <f t="shared" si="642"/>
        <v>5</v>
      </c>
      <c r="Y1365" s="34">
        <f t="shared" si="642"/>
        <v>5</v>
      </c>
      <c r="Z1365" s="34">
        <f t="shared" si="642"/>
        <v>5</v>
      </c>
      <c r="AA1365" s="34">
        <f t="shared" si="642"/>
        <v>5</v>
      </c>
      <c r="AB1365" s="34">
        <f t="shared" si="642"/>
        <v>5</v>
      </c>
      <c r="AC1365" s="34">
        <f t="shared" si="642"/>
        <v>5</v>
      </c>
      <c r="AD1365" s="34">
        <f t="shared" si="642"/>
        <v>5</v>
      </c>
      <c r="AE1365" s="34">
        <f t="shared" si="642"/>
        <v>5</v>
      </c>
      <c r="AF1365" s="34">
        <f t="shared" si="642"/>
        <v>5</v>
      </c>
      <c r="AG1365" s="34">
        <f t="shared" si="642"/>
        <v>5</v>
      </c>
      <c r="AH1365" s="34">
        <f t="shared" si="642"/>
        <v>5</v>
      </c>
      <c r="AI1365" s="34">
        <f t="shared" si="642"/>
        <v>5</v>
      </c>
      <c r="AJ1365" s="34">
        <f t="shared" si="642"/>
        <v>5</v>
      </c>
      <c r="AK1365" s="34">
        <f t="shared" si="642"/>
        <v>5</v>
      </c>
      <c r="AL1365" s="34">
        <f t="shared" si="642"/>
        <v>5</v>
      </c>
      <c r="AM1365" s="34">
        <f t="shared" si="642"/>
        <v>5</v>
      </c>
      <c r="AN1365" s="34">
        <f t="shared" si="642"/>
        <v>5</v>
      </c>
      <c r="AO1365" s="34">
        <f t="shared" si="642"/>
        <v>5</v>
      </c>
      <c r="AP1365" s="54"/>
      <c r="AQ1365" s="1"/>
    </row>
    <row r="1366" ht="15.75" customHeight="1">
      <c r="A1366" s="1"/>
      <c r="B1366" s="35"/>
      <c r="C1366" s="35"/>
      <c r="D1366" s="35"/>
      <c r="E1366" s="107"/>
      <c r="F1366" s="14" t="s">
        <v>404</v>
      </c>
      <c r="G1366" s="44"/>
      <c r="H1366" s="21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>
        <v>5.0</v>
      </c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54"/>
      <c r="AQ1366" s="1"/>
    </row>
    <row r="1367" ht="15.75" customHeight="1">
      <c r="A1367" s="1"/>
      <c r="B1367" s="35"/>
      <c r="C1367" s="35"/>
      <c r="D1367" s="35"/>
      <c r="E1367" s="1"/>
      <c r="F1367" s="36" t="s">
        <v>406</v>
      </c>
      <c r="G1367" s="44"/>
      <c r="H1367" s="21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21"/>
      <c r="AP1367" s="39">
        <f t="shared" ref="AP1367:AP1371" si="643">SUM(H1367:AO1367)</f>
        <v>0</v>
      </c>
      <c r="AQ1367" s="1"/>
    </row>
    <row r="1368" ht="15.75" customHeight="1">
      <c r="A1368" s="1"/>
      <c r="B1368" s="35"/>
      <c r="C1368" s="35"/>
      <c r="D1368" s="35"/>
      <c r="E1368" s="33"/>
      <c r="F1368" s="36" t="s">
        <v>93</v>
      </c>
      <c r="G1368" s="37"/>
      <c r="H1368" s="37"/>
      <c r="I1368" s="37"/>
      <c r="J1368" s="37"/>
      <c r="K1368" s="37"/>
      <c r="L1368" s="37"/>
      <c r="M1368" s="37"/>
      <c r="N1368" s="37"/>
      <c r="O1368" s="37"/>
      <c r="P1368" s="37"/>
      <c r="Q1368" s="37"/>
      <c r="R1368" s="37"/>
      <c r="S1368" s="38"/>
      <c r="T1368" s="37"/>
      <c r="U1368" s="38"/>
      <c r="V1368" s="37"/>
      <c r="W1368" s="37"/>
      <c r="X1368" s="37"/>
      <c r="Y1368" s="37"/>
      <c r="Z1368" s="37"/>
      <c r="AA1368" s="37"/>
      <c r="AB1368" s="37"/>
      <c r="AC1368" s="37"/>
      <c r="AD1368" s="38"/>
      <c r="AE1368" s="37"/>
      <c r="AF1368" s="37"/>
      <c r="AG1368" s="37"/>
      <c r="AH1368" s="37"/>
      <c r="AI1368" s="37"/>
      <c r="AJ1368" s="37"/>
      <c r="AK1368" s="37"/>
      <c r="AL1368" s="37"/>
      <c r="AM1368" s="37"/>
      <c r="AN1368" s="37"/>
      <c r="AO1368" s="37"/>
      <c r="AP1368" s="39">
        <f t="shared" si="643"/>
        <v>0</v>
      </c>
      <c r="AQ1368" s="1"/>
    </row>
    <row r="1369" ht="15.75" customHeight="1">
      <c r="A1369" s="51"/>
      <c r="B1369" s="35"/>
      <c r="C1369" s="35"/>
      <c r="D1369" s="35"/>
      <c r="E1369" s="47"/>
      <c r="F1369" s="40" t="s">
        <v>26</v>
      </c>
      <c r="G1369" s="49"/>
      <c r="H1369" s="48"/>
      <c r="I1369" s="48"/>
      <c r="J1369" s="48"/>
      <c r="K1369" s="48"/>
      <c r="L1369" s="48"/>
      <c r="M1369" s="48"/>
      <c r="N1369" s="48"/>
      <c r="O1369" s="48"/>
      <c r="P1369" s="48"/>
      <c r="Q1369" s="48"/>
      <c r="R1369" s="48"/>
      <c r="S1369" s="48"/>
      <c r="T1369" s="48"/>
      <c r="U1369" s="48"/>
      <c r="V1369" s="48"/>
      <c r="W1369" s="48"/>
      <c r="X1369" s="48"/>
      <c r="Y1369" s="48"/>
      <c r="Z1369" s="48"/>
      <c r="AA1369" s="48"/>
      <c r="AB1369" s="48"/>
      <c r="AC1369" s="48"/>
      <c r="AD1369" s="48"/>
      <c r="AE1369" s="48"/>
      <c r="AF1369" s="48"/>
      <c r="AG1369" s="48"/>
      <c r="AH1369" s="48"/>
      <c r="AI1369" s="48"/>
      <c r="AJ1369" s="48"/>
      <c r="AK1369" s="48"/>
      <c r="AL1369" s="48"/>
      <c r="AM1369" s="48"/>
      <c r="AN1369" s="48"/>
      <c r="AO1369" s="49"/>
      <c r="AP1369" s="50">
        <f t="shared" si="643"/>
        <v>0</v>
      </c>
      <c r="AQ1369" s="51"/>
    </row>
    <row r="1370" ht="15.75" customHeight="1">
      <c r="A1370" s="1"/>
      <c r="B1370" s="35"/>
      <c r="C1370" s="35"/>
      <c r="D1370" s="35"/>
      <c r="E1370" s="33" t="s">
        <v>404</v>
      </c>
      <c r="F1370" s="41" t="s">
        <v>407</v>
      </c>
      <c r="G1370" s="37"/>
      <c r="H1370" s="38"/>
      <c r="I1370" s="38"/>
      <c r="J1370" s="38"/>
      <c r="K1370" s="38"/>
      <c r="L1370" s="38"/>
      <c r="M1370" s="38"/>
      <c r="N1370" s="38"/>
      <c r="O1370" s="38"/>
      <c r="P1370" s="38"/>
      <c r="Q1370" s="38"/>
      <c r="R1370" s="38"/>
      <c r="S1370" s="38"/>
      <c r="T1370" s="38"/>
      <c r="U1370" s="38"/>
      <c r="V1370" s="38"/>
      <c r="W1370" s="38"/>
      <c r="X1370" s="38"/>
      <c r="Y1370" s="38"/>
      <c r="Z1370" s="38"/>
      <c r="AA1370" s="38"/>
      <c r="AB1370" s="38"/>
      <c r="AC1370" s="38"/>
      <c r="AD1370" s="38"/>
      <c r="AE1370" s="38"/>
      <c r="AF1370" s="38"/>
      <c r="AG1370" s="38"/>
      <c r="AH1370" s="38"/>
      <c r="AI1370" s="38"/>
      <c r="AJ1370" s="38"/>
      <c r="AK1370" s="38"/>
      <c r="AL1370" s="38"/>
      <c r="AM1370" s="38"/>
      <c r="AN1370" s="38"/>
      <c r="AO1370" s="37"/>
      <c r="AP1370" s="39">
        <f t="shared" si="643"/>
        <v>0</v>
      </c>
      <c r="AQ1370" s="1"/>
    </row>
    <row r="1371" ht="15.75" customHeight="1">
      <c r="A1371" s="1"/>
      <c r="B1371" s="35"/>
      <c r="C1371" s="35"/>
      <c r="D1371" s="35"/>
      <c r="E1371" s="33" t="s">
        <v>397</v>
      </c>
      <c r="F1371" s="41" t="s">
        <v>408</v>
      </c>
      <c r="G1371" s="37"/>
      <c r="H1371" s="38"/>
      <c r="I1371" s="38"/>
      <c r="J1371" s="38"/>
      <c r="K1371" s="38"/>
      <c r="L1371" s="38"/>
      <c r="M1371" s="38"/>
      <c r="N1371" s="38"/>
      <c r="O1371" s="38"/>
      <c r="P1371" s="38"/>
      <c r="Q1371" s="38"/>
      <c r="R1371" s="38"/>
      <c r="S1371" s="38"/>
      <c r="T1371" s="38"/>
      <c r="U1371" s="38"/>
      <c r="V1371" s="38"/>
      <c r="W1371" s="38"/>
      <c r="X1371" s="38"/>
      <c r="Y1371" s="38"/>
      <c r="Z1371" s="38"/>
      <c r="AA1371" s="38"/>
      <c r="AB1371" s="38"/>
      <c r="AC1371" s="38"/>
      <c r="AD1371" s="38"/>
      <c r="AE1371" s="38"/>
      <c r="AF1371" s="38"/>
      <c r="AG1371" s="38"/>
      <c r="AH1371" s="38"/>
      <c r="AI1371" s="38"/>
      <c r="AJ1371" s="38"/>
      <c r="AK1371" s="38"/>
      <c r="AL1371" s="38"/>
      <c r="AM1371" s="38"/>
      <c r="AN1371" s="38"/>
      <c r="AO1371" s="37"/>
      <c r="AP1371" s="39">
        <f t="shared" si="643"/>
        <v>0</v>
      </c>
      <c r="AQ1371" s="1"/>
    </row>
    <row r="1372" ht="15.75" customHeight="1">
      <c r="A1372" s="1"/>
      <c r="B1372" s="42"/>
      <c r="C1372" s="42"/>
      <c r="D1372" s="42"/>
      <c r="E1372" s="52"/>
      <c r="F1372" s="43" t="s">
        <v>30</v>
      </c>
      <c r="G1372" s="55"/>
      <c r="H1372" s="34">
        <f t="shared" ref="H1372:AN1372" si="644">H1365+H1366+H1367+H1368-H1369+H1370-H1371</f>
        <v>0</v>
      </c>
      <c r="I1372" s="34">
        <f t="shared" si="644"/>
        <v>0</v>
      </c>
      <c r="J1372" s="34">
        <f t="shared" si="644"/>
        <v>0</v>
      </c>
      <c r="K1372" s="34">
        <f t="shared" si="644"/>
        <v>0</v>
      </c>
      <c r="L1372" s="34">
        <f t="shared" si="644"/>
        <v>0</v>
      </c>
      <c r="M1372" s="34">
        <f t="shared" si="644"/>
        <v>0</v>
      </c>
      <c r="N1372" s="34">
        <f t="shared" si="644"/>
        <v>0</v>
      </c>
      <c r="O1372" s="34">
        <f t="shared" si="644"/>
        <v>0</v>
      </c>
      <c r="P1372" s="34">
        <f t="shared" si="644"/>
        <v>0</v>
      </c>
      <c r="Q1372" s="34">
        <f t="shared" si="644"/>
        <v>0</v>
      </c>
      <c r="R1372" s="34">
        <f t="shared" si="644"/>
        <v>0</v>
      </c>
      <c r="S1372" s="34">
        <f t="shared" si="644"/>
        <v>0</v>
      </c>
      <c r="T1372" s="34">
        <f t="shared" si="644"/>
        <v>0</v>
      </c>
      <c r="U1372" s="34">
        <f t="shared" si="644"/>
        <v>5</v>
      </c>
      <c r="V1372" s="34">
        <f t="shared" si="644"/>
        <v>5</v>
      </c>
      <c r="W1372" s="34">
        <f t="shared" si="644"/>
        <v>5</v>
      </c>
      <c r="X1372" s="34">
        <f t="shared" si="644"/>
        <v>5</v>
      </c>
      <c r="Y1372" s="34">
        <f t="shared" si="644"/>
        <v>5</v>
      </c>
      <c r="Z1372" s="34">
        <f t="shared" si="644"/>
        <v>5</v>
      </c>
      <c r="AA1372" s="34">
        <f t="shared" si="644"/>
        <v>5</v>
      </c>
      <c r="AB1372" s="34">
        <f t="shared" si="644"/>
        <v>5</v>
      </c>
      <c r="AC1372" s="34">
        <f t="shared" si="644"/>
        <v>5</v>
      </c>
      <c r="AD1372" s="34">
        <f t="shared" si="644"/>
        <v>5</v>
      </c>
      <c r="AE1372" s="34">
        <f t="shared" si="644"/>
        <v>5</v>
      </c>
      <c r="AF1372" s="34">
        <f t="shared" si="644"/>
        <v>5</v>
      </c>
      <c r="AG1372" s="34">
        <f t="shared" si="644"/>
        <v>5</v>
      </c>
      <c r="AH1372" s="34">
        <f t="shared" si="644"/>
        <v>5</v>
      </c>
      <c r="AI1372" s="34">
        <f t="shared" si="644"/>
        <v>5</v>
      </c>
      <c r="AJ1372" s="34">
        <f t="shared" si="644"/>
        <v>5</v>
      </c>
      <c r="AK1372" s="34">
        <f t="shared" si="644"/>
        <v>5</v>
      </c>
      <c r="AL1372" s="34">
        <f t="shared" si="644"/>
        <v>5</v>
      </c>
      <c r="AM1372" s="34">
        <f t="shared" si="644"/>
        <v>5</v>
      </c>
      <c r="AN1372" s="34">
        <f t="shared" si="644"/>
        <v>5</v>
      </c>
      <c r="AO1372" s="34"/>
      <c r="AP1372" s="45">
        <f>AO1365</f>
        <v>5</v>
      </c>
      <c r="AQ1372" s="1"/>
    </row>
    <row r="1373" ht="15.75" customHeight="1">
      <c r="A1373" s="1"/>
      <c r="B1373" s="1"/>
      <c r="C1373" s="1"/>
      <c r="D1373" s="1"/>
      <c r="E1373" s="1"/>
      <c r="F1373" s="1"/>
      <c r="G1373" s="1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  <c r="S1373" s="103"/>
      <c r="T1373" s="99"/>
      <c r="U1373" s="103"/>
      <c r="V1373" s="99"/>
      <c r="W1373" s="99"/>
      <c r="X1373" s="99"/>
      <c r="Y1373" s="99"/>
      <c r="Z1373" s="99"/>
      <c r="AA1373" s="99"/>
      <c r="AB1373" s="99"/>
      <c r="AC1373" s="99"/>
      <c r="AD1373" s="103"/>
      <c r="AE1373" s="99"/>
      <c r="AF1373" s="99"/>
      <c r="AG1373" s="99"/>
      <c r="AH1373" s="99"/>
      <c r="AI1373" s="99"/>
      <c r="AJ1373" s="99"/>
      <c r="AK1373" s="99"/>
      <c r="AL1373" s="99"/>
      <c r="AM1373" s="99"/>
      <c r="AN1373" s="99"/>
      <c r="AO1373" s="99"/>
      <c r="AP1373" s="1"/>
      <c r="AQ1373" s="1"/>
    </row>
    <row r="1374" ht="15.75" customHeight="1">
      <c r="A1374" s="1"/>
      <c r="B1374" s="1"/>
      <c r="C1374" s="1"/>
      <c r="D1374" s="1"/>
      <c r="E1374" s="1"/>
      <c r="F1374" s="1"/>
      <c r="G1374" s="1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  <c r="S1374" s="103"/>
      <c r="T1374" s="99"/>
      <c r="U1374" s="103"/>
      <c r="V1374" s="99"/>
      <c r="W1374" s="99"/>
      <c r="X1374" s="99"/>
      <c r="Y1374" s="99"/>
      <c r="Z1374" s="99"/>
      <c r="AA1374" s="99"/>
      <c r="AB1374" s="99"/>
      <c r="AC1374" s="99"/>
      <c r="AD1374" s="103"/>
      <c r="AE1374" s="99"/>
      <c r="AF1374" s="99"/>
      <c r="AG1374" s="99"/>
      <c r="AH1374" s="99"/>
      <c r="AI1374" s="99"/>
      <c r="AJ1374" s="99"/>
      <c r="AK1374" s="99"/>
      <c r="AL1374" s="99"/>
      <c r="AM1374" s="99"/>
      <c r="AN1374" s="99"/>
      <c r="AO1374" s="99"/>
      <c r="AP1374" s="1"/>
      <c r="AQ1374" s="1"/>
    </row>
    <row r="1375" ht="15.75" customHeight="1">
      <c r="A1375" s="1"/>
      <c r="B1375" s="1"/>
      <c r="C1375" s="1"/>
      <c r="D1375" s="1"/>
      <c r="E1375" s="1"/>
      <c r="F1375" s="1"/>
      <c r="G1375" s="1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  <c r="S1375" s="103"/>
      <c r="T1375" s="99"/>
      <c r="U1375" s="103"/>
      <c r="V1375" s="99"/>
      <c r="W1375" s="99"/>
      <c r="X1375" s="99"/>
      <c r="Y1375" s="99"/>
      <c r="Z1375" s="99"/>
      <c r="AA1375" s="99"/>
      <c r="AB1375" s="99"/>
      <c r="AC1375" s="99"/>
      <c r="AD1375" s="103"/>
      <c r="AE1375" s="99"/>
      <c r="AF1375" s="99"/>
      <c r="AG1375" s="99"/>
      <c r="AH1375" s="99"/>
      <c r="AI1375" s="99"/>
      <c r="AJ1375" s="99"/>
      <c r="AK1375" s="99"/>
      <c r="AL1375" s="99"/>
      <c r="AM1375" s="99"/>
      <c r="AN1375" s="99"/>
      <c r="AO1375" s="99"/>
      <c r="AP1375" s="1"/>
      <c r="AQ1375" s="1"/>
    </row>
    <row r="1376" ht="15.75" customHeight="1">
      <c r="A1376" s="1"/>
      <c r="B1376" s="1"/>
      <c r="C1376" s="1"/>
      <c r="D1376" s="1"/>
      <c r="E1376" s="1"/>
      <c r="F1376" s="1"/>
      <c r="G1376" s="1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  <c r="S1376" s="103"/>
      <c r="T1376" s="99"/>
      <c r="U1376" s="103"/>
      <c r="V1376" s="99"/>
      <c r="W1376" s="99"/>
      <c r="X1376" s="99"/>
      <c r="Y1376" s="99"/>
      <c r="Z1376" s="99"/>
      <c r="AA1376" s="99"/>
      <c r="AB1376" s="99"/>
      <c r="AC1376" s="99"/>
      <c r="AD1376" s="103"/>
      <c r="AE1376" s="99"/>
      <c r="AF1376" s="99"/>
      <c r="AG1376" s="99"/>
      <c r="AH1376" s="99"/>
      <c r="AI1376" s="99"/>
      <c r="AJ1376" s="99"/>
      <c r="AK1376" s="99"/>
      <c r="AL1376" s="99"/>
      <c r="AM1376" s="99"/>
      <c r="AN1376" s="99"/>
      <c r="AO1376" s="99"/>
      <c r="AP1376" s="1"/>
      <c r="AQ1376" s="1"/>
    </row>
    <row r="1377" ht="15.75" customHeight="1">
      <c r="A1377" s="1"/>
      <c r="B1377" s="1"/>
      <c r="C1377" s="1"/>
      <c r="D1377" s="1"/>
      <c r="E1377" s="1"/>
      <c r="F1377" s="1"/>
      <c r="G1377" s="1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  <c r="S1377" s="103"/>
      <c r="T1377" s="99"/>
      <c r="U1377" s="103"/>
      <c r="V1377" s="99"/>
      <c r="W1377" s="99"/>
      <c r="X1377" s="99"/>
      <c r="Y1377" s="99"/>
      <c r="Z1377" s="99"/>
      <c r="AA1377" s="99"/>
      <c r="AB1377" s="99"/>
      <c r="AC1377" s="99"/>
      <c r="AD1377" s="103"/>
      <c r="AE1377" s="99"/>
      <c r="AF1377" s="99"/>
      <c r="AG1377" s="99"/>
      <c r="AH1377" s="99"/>
      <c r="AI1377" s="99"/>
      <c r="AJ1377" s="99"/>
      <c r="AK1377" s="99"/>
      <c r="AL1377" s="99"/>
      <c r="AM1377" s="99"/>
      <c r="AN1377" s="99"/>
      <c r="AO1377" s="99"/>
      <c r="AP1377" s="1"/>
      <c r="AQ1377" s="1"/>
    </row>
    <row r="1378" ht="15.75" customHeight="1">
      <c r="A1378" s="1"/>
      <c r="B1378" s="1"/>
      <c r="C1378" s="1"/>
      <c r="D1378" s="1"/>
      <c r="E1378" s="1"/>
      <c r="F1378" s="1"/>
      <c r="G1378" s="1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  <c r="S1378" s="103"/>
      <c r="T1378" s="99"/>
      <c r="U1378" s="103"/>
      <c r="V1378" s="99"/>
      <c r="W1378" s="99"/>
      <c r="X1378" s="99"/>
      <c r="Y1378" s="99"/>
      <c r="Z1378" s="99"/>
      <c r="AA1378" s="99"/>
      <c r="AB1378" s="99"/>
      <c r="AC1378" s="99"/>
      <c r="AD1378" s="103"/>
      <c r="AE1378" s="99"/>
      <c r="AF1378" s="99"/>
      <c r="AG1378" s="99"/>
      <c r="AH1378" s="99"/>
      <c r="AI1378" s="99"/>
      <c r="AJ1378" s="99"/>
      <c r="AK1378" s="99"/>
      <c r="AL1378" s="99"/>
      <c r="AM1378" s="99"/>
      <c r="AN1378" s="99"/>
      <c r="AO1378" s="99"/>
      <c r="AP1378" s="1"/>
      <c r="AQ1378" s="1"/>
    </row>
    <row r="1379" ht="15.75" customHeight="1">
      <c r="A1379" s="1"/>
      <c r="B1379" s="1"/>
      <c r="C1379" s="1"/>
      <c r="D1379" s="1"/>
      <c r="E1379" s="1"/>
      <c r="F1379" s="1"/>
      <c r="G1379" s="1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  <c r="S1379" s="103"/>
      <c r="T1379" s="99"/>
      <c r="U1379" s="103"/>
      <c r="V1379" s="99"/>
      <c r="W1379" s="99"/>
      <c r="X1379" s="99"/>
      <c r="Y1379" s="99"/>
      <c r="Z1379" s="99"/>
      <c r="AA1379" s="99"/>
      <c r="AB1379" s="99"/>
      <c r="AC1379" s="99"/>
      <c r="AD1379" s="103"/>
      <c r="AE1379" s="99"/>
      <c r="AF1379" s="99"/>
      <c r="AG1379" s="99"/>
      <c r="AH1379" s="99"/>
      <c r="AI1379" s="99"/>
      <c r="AJ1379" s="99"/>
      <c r="AK1379" s="99"/>
      <c r="AL1379" s="99"/>
      <c r="AM1379" s="99"/>
      <c r="AN1379" s="99"/>
      <c r="AO1379" s="99"/>
      <c r="AP1379" s="1"/>
      <c r="AQ1379" s="1"/>
    </row>
    <row r="1380" ht="15.75" customHeight="1">
      <c r="A1380" s="1"/>
      <c r="B1380" s="1"/>
      <c r="C1380" s="1"/>
      <c r="D1380" s="1"/>
      <c r="E1380" s="1"/>
      <c r="F1380" s="1"/>
      <c r="G1380" s="1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  <c r="S1380" s="103"/>
      <c r="T1380" s="99"/>
      <c r="U1380" s="103"/>
      <c r="V1380" s="99"/>
      <c r="W1380" s="99"/>
      <c r="X1380" s="99"/>
      <c r="Y1380" s="99"/>
      <c r="Z1380" s="99"/>
      <c r="AA1380" s="99"/>
      <c r="AB1380" s="99"/>
      <c r="AC1380" s="99"/>
      <c r="AD1380" s="103"/>
      <c r="AE1380" s="99"/>
      <c r="AF1380" s="99"/>
      <c r="AG1380" s="99"/>
      <c r="AH1380" s="99"/>
      <c r="AI1380" s="99"/>
      <c r="AJ1380" s="99"/>
      <c r="AK1380" s="99"/>
      <c r="AL1380" s="99"/>
      <c r="AM1380" s="99"/>
      <c r="AN1380" s="99"/>
      <c r="AO1380" s="99"/>
      <c r="AP1380" s="1"/>
      <c r="AQ1380" s="1"/>
    </row>
    <row r="1381" ht="15.75" customHeight="1">
      <c r="A1381" s="1"/>
      <c r="B1381" s="1"/>
      <c r="C1381" s="1"/>
      <c r="D1381" s="1"/>
      <c r="E1381" s="1"/>
      <c r="F1381" s="1"/>
      <c r="G1381" s="1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  <c r="S1381" s="103"/>
      <c r="T1381" s="99"/>
      <c r="U1381" s="103"/>
      <c r="V1381" s="99"/>
      <c r="W1381" s="99"/>
      <c r="X1381" s="99"/>
      <c r="Y1381" s="99"/>
      <c r="Z1381" s="99"/>
      <c r="AA1381" s="99"/>
      <c r="AB1381" s="99"/>
      <c r="AC1381" s="99"/>
      <c r="AD1381" s="103"/>
      <c r="AE1381" s="99"/>
      <c r="AF1381" s="99"/>
      <c r="AG1381" s="99"/>
      <c r="AH1381" s="99"/>
      <c r="AI1381" s="99"/>
      <c r="AJ1381" s="99"/>
      <c r="AK1381" s="99"/>
      <c r="AL1381" s="99"/>
      <c r="AM1381" s="99"/>
      <c r="AN1381" s="99"/>
      <c r="AO1381" s="99"/>
      <c r="AP1381" s="1"/>
      <c r="AQ1381" s="1"/>
    </row>
    <row r="1382" ht="15.75" customHeight="1">
      <c r="A1382" s="1"/>
      <c r="B1382" s="1"/>
      <c r="C1382" s="1"/>
      <c r="D1382" s="1"/>
      <c r="E1382" s="1"/>
      <c r="F1382" s="1"/>
      <c r="G1382" s="1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  <c r="S1382" s="103"/>
      <c r="T1382" s="99"/>
      <c r="U1382" s="103"/>
      <c r="V1382" s="99"/>
      <c r="W1382" s="99"/>
      <c r="X1382" s="99"/>
      <c r="Y1382" s="99"/>
      <c r="Z1382" s="99"/>
      <c r="AA1382" s="99"/>
      <c r="AB1382" s="99"/>
      <c r="AC1382" s="99"/>
      <c r="AD1382" s="103"/>
      <c r="AE1382" s="99"/>
      <c r="AF1382" s="99"/>
      <c r="AG1382" s="99"/>
      <c r="AH1382" s="99"/>
      <c r="AI1382" s="99"/>
      <c r="AJ1382" s="99"/>
      <c r="AK1382" s="99"/>
      <c r="AL1382" s="99"/>
      <c r="AM1382" s="99"/>
      <c r="AN1382" s="99"/>
      <c r="AO1382" s="99"/>
      <c r="AP1382" s="1"/>
      <c r="AQ1382" s="1"/>
    </row>
    <row r="1383" ht="15.75" customHeight="1">
      <c r="A1383" s="1"/>
      <c r="B1383" s="1"/>
      <c r="C1383" s="1"/>
      <c r="D1383" s="1"/>
      <c r="E1383" s="1"/>
      <c r="F1383" s="1"/>
      <c r="G1383" s="1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  <c r="S1383" s="103"/>
      <c r="T1383" s="99"/>
      <c r="U1383" s="103"/>
      <c r="V1383" s="99"/>
      <c r="W1383" s="99"/>
      <c r="X1383" s="99"/>
      <c r="Y1383" s="99"/>
      <c r="Z1383" s="99"/>
      <c r="AA1383" s="99"/>
      <c r="AB1383" s="99"/>
      <c r="AC1383" s="99"/>
      <c r="AD1383" s="103"/>
      <c r="AE1383" s="99"/>
      <c r="AF1383" s="99"/>
      <c r="AG1383" s="99"/>
      <c r="AH1383" s="99"/>
      <c r="AI1383" s="99"/>
      <c r="AJ1383" s="99"/>
      <c r="AK1383" s="99"/>
      <c r="AL1383" s="99"/>
      <c r="AM1383" s="99"/>
      <c r="AN1383" s="99"/>
      <c r="AO1383" s="99"/>
      <c r="AP1383" s="1"/>
      <c r="AQ1383" s="1"/>
    </row>
    <row r="1384" ht="15.75" customHeight="1">
      <c r="A1384" s="1"/>
      <c r="B1384" s="1"/>
      <c r="C1384" s="1"/>
      <c r="D1384" s="1"/>
      <c r="E1384" s="1"/>
      <c r="F1384" s="1"/>
      <c r="G1384" s="1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103"/>
      <c r="T1384" s="99"/>
      <c r="U1384" s="103"/>
      <c r="V1384" s="99"/>
      <c r="W1384" s="99"/>
      <c r="X1384" s="99"/>
      <c r="Y1384" s="99"/>
      <c r="Z1384" s="99"/>
      <c r="AA1384" s="99"/>
      <c r="AB1384" s="99"/>
      <c r="AC1384" s="99"/>
      <c r="AD1384" s="103"/>
      <c r="AE1384" s="99"/>
      <c r="AF1384" s="99"/>
      <c r="AG1384" s="99"/>
      <c r="AH1384" s="99"/>
      <c r="AI1384" s="99"/>
      <c r="AJ1384" s="99"/>
      <c r="AK1384" s="99"/>
      <c r="AL1384" s="99"/>
      <c r="AM1384" s="99"/>
      <c r="AN1384" s="99"/>
      <c r="AO1384" s="99"/>
      <c r="AP1384" s="1"/>
      <c r="AQ1384" s="1"/>
    </row>
    <row r="1385" ht="15.75" customHeight="1">
      <c r="A1385" s="1"/>
      <c r="B1385" s="1"/>
      <c r="C1385" s="1"/>
      <c r="D1385" s="1"/>
      <c r="E1385" s="1"/>
      <c r="F1385" s="1"/>
      <c r="G1385" s="1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  <c r="S1385" s="103"/>
      <c r="T1385" s="99"/>
      <c r="U1385" s="103"/>
      <c r="V1385" s="99"/>
      <c r="W1385" s="99"/>
      <c r="X1385" s="99"/>
      <c r="Y1385" s="99"/>
      <c r="Z1385" s="99"/>
      <c r="AA1385" s="99"/>
      <c r="AB1385" s="99"/>
      <c r="AC1385" s="99"/>
      <c r="AD1385" s="103"/>
      <c r="AE1385" s="99"/>
      <c r="AF1385" s="99"/>
      <c r="AG1385" s="99"/>
      <c r="AH1385" s="99"/>
      <c r="AI1385" s="99"/>
      <c r="AJ1385" s="99"/>
      <c r="AK1385" s="99"/>
      <c r="AL1385" s="99"/>
      <c r="AM1385" s="99"/>
      <c r="AN1385" s="99"/>
      <c r="AO1385" s="99"/>
      <c r="AP1385" s="1"/>
      <c r="AQ1385" s="1"/>
    </row>
    <row r="1386" ht="15.75" customHeight="1">
      <c r="A1386" s="1"/>
      <c r="B1386" s="1"/>
      <c r="C1386" s="1"/>
      <c r="D1386" s="1"/>
      <c r="E1386" s="1"/>
      <c r="F1386" s="1"/>
      <c r="G1386" s="1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  <c r="S1386" s="103"/>
      <c r="T1386" s="99"/>
      <c r="U1386" s="103"/>
      <c r="V1386" s="99"/>
      <c r="W1386" s="99"/>
      <c r="X1386" s="99"/>
      <c r="Y1386" s="99"/>
      <c r="Z1386" s="99"/>
      <c r="AA1386" s="99"/>
      <c r="AB1386" s="99"/>
      <c r="AC1386" s="99"/>
      <c r="AD1386" s="103"/>
      <c r="AE1386" s="99"/>
      <c r="AF1386" s="99"/>
      <c r="AG1386" s="99"/>
      <c r="AH1386" s="99"/>
      <c r="AI1386" s="99"/>
      <c r="AJ1386" s="99"/>
      <c r="AK1386" s="99"/>
      <c r="AL1386" s="99"/>
      <c r="AM1386" s="99"/>
      <c r="AN1386" s="99"/>
      <c r="AO1386" s="99"/>
      <c r="AP1386" s="1"/>
      <c r="AQ1386" s="1"/>
    </row>
    <row r="1387" ht="15.75" customHeight="1">
      <c r="A1387" s="1"/>
      <c r="B1387" s="1"/>
      <c r="C1387" s="1"/>
      <c r="D1387" s="1"/>
      <c r="E1387" s="1"/>
      <c r="F1387" s="1"/>
      <c r="G1387" s="1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  <c r="S1387" s="103"/>
      <c r="T1387" s="99"/>
      <c r="U1387" s="103"/>
      <c r="V1387" s="99"/>
      <c r="W1387" s="99"/>
      <c r="X1387" s="99"/>
      <c r="Y1387" s="99"/>
      <c r="Z1387" s="99"/>
      <c r="AA1387" s="99"/>
      <c r="AB1387" s="99"/>
      <c r="AC1387" s="99"/>
      <c r="AD1387" s="103"/>
      <c r="AE1387" s="99"/>
      <c r="AF1387" s="99"/>
      <c r="AG1387" s="99"/>
      <c r="AH1387" s="99"/>
      <c r="AI1387" s="99"/>
      <c r="AJ1387" s="99"/>
      <c r="AK1387" s="99"/>
      <c r="AL1387" s="99"/>
      <c r="AM1387" s="99"/>
      <c r="AN1387" s="99"/>
      <c r="AO1387" s="99"/>
      <c r="AP1387" s="1"/>
      <c r="AQ1387" s="1"/>
    </row>
    <row r="1388" ht="15.75" customHeight="1">
      <c r="A1388" s="1"/>
      <c r="B1388" s="1"/>
      <c r="C1388" s="1"/>
      <c r="D1388" s="1"/>
      <c r="E1388" s="1"/>
      <c r="F1388" s="1"/>
      <c r="G1388" s="1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  <c r="S1388" s="103"/>
      <c r="T1388" s="99"/>
      <c r="U1388" s="103"/>
      <c r="V1388" s="99"/>
      <c r="W1388" s="99"/>
      <c r="X1388" s="99"/>
      <c r="Y1388" s="99"/>
      <c r="Z1388" s="99"/>
      <c r="AA1388" s="99"/>
      <c r="AB1388" s="99"/>
      <c r="AC1388" s="99"/>
      <c r="AD1388" s="103"/>
      <c r="AE1388" s="99"/>
      <c r="AF1388" s="99"/>
      <c r="AG1388" s="99"/>
      <c r="AH1388" s="99"/>
      <c r="AI1388" s="99"/>
      <c r="AJ1388" s="99"/>
      <c r="AK1388" s="99"/>
      <c r="AL1388" s="99"/>
      <c r="AM1388" s="99"/>
      <c r="AN1388" s="99"/>
      <c r="AO1388" s="99"/>
      <c r="AP1388" s="1"/>
      <c r="AQ1388" s="1"/>
    </row>
    <row r="1389" ht="15.75" customHeight="1">
      <c r="A1389" s="1"/>
      <c r="B1389" s="1"/>
      <c r="C1389" s="1"/>
      <c r="D1389" s="1"/>
      <c r="E1389" s="1"/>
      <c r="F1389" s="1"/>
      <c r="G1389" s="1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103"/>
      <c r="T1389" s="99"/>
      <c r="U1389" s="103"/>
      <c r="V1389" s="99"/>
      <c r="W1389" s="99"/>
      <c r="X1389" s="99"/>
      <c r="Y1389" s="99"/>
      <c r="Z1389" s="99"/>
      <c r="AA1389" s="99"/>
      <c r="AB1389" s="99"/>
      <c r="AC1389" s="99"/>
      <c r="AD1389" s="103"/>
      <c r="AE1389" s="99"/>
      <c r="AF1389" s="99"/>
      <c r="AG1389" s="99"/>
      <c r="AH1389" s="99"/>
      <c r="AI1389" s="99"/>
      <c r="AJ1389" s="99"/>
      <c r="AK1389" s="99"/>
      <c r="AL1389" s="99"/>
      <c r="AM1389" s="99"/>
      <c r="AN1389" s="99"/>
      <c r="AO1389" s="99"/>
      <c r="AP1389" s="1"/>
      <c r="AQ1389" s="1"/>
    </row>
    <row r="1390" ht="15.75" customHeight="1">
      <c r="A1390" s="1"/>
      <c r="B1390" s="1"/>
      <c r="C1390" s="1"/>
      <c r="D1390" s="1"/>
      <c r="E1390" s="1"/>
      <c r="F1390" s="1"/>
      <c r="G1390" s="1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  <c r="S1390" s="103"/>
      <c r="T1390" s="99"/>
      <c r="U1390" s="103"/>
      <c r="V1390" s="99"/>
      <c r="W1390" s="99"/>
      <c r="X1390" s="99"/>
      <c r="Y1390" s="99"/>
      <c r="Z1390" s="99"/>
      <c r="AA1390" s="99"/>
      <c r="AB1390" s="99"/>
      <c r="AC1390" s="99"/>
      <c r="AD1390" s="103"/>
      <c r="AE1390" s="99"/>
      <c r="AF1390" s="99"/>
      <c r="AG1390" s="99"/>
      <c r="AH1390" s="99"/>
      <c r="AI1390" s="99"/>
      <c r="AJ1390" s="99"/>
      <c r="AK1390" s="99"/>
      <c r="AL1390" s="99"/>
      <c r="AM1390" s="99"/>
      <c r="AN1390" s="99"/>
      <c r="AO1390" s="99"/>
      <c r="AP1390" s="1"/>
      <c r="AQ1390" s="1"/>
    </row>
    <row r="1391" ht="15.75" customHeight="1">
      <c r="A1391" s="1"/>
      <c r="B1391" s="1"/>
      <c r="C1391" s="1"/>
      <c r="D1391" s="1"/>
      <c r="E1391" s="1"/>
      <c r="F1391" s="1"/>
      <c r="G1391" s="1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  <c r="S1391" s="103"/>
      <c r="T1391" s="99"/>
      <c r="U1391" s="103"/>
      <c r="V1391" s="99"/>
      <c r="W1391" s="99"/>
      <c r="X1391" s="99"/>
      <c r="Y1391" s="99"/>
      <c r="Z1391" s="99"/>
      <c r="AA1391" s="99"/>
      <c r="AB1391" s="99"/>
      <c r="AC1391" s="99"/>
      <c r="AD1391" s="103"/>
      <c r="AE1391" s="99"/>
      <c r="AF1391" s="99"/>
      <c r="AG1391" s="99"/>
      <c r="AH1391" s="99"/>
      <c r="AI1391" s="99"/>
      <c r="AJ1391" s="99"/>
      <c r="AK1391" s="99"/>
      <c r="AL1391" s="99"/>
      <c r="AM1391" s="99"/>
      <c r="AN1391" s="99"/>
      <c r="AO1391" s="99"/>
      <c r="AP1391" s="1"/>
      <c r="AQ1391" s="1"/>
    </row>
    <row r="1392" ht="15.75" customHeight="1">
      <c r="A1392" s="1"/>
      <c r="B1392" s="1"/>
      <c r="C1392" s="1"/>
      <c r="D1392" s="1"/>
      <c r="E1392" s="1"/>
      <c r="F1392" s="1"/>
      <c r="G1392" s="1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  <c r="S1392" s="103"/>
      <c r="T1392" s="99"/>
      <c r="U1392" s="103"/>
      <c r="V1392" s="99"/>
      <c r="W1392" s="99"/>
      <c r="X1392" s="99"/>
      <c r="Y1392" s="99"/>
      <c r="Z1392" s="99"/>
      <c r="AA1392" s="99"/>
      <c r="AB1392" s="99"/>
      <c r="AC1392" s="99"/>
      <c r="AD1392" s="103"/>
      <c r="AE1392" s="99"/>
      <c r="AF1392" s="99"/>
      <c r="AG1392" s="99"/>
      <c r="AH1392" s="99"/>
      <c r="AI1392" s="99"/>
      <c r="AJ1392" s="99"/>
      <c r="AK1392" s="99"/>
      <c r="AL1392" s="99"/>
      <c r="AM1392" s="99"/>
      <c r="AN1392" s="99"/>
      <c r="AO1392" s="99"/>
      <c r="AP1392" s="1"/>
      <c r="AQ1392" s="1"/>
    </row>
    <row r="1393" ht="15.75" customHeight="1">
      <c r="A1393" s="1"/>
      <c r="B1393" s="1"/>
      <c r="C1393" s="1"/>
      <c r="D1393" s="1"/>
      <c r="E1393" s="1"/>
      <c r="F1393" s="1"/>
      <c r="G1393" s="1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  <c r="S1393" s="103"/>
      <c r="T1393" s="99"/>
      <c r="U1393" s="103"/>
      <c r="V1393" s="99"/>
      <c r="W1393" s="99"/>
      <c r="X1393" s="99"/>
      <c r="Y1393" s="99"/>
      <c r="Z1393" s="99"/>
      <c r="AA1393" s="99"/>
      <c r="AB1393" s="99"/>
      <c r="AC1393" s="99"/>
      <c r="AD1393" s="103"/>
      <c r="AE1393" s="99"/>
      <c r="AF1393" s="99"/>
      <c r="AG1393" s="99"/>
      <c r="AH1393" s="99"/>
      <c r="AI1393" s="99"/>
      <c r="AJ1393" s="99"/>
      <c r="AK1393" s="99"/>
      <c r="AL1393" s="99"/>
      <c r="AM1393" s="99"/>
      <c r="AN1393" s="99"/>
      <c r="AO1393" s="99"/>
      <c r="AP1393" s="1"/>
      <c r="AQ1393" s="1"/>
    </row>
    <row r="1394" ht="15.75" customHeight="1">
      <c r="A1394" s="1"/>
      <c r="B1394" s="1"/>
      <c r="C1394" s="1"/>
      <c r="D1394" s="1"/>
      <c r="E1394" s="1"/>
      <c r="F1394" s="1"/>
      <c r="G1394" s="1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  <c r="S1394" s="103"/>
      <c r="T1394" s="99"/>
      <c r="U1394" s="103"/>
      <c r="V1394" s="99"/>
      <c r="W1394" s="99"/>
      <c r="X1394" s="99"/>
      <c r="Y1394" s="99"/>
      <c r="Z1394" s="99"/>
      <c r="AA1394" s="99"/>
      <c r="AB1394" s="99"/>
      <c r="AC1394" s="99"/>
      <c r="AD1394" s="103"/>
      <c r="AE1394" s="99"/>
      <c r="AF1394" s="99"/>
      <c r="AG1394" s="99"/>
      <c r="AH1394" s="99"/>
      <c r="AI1394" s="99"/>
      <c r="AJ1394" s="99"/>
      <c r="AK1394" s="99"/>
      <c r="AL1394" s="99"/>
      <c r="AM1394" s="99"/>
      <c r="AN1394" s="99"/>
      <c r="AO1394" s="99"/>
      <c r="AP1394" s="1"/>
      <c r="AQ1394" s="1"/>
    </row>
    <row r="1395" ht="15.75" customHeight="1">
      <c r="A1395" s="1"/>
      <c r="B1395" s="1"/>
      <c r="C1395" s="1"/>
      <c r="D1395" s="1"/>
      <c r="E1395" s="1"/>
      <c r="F1395" s="1"/>
      <c r="G1395" s="1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  <c r="S1395" s="103"/>
      <c r="T1395" s="99"/>
      <c r="U1395" s="103"/>
      <c r="V1395" s="99"/>
      <c r="W1395" s="99"/>
      <c r="X1395" s="99"/>
      <c r="Y1395" s="99"/>
      <c r="Z1395" s="99"/>
      <c r="AA1395" s="99"/>
      <c r="AB1395" s="99"/>
      <c r="AC1395" s="99"/>
      <c r="AD1395" s="103"/>
      <c r="AE1395" s="99"/>
      <c r="AF1395" s="99"/>
      <c r="AG1395" s="99"/>
      <c r="AH1395" s="99"/>
      <c r="AI1395" s="99"/>
      <c r="AJ1395" s="99"/>
      <c r="AK1395" s="99"/>
      <c r="AL1395" s="99"/>
      <c r="AM1395" s="99"/>
      <c r="AN1395" s="99"/>
      <c r="AO1395" s="99"/>
      <c r="AP1395" s="1"/>
      <c r="AQ1395" s="1"/>
    </row>
    <row r="1396" ht="15.75" customHeight="1">
      <c r="A1396" s="1"/>
      <c r="B1396" s="1"/>
      <c r="C1396" s="1"/>
      <c r="D1396" s="1"/>
      <c r="E1396" s="1"/>
      <c r="F1396" s="1"/>
      <c r="G1396" s="1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  <c r="S1396" s="103"/>
      <c r="T1396" s="99"/>
      <c r="U1396" s="103"/>
      <c r="V1396" s="99"/>
      <c r="W1396" s="99"/>
      <c r="X1396" s="99"/>
      <c r="Y1396" s="99"/>
      <c r="Z1396" s="99"/>
      <c r="AA1396" s="99"/>
      <c r="AB1396" s="99"/>
      <c r="AC1396" s="99"/>
      <c r="AD1396" s="103"/>
      <c r="AE1396" s="99"/>
      <c r="AF1396" s="99"/>
      <c r="AG1396" s="99"/>
      <c r="AH1396" s="99"/>
      <c r="AI1396" s="99"/>
      <c r="AJ1396" s="99"/>
      <c r="AK1396" s="99"/>
      <c r="AL1396" s="99"/>
      <c r="AM1396" s="99"/>
      <c r="AN1396" s="99"/>
      <c r="AO1396" s="99"/>
      <c r="AP1396" s="1"/>
      <c r="AQ1396" s="1"/>
    </row>
    <row r="1397" ht="15.75" customHeight="1">
      <c r="A1397" s="1"/>
      <c r="B1397" s="1"/>
      <c r="C1397" s="1"/>
      <c r="D1397" s="1"/>
      <c r="E1397" s="1"/>
      <c r="F1397" s="1"/>
      <c r="G1397" s="1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  <c r="S1397" s="103"/>
      <c r="T1397" s="99"/>
      <c r="U1397" s="103"/>
      <c r="V1397" s="99"/>
      <c r="W1397" s="99"/>
      <c r="X1397" s="99"/>
      <c r="Y1397" s="99"/>
      <c r="Z1397" s="99"/>
      <c r="AA1397" s="99"/>
      <c r="AB1397" s="99"/>
      <c r="AC1397" s="99"/>
      <c r="AD1397" s="103"/>
      <c r="AE1397" s="99"/>
      <c r="AF1397" s="99"/>
      <c r="AG1397" s="99"/>
      <c r="AH1397" s="99"/>
      <c r="AI1397" s="99"/>
      <c r="AJ1397" s="99"/>
      <c r="AK1397" s="99"/>
      <c r="AL1397" s="99"/>
      <c r="AM1397" s="99"/>
      <c r="AN1397" s="99"/>
      <c r="AO1397" s="99"/>
      <c r="AP1397" s="1"/>
      <c r="AQ1397" s="1"/>
    </row>
    <row r="1398" ht="15.75" customHeight="1">
      <c r="A1398" s="1"/>
      <c r="B1398" s="1"/>
      <c r="C1398" s="1"/>
      <c r="D1398" s="1"/>
      <c r="E1398" s="1"/>
      <c r="F1398" s="1"/>
      <c r="G1398" s="1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  <c r="S1398" s="103"/>
      <c r="T1398" s="99"/>
      <c r="U1398" s="103"/>
      <c r="V1398" s="99"/>
      <c r="W1398" s="99"/>
      <c r="X1398" s="99"/>
      <c r="Y1398" s="99"/>
      <c r="Z1398" s="99"/>
      <c r="AA1398" s="99"/>
      <c r="AB1398" s="99"/>
      <c r="AC1398" s="99"/>
      <c r="AD1398" s="103"/>
      <c r="AE1398" s="99"/>
      <c r="AF1398" s="99"/>
      <c r="AG1398" s="99"/>
      <c r="AH1398" s="99"/>
      <c r="AI1398" s="99"/>
      <c r="AJ1398" s="99"/>
      <c r="AK1398" s="99"/>
      <c r="AL1398" s="99"/>
      <c r="AM1398" s="99"/>
      <c r="AN1398" s="99"/>
      <c r="AO1398" s="99"/>
      <c r="AP1398" s="1"/>
      <c r="AQ1398" s="1"/>
    </row>
    <row r="1399" ht="15.75" customHeight="1">
      <c r="A1399" s="1"/>
      <c r="B1399" s="1"/>
      <c r="C1399" s="1"/>
      <c r="D1399" s="1"/>
      <c r="E1399" s="1"/>
      <c r="F1399" s="1"/>
      <c r="G1399" s="1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  <c r="S1399" s="103"/>
      <c r="T1399" s="99"/>
      <c r="U1399" s="103"/>
      <c r="V1399" s="99"/>
      <c r="W1399" s="99"/>
      <c r="X1399" s="99"/>
      <c r="Y1399" s="99"/>
      <c r="Z1399" s="99"/>
      <c r="AA1399" s="99"/>
      <c r="AB1399" s="99"/>
      <c r="AC1399" s="99"/>
      <c r="AD1399" s="103"/>
      <c r="AE1399" s="99"/>
      <c r="AF1399" s="99"/>
      <c r="AG1399" s="99"/>
      <c r="AH1399" s="99"/>
      <c r="AI1399" s="99"/>
      <c r="AJ1399" s="99"/>
      <c r="AK1399" s="99"/>
      <c r="AL1399" s="99"/>
      <c r="AM1399" s="99"/>
      <c r="AN1399" s="99"/>
      <c r="AO1399" s="99"/>
      <c r="AP1399" s="1"/>
      <c r="AQ1399" s="1"/>
    </row>
    <row r="1400" ht="15.75" customHeight="1">
      <c r="A1400" s="1"/>
      <c r="B1400" s="1"/>
      <c r="C1400" s="1"/>
      <c r="D1400" s="1"/>
      <c r="E1400" s="1"/>
      <c r="F1400" s="1"/>
      <c r="G1400" s="1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  <c r="S1400" s="103"/>
      <c r="T1400" s="99"/>
      <c r="U1400" s="103"/>
      <c r="V1400" s="99"/>
      <c r="W1400" s="99"/>
      <c r="X1400" s="99"/>
      <c r="Y1400" s="99"/>
      <c r="Z1400" s="99"/>
      <c r="AA1400" s="99"/>
      <c r="AB1400" s="99"/>
      <c r="AC1400" s="99"/>
      <c r="AD1400" s="103"/>
      <c r="AE1400" s="99"/>
      <c r="AF1400" s="99"/>
      <c r="AG1400" s="99"/>
      <c r="AH1400" s="99"/>
      <c r="AI1400" s="99"/>
      <c r="AJ1400" s="99"/>
      <c r="AK1400" s="99"/>
      <c r="AL1400" s="99"/>
      <c r="AM1400" s="99"/>
      <c r="AN1400" s="99"/>
      <c r="AO1400" s="99"/>
      <c r="AP1400" s="1"/>
      <c r="AQ1400" s="1"/>
    </row>
    <row r="1401" ht="15.75" customHeight="1">
      <c r="A1401" s="1"/>
      <c r="B1401" s="1"/>
      <c r="C1401" s="1"/>
      <c r="D1401" s="1"/>
      <c r="E1401" s="1"/>
      <c r="F1401" s="1"/>
      <c r="G1401" s="1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  <c r="S1401" s="103"/>
      <c r="T1401" s="99"/>
      <c r="U1401" s="103"/>
      <c r="V1401" s="99"/>
      <c r="W1401" s="99"/>
      <c r="X1401" s="99"/>
      <c r="Y1401" s="99"/>
      <c r="Z1401" s="99"/>
      <c r="AA1401" s="99"/>
      <c r="AB1401" s="99"/>
      <c r="AC1401" s="99"/>
      <c r="AD1401" s="103"/>
      <c r="AE1401" s="99"/>
      <c r="AF1401" s="99"/>
      <c r="AG1401" s="99"/>
      <c r="AH1401" s="99"/>
      <c r="AI1401" s="99"/>
      <c r="AJ1401" s="99"/>
      <c r="AK1401" s="99"/>
      <c r="AL1401" s="99"/>
      <c r="AM1401" s="99"/>
      <c r="AN1401" s="99"/>
      <c r="AO1401" s="99"/>
      <c r="AP1401" s="1"/>
      <c r="AQ1401" s="1"/>
    </row>
    <row r="1402" ht="15.75" customHeight="1">
      <c r="A1402" s="1"/>
      <c r="B1402" s="1"/>
      <c r="C1402" s="1"/>
      <c r="D1402" s="1"/>
      <c r="E1402" s="1"/>
      <c r="F1402" s="1"/>
      <c r="G1402" s="1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  <c r="S1402" s="103"/>
      <c r="T1402" s="99"/>
      <c r="U1402" s="103"/>
      <c r="V1402" s="99"/>
      <c r="W1402" s="99"/>
      <c r="X1402" s="99"/>
      <c r="Y1402" s="99"/>
      <c r="Z1402" s="99"/>
      <c r="AA1402" s="99"/>
      <c r="AB1402" s="99"/>
      <c r="AC1402" s="99"/>
      <c r="AD1402" s="103"/>
      <c r="AE1402" s="99"/>
      <c r="AF1402" s="99"/>
      <c r="AG1402" s="99"/>
      <c r="AH1402" s="99"/>
      <c r="AI1402" s="99"/>
      <c r="AJ1402" s="99"/>
      <c r="AK1402" s="99"/>
      <c r="AL1402" s="99"/>
      <c r="AM1402" s="99"/>
      <c r="AN1402" s="99"/>
      <c r="AO1402" s="99"/>
      <c r="AP1402" s="1"/>
      <c r="AQ1402" s="1"/>
    </row>
    <row r="1403" ht="15.75" customHeight="1">
      <c r="A1403" s="1"/>
      <c r="B1403" s="1"/>
      <c r="C1403" s="1"/>
      <c r="D1403" s="1"/>
      <c r="E1403" s="1"/>
      <c r="F1403" s="1"/>
      <c r="G1403" s="1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  <c r="S1403" s="103"/>
      <c r="T1403" s="99"/>
      <c r="U1403" s="103"/>
      <c r="V1403" s="99"/>
      <c r="W1403" s="99"/>
      <c r="X1403" s="99"/>
      <c r="Y1403" s="99"/>
      <c r="Z1403" s="99"/>
      <c r="AA1403" s="99"/>
      <c r="AB1403" s="99"/>
      <c r="AC1403" s="99"/>
      <c r="AD1403" s="103"/>
      <c r="AE1403" s="99"/>
      <c r="AF1403" s="99"/>
      <c r="AG1403" s="99"/>
      <c r="AH1403" s="99"/>
      <c r="AI1403" s="99"/>
      <c r="AJ1403" s="99"/>
      <c r="AK1403" s="99"/>
      <c r="AL1403" s="99"/>
      <c r="AM1403" s="99"/>
      <c r="AN1403" s="99"/>
      <c r="AO1403" s="99"/>
      <c r="AP1403" s="1"/>
      <c r="AQ1403" s="1"/>
    </row>
    <row r="1404" ht="15.75" customHeight="1">
      <c r="A1404" s="1"/>
      <c r="B1404" s="1"/>
      <c r="C1404" s="1"/>
      <c r="D1404" s="1"/>
      <c r="E1404" s="1"/>
      <c r="F1404" s="1"/>
      <c r="G1404" s="1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  <c r="S1404" s="103"/>
      <c r="T1404" s="99"/>
      <c r="U1404" s="103"/>
      <c r="V1404" s="99"/>
      <c r="W1404" s="99"/>
      <c r="X1404" s="99"/>
      <c r="Y1404" s="99"/>
      <c r="Z1404" s="99"/>
      <c r="AA1404" s="99"/>
      <c r="AB1404" s="99"/>
      <c r="AC1404" s="99"/>
      <c r="AD1404" s="103"/>
      <c r="AE1404" s="99"/>
      <c r="AF1404" s="99"/>
      <c r="AG1404" s="99"/>
      <c r="AH1404" s="99"/>
      <c r="AI1404" s="99"/>
      <c r="AJ1404" s="99"/>
      <c r="AK1404" s="99"/>
      <c r="AL1404" s="99"/>
      <c r="AM1404" s="99"/>
      <c r="AN1404" s="99"/>
      <c r="AO1404" s="99"/>
      <c r="AP1404" s="1"/>
      <c r="AQ1404" s="1"/>
    </row>
    <row r="1405" ht="15.75" customHeight="1">
      <c r="A1405" s="1"/>
      <c r="B1405" s="1"/>
      <c r="C1405" s="1"/>
      <c r="D1405" s="1"/>
      <c r="E1405" s="1"/>
      <c r="F1405" s="1"/>
      <c r="G1405" s="1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  <c r="S1405" s="103"/>
      <c r="T1405" s="99"/>
      <c r="U1405" s="103"/>
      <c r="V1405" s="99"/>
      <c r="W1405" s="99"/>
      <c r="X1405" s="99"/>
      <c r="Y1405" s="99"/>
      <c r="Z1405" s="99"/>
      <c r="AA1405" s="99"/>
      <c r="AB1405" s="99"/>
      <c r="AC1405" s="99"/>
      <c r="AD1405" s="103"/>
      <c r="AE1405" s="99"/>
      <c r="AF1405" s="99"/>
      <c r="AG1405" s="99"/>
      <c r="AH1405" s="99"/>
      <c r="AI1405" s="99"/>
      <c r="AJ1405" s="99"/>
      <c r="AK1405" s="99"/>
      <c r="AL1405" s="99"/>
      <c r="AM1405" s="99"/>
      <c r="AN1405" s="99"/>
      <c r="AO1405" s="99"/>
      <c r="AP1405" s="1"/>
      <c r="AQ1405" s="1"/>
    </row>
    <row r="1406" ht="15.75" customHeight="1">
      <c r="A1406" s="1"/>
      <c r="B1406" s="1"/>
      <c r="C1406" s="1"/>
      <c r="D1406" s="1"/>
      <c r="E1406" s="1"/>
      <c r="F1406" s="1"/>
      <c r="G1406" s="1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  <c r="S1406" s="103"/>
      <c r="T1406" s="99"/>
      <c r="U1406" s="103"/>
      <c r="V1406" s="99"/>
      <c r="W1406" s="99"/>
      <c r="X1406" s="99"/>
      <c r="Y1406" s="99"/>
      <c r="Z1406" s="99"/>
      <c r="AA1406" s="99"/>
      <c r="AB1406" s="99"/>
      <c r="AC1406" s="99"/>
      <c r="AD1406" s="103"/>
      <c r="AE1406" s="99"/>
      <c r="AF1406" s="99"/>
      <c r="AG1406" s="99"/>
      <c r="AH1406" s="99"/>
      <c r="AI1406" s="99"/>
      <c r="AJ1406" s="99"/>
      <c r="AK1406" s="99"/>
      <c r="AL1406" s="99"/>
      <c r="AM1406" s="99"/>
      <c r="AN1406" s="99"/>
      <c r="AO1406" s="99"/>
      <c r="AP1406" s="1"/>
      <c r="AQ1406" s="1"/>
    </row>
    <row r="1407" ht="15.75" customHeight="1">
      <c r="A1407" s="1"/>
      <c r="B1407" s="1"/>
      <c r="C1407" s="1"/>
      <c r="D1407" s="1"/>
      <c r="E1407" s="1"/>
      <c r="F1407" s="1"/>
      <c r="G1407" s="1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  <c r="S1407" s="103"/>
      <c r="T1407" s="99"/>
      <c r="U1407" s="103"/>
      <c r="V1407" s="99"/>
      <c r="W1407" s="99"/>
      <c r="X1407" s="99"/>
      <c r="Y1407" s="99"/>
      <c r="Z1407" s="99"/>
      <c r="AA1407" s="99"/>
      <c r="AB1407" s="99"/>
      <c r="AC1407" s="99"/>
      <c r="AD1407" s="103"/>
      <c r="AE1407" s="99"/>
      <c r="AF1407" s="99"/>
      <c r="AG1407" s="99"/>
      <c r="AH1407" s="99"/>
      <c r="AI1407" s="99"/>
      <c r="AJ1407" s="99"/>
      <c r="AK1407" s="99"/>
      <c r="AL1407" s="99"/>
      <c r="AM1407" s="99"/>
      <c r="AN1407" s="99"/>
      <c r="AO1407" s="99"/>
      <c r="AP1407" s="1"/>
      <c r="AQ1407" s="1"/>
    </row>
    <row r="1408" ht="15.75" customHeight="1">
      <c r="A1408" s="1"/>
      <c r="B1408" s="1"/>
      <c r="C1408" s="1"/>
      <c r="D1408" s="1"/>
      <c r="E1408" s="1"/>
      <c r="F1408" s="1"/>
      <c r="G1408" s="1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  <c r="S1408" s="103"/>
      <c r="T1408" s="99"/>
      <c r="U1408" s="103"/>
      <c r="V1408" s="99"/>
      <c r="W1408" s="99"/>
      <c r="X1408" s="99"/>
      <c r="Y1408" s="99"/>
      <c r="Z1408" s="99"/>
      <c r="AA1408" s="99"/>
      <c r="AB1408" s="99"/>
      <c r="AC1408" s="99"/>
      <c r="AD1408" s="103"/>
      <c r="AE1408" s="99"/>
      <c r="AF1408" s="99"/>
      <c r="AG1408" s="99"/>
      <c r="AH1408" s="99"/>
      <c r="AI1408" s="99"/>
      <c r="AJ1408" s="99"/>
      <c r="AK1408" s="99"/>
      <c r="AL1408" s="99"/>
      <c r="AM1408" s="99"/>
      <c r="AN1408" s="99"/>
      <c r="AO1408" s="99"/>
      <c r="AP1408" s="1"/>
      <c r="AQ1408" s="1"/>
    </row>
    <row r="1409" ht="15.75" customHeight="1">
      <c r="A1409" s="1"/>
      <c r="B1409" s="1"/>
      <c r="C1409" s="1"/>
      <c r="D1409" s="1"/>
      <c r="E1409" s="1"/>
      <c r="F1409" s="1"/>
      <c r="G1409" s="1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  <c r="S1409" s="103"/>
      <c r="T1409" s="99"/>
      <c r="U1409" s="103"/>
      <c r="V1409" s="99"/>
      <c r="W1409" s="99"/>
      <c r="X1409" s="99"/>
      <c r="Y1409" s="99"/>
      <c r="Z1409" s="99"/>
      <c r="AA1409" s="99"/>
      <c r="AB1409" s="99"/>
      <c r="AC1409" s="99"/>
      <c r="AD1409" s="103"/>
      <c r="AE1409" s="99"/>
      <c r="AF1409" s="99"/>
      <c r="AG1409" s="99"/>
      <c r="AH1409" s="99"/>
      <c r="AI1409" s="99"/>
      <c r="AJ1409" s="99"/>
      <c r="AK1409" s="99"/>
      <c r="AL1409" s="99"/>
      <c r="AM1409" s="99"/>
      <c r="AN1409" s="99"/>
      <c r="AO1409" s="99"/>
      <c r="AP1409" s="1"/>
      <c r="AQ1409" s="1"/>
    </row>
    <row r="1410" ht="15.75" customHeight="1">
      <c r="A1410" s="1"/>
      <c r="B1410" s="1"/>
      <c r="C1410" s="1"/>
      <c r="D1410" s="1"/>
      <c r="E1410" s="1"/>
      <c r="F1410" s="1"/>
      <c r="G1410" s="1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  <c r="S1410" s="103"/>
      <c r="T1410" s="99"/>
      <c r="U1410" s="103"/>
      <c r="V1410" s="99"/>
      <c r="W1410" s="99"/>
      <c r="X1410" s="99"/>
      <c r="Y1410" s="99"/>
      <c r="Z1410" s="99"/>
      <c r="AA1410" s="99"/>
      <c r="AB1410" s="99"/>
      <c r="AC1410" s="99"/>
      <c r="AD1410" s="103"/>
      <c r="AE1410" s="99"/>
      <c r="AF1410" s="99"/>
      <c r="AG1410" s="99"/>
      <c r="AH1410" s="99"/>
      <c r="AI1410" s="99"/>
      <c r="AJ1410" s="99"/>
      <c r="AK1410" s="99"/>
      <c r="AL1410" s="99"/>
      <c r="AM1410" s="99"/>
      <c r="AN1410" s="99"/>
      <c r="AO1410" s="99"/>
      <c r="AP1410" s="1"/>
      <c r="AQ1410" s="1"/>
    </row>
    <row r="1411" ht="15.75" customHeight="1">
      <c r="A1411" s="1"/>
      <c r="B1411" s="1"/>
      <c r="C1411" s="1"/>
      <c r="D1411" s="1"/>
      <c r="E1411" s="1"/>
      <c r="F1411" s="1"/>
      <c r="G1411" s="1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  <c r="S1411" s="103"/>
      <c r="T1411" s="99"/>
      <c r="U1411" s="103"/>
      <c r="V1411" s="99"/>
      <c r="W1411" s="99"/>
      <c r="X1411" s="99"/>
      <c r="Y1411" s="99"/>
      <c r="Z1411" s="99"/>
      <c r="AA1411" s="99"/>
      <c r="AB1411" s="99"/>
      <c r="AC1411" s="99"/>
      <c r="AD1411" s="103"/>
      <c r="AE1411" s="99"/>
      <c r="AF1411" s="99"/>
      <c r="AG1411" s="99"/>
      <c r="AH1411" s="99"/>
      <c r="AI1411" s="99"/>
      <c r="AJ1411" s="99"/>
      <c r="AK1411" s="99"/>
      <c r="AL1411" s="99"/>
      <c r="AM1411" s="99"/>
      <c r="AN1411" s="99"/>
      <c r="AO1411" s="99"/>
      <c r="AP1411" s="1"/>
      <c r="AQ1411" s="1"/>
    </row>
    <row r="1412" ht="15.75" customHeight="1">
      <c r="A1412" s="1"/>
      <c r="B1412" s="1"/>
      <c r="C1412" s="1"/>
      <c r="D1412" s="1"/>
      <c r="E1412" s="1"/>
      <c r="F1412" s="1"/>
      <c r="G1412" s="1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  <c r="S1412" s="103"/>
      <c r="T1412" s="99"/>
      <c r="U1412" s="103"/>
      <c r="V1412" s="99"/>
      <c r="W1412" s="99"/>
      <c r="X1412" s="99"/>
      <c r="Y1412" s="99"/>
      <c r="Z1412" s="99"/>
      <c r="AA1412" s="99"/>
      <c r="AB1412" s="99"/>
      <c r="AC1412" s="99"/>
      <c r="AD1412" s="103"/>
      <c r="AE1412" s="99"/>
      <c r="AF1412" s="99"/>
      <c r="AG1412" s="99"/>
      <c r="AH1412" s="99"/>
      <c r="AI1412" s="99"/>
      <c r="AJ1412" s="99"/>
      <c r="AK1412" s="99"/>
      <c r="AL1412" s="99"/>
      <c r="AM1412" s="99"/>
      <c r="AN1412" s="99"/>
      <c r="AO1412" s="99"/>
      <c r="AP1412" s="1"/>
      <c r="AQ1412" s="1"/>
    </row>
    <row r="1413" ht="15.75" customHeight="1">
      <c r="A1413" s="1"/>
      <c r="B1413" s="1"/>
      <c r="C1413" s="1"/>
      <c r="D1413" s="1"/>
      <c r="E1413" s="1"/>
      <c r="F1413" s="1"/>
      <c r="G1413" s="1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  <c r="S1413" s="103"/>
      <c r="T1413" s="99"/>
      <c r="U1413" s="103"/>
      <c r="V1413" s="99"/>
      <c r="W1413" s="99"/>
      <c r="X1413" s="99"/>
      <c r="Y1413" s="99"/>
      <c r="Z1413" s="99"/>
      <c r="AA1413" s="99"/>
      <c r="AB1413" s="99"/>
      <c r="AC1413" s="99"/>
      <c r="AD1413" s="103"/>
      <c r="AE1413" s="99"/>
      <c r="AF1413" s="99"/>
      <c r="AG1413" s="99"/>
      <c r="AH1413" s="99"/>
      <c r="AI1413" s="99"/>
      <c r="AJ1413" s="99"/>
      <c r="AK1413" s="99"/>
      <c r="AL1413" s="99"/>
      <c r="AM1413" s="99"/>
      <c r="AN1413" s="99"/>
      <c r="AO1413" s="99"/>
      <c r="AP1413" s="1"/>
      <c r="AQ1413" s="1"/>
    </row>
    <row r="1414" ht="15.75" customHeight="1">
      <c r="A1414" s="1"/>
      <c r="B1414" s="1"/>
      <c r="C1414" s="1"/>
      <c r="D1414" s="1"/>
      <c r="E1414" s="1"/>
      <c r="F1414" s="1"/>
      <c r="G1414" s="1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  <c r="S1414" s="103"/>
      <c r="T1414" s="99"/>
      <c r="U1414" s="103"/>
      <c r="V1414" s="99"/>
      <c r="W1414" s="99"/>
      <c r="X1414" s="99"/>
      <c r="Y1414" s="99"/>
      <c r="Z1414" s="99"/>
      <c r="AA1414" s="99"/>
      <c r="AB1414" s="99"/>
      <c r="AC1414" s="99"/>
      <c r="AD1414" s="103"/>
      <c r="AE1414" s="99"/>
      <c r="AF1414" s="99"/>
      <c r="AG1414" s="99"/>
      <c r="AH1414" s="99"/>
      <c r="AI1414" s="99"/>
      <c r="AJ1414" s="99"/>
      <c r="AK1414" s="99"/>
      <c r="AL1414" s="99"/>
      <c r="AM1414" s="99"/>
      <c r="AN1414" s="99"/>
      <c r="AO1414" s="99"/>
      <c r="AP1414" s="1"/>
      <c r="AQ1414" s="1"/>
    </row>
    <row r="1415" ht="15.75" customHeight="1">
      <c r="A1415" s="1"/>
      <c r="B1415" s="1"/>
      <c r="C1415" s="1"/>
      <c r="D1415" s="1"/>
      <c r="E1415" s="1"/>
      <c r="F1415" s="1"/>
      <c r="G1415" s="1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  <c r="S1415" s="103"/>
      <c r="T1415" s="99"/>
      <c r="U1415" s="103"/>
      <c r="V1415" s="99"/>
      <c r="W1415" s="99"/>
      <c r="X1415" s="99"/>
      <c r="Y1415" s="99"/>
      <c r="Z1415" s="99"/>
      <c r="AA1415" s="99"/>
      <c r="AB1415" s="99"/>
      <c r="AC1415" s="99"/>
      <c r="AD1415" s="103"/>
      <c r="AE1415" s="99"/>
      <c r="AF1415" s="99"/>
      <c r="AG1415" s="99"/>
      <c r="AH1415" s="99"/>
      <c r="AI1415" s="99"/>
      <c r="AJ1415" s="99"/>
      <c r="AK1415" s="99"/>
      <c r="AL1415" s="99"/>
      <c r="AM1415" s="99"/>
      <c r="AN1415" s="99"/>
      <c r="AO1415" s="99"/>
      <c r="AP1415" s="1"/>
      <c r="AQ1415" s="1"/>
    </row>
    <row r="1416" ht="15.75" customHeight="1">
      <c r="A1416" s="1"/>
      <c r="B1416" s="1"/>
      <c r="C1416" s="1"/>
      <c r="D1416" s="1"/>
      <c r="E1416" s="1"/>
      <c r="F1416" s="1"/>
      <c r="G1416" s="1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  <c r="S1416" s="103"/>
      <c r="T1416" s="99"/>
      <c r="U1416" s="103"/>
      <c r="V1416" s="99"/>
      <c r="W1416" s="99"/>
      <c r="X1416" s="99"/>
      <c r="Y1416" s="99"/>
      <c r="Z1416" s="99"/>
      <c r="AA1416" s="99"/>
      <c r="AB1416" s="99"/>
      <c r="AC1416" s="99"/>
      <c r="AD1416" s="103"/>
      <c r="AE1416" s="99"/>
      <c r="AF1416" s="99"/>
      <c r="AG1416" s="99"/>
      <c r="AH1416" s="99"/>
      <c r="AI1416" s="99"/>
      <c r="AJ1416" s="99"/>
      <c r="AK1416" s="99"/>
      <c r="AL1416" s="99"/>
      <c r="AM1416" s="99"/>
      <c r="AN1416" s="99"/>
      <c r="AO1416" s="99"/>
      <c r="AP1416" s="1"/>
      <c r="AQ1416" s="1"/>
    </row>
    <row r="1417" ht="15.75" customHeight="1">
      <c r="A1417" s="1"/>
      <c r="B1417" s="1"/>
      <c r="C1417" s="1"/>
      <c r="D1417" s="1"/>
      <c r="E1417" s="1"/>
      <c r="F1417" s="1"/>
      <c r="G1417" s="1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  <c r="S1417" s="103"/>
      <c r="T1417" s="99"/>
      <c r="U1417" s="103"/>
      <c r="V1417" s="99"/>
      <c r="W1417" s="99"/>
      <c r="X1417" s="99"/>
      <c r="Y1417" s="99"/>
      <c r="Z1417" s="99"/>
      <c r="AA1417" s="99"/>
      <c r="AB1417" s="99"/>
      <c r="AC1417" s="99"/>
      <c r="AD1417" s="103"/>
      <c r="AE1417" s="99"/>
      <c r="AF1417" s="99"/>
      <c r="AG1417" s="99"/>
      <c r="AH1417" s="99"/>
      <c r="AI1417" s="99"/>
      <c r="AJ1417" s="99"/>
      <c r="AK1417" s="99"/>
      <c r="AL1417" s="99"/>
      <c r="AM1417" s="99"/>
      <c r="AN1417" s="99"/>
      <c r="AO1417" s="99"/>
      <c r="AP1417" s="1"/>
      <c r="AQ1417" s="1"/>
    </row>
    <row r="1418" ht="15.75" customHeight="1">
      <c r="A1418" s="1"/>
      <c r="B1418" s="1"/>
      <c r="C1418" s="1"/>
      <c r="D1418" s="1"/>
      <c r="E1418" s="1"/>
      <c r="F1418" s="1"/>
      <c r="G1418" s="1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  <c r="S1418" s="103"/>
      <c r="T1418" s="99"/>
      <c r="U1418" s="103"/>
      <c r="V1418" s="99"/>
      <c r="W1418" s="99"/>
      <c r="X1418" s="99"/>
      <c r="Y1418" s="99"/>
      <c r="Z1418" s="99"/>
      <c r="AA1418" s="99"/>
      <c r="AB1418" s="99"/>
      <c r="AC1418" s="99"/>
      <c r="AD1418" s="103"/>
      <c r="AE1418" s="99"/>
      <c r="AF1418" s="99"/>
      <c r="AG1418" s="99"/>
      <c r="AH1418" s="99"/>
      <c r="AI1418" s="99"/>
      <c r="AJ1418" s="99"/>
      <c r="AK1418" s="99"/>
      <c r="AL1418" s="99"/>
      <c r="AM1418" s="99"/>
      <c r="AN1418" s="99"/>
      <c r="AO1418" s="99"/>
      <c r="AP1418" s="1"/>
      <c r="AQ1418" s="1"/>
    </row>
    <row r="1419" ht="15.75" customHeight="1">
      <c r="A1419" s="1"/>
      <c r="B1419" s="1"/>
      <c r="C1419" s="1"/>
      <c r="D1419" s="1"/>
      <c r="E1419" s="1"/>
      <c r="F1419" s="1"/>
      <c r="G1419" s="1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  <c r="S1419" s="103"/>
      <c r="T1419" s="99"/>
      <c r="U1419" s="103"/>
      <c r="V1419" s="99"/>
      <c r="W1419" s="99"/>
      <c r="X1419" s="99"/>
      <c r="Y1419" s="99"/>
      <c r="Z1419" s="99"/>
      <c r="AA1419" s="99"/>
      <c r="AB1419" s="99"/>
      <c r="AC1419" s="99"/>
      <c r="AD1419" s="103"/>
      <c r="AE1419" s="99"/>
      <c r="AF1419" s="99"/>
      <c r="AG1419" s="99"/>
      <c r="AH1419" s="99"/>
      <c r="AI1419" s="99"/>
      <c r="AJ1419" s="99"/>
      <c r="AK1419" s="99"/>
      <c r="AL1419" s="99"/>
      <c r="AM1419" s="99"/>
      <c r="AN1419" s="99"/>
      <c r="AO1419" s="99"/>
      <c r="AP1419" s="1"/>
      <c r="AQ1419" s="1"/>
    </row>
    <row r="1420" ht="15.75" customHeight="1">
      <c r="A1420" s="1"/>
      <c r="B1420" s="1"/>
      <c r="C1420" s="1"/>
      <c r="D1420" s="1"/>
      <c r="E1420" s="1"/>
      <c r="F1420" s="1"/>
      <c r="G1420" s="1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  <c r="S1420" s="103"/>
      <c r="T1420" s="99"/>
      <c r="U1420" s="103"/>
      <c r="V1420" s="99"/>
      <c r="W1420" s="99"/>
      <c r="X1420" s="99"/>
      <c r="Y1420" s="99"/>
      <c r="Z1420" s="99"/>
      <c r="AA1420" s="99"/>
      <c r="AB1420" s="99"/>
      <c r="AC1420" s="99"/>
      <c r="AD1420" s="103"/>
      <c r="AE1420" s="99"/>
      <c r="AF1420" s="99"/>
      <c r="AG1420" s="99"/>
      <c r="AH1420" s="99"/>
      <c r="AI1420" s="99"/>
      <c r="AJ1420" s="99"/>
      <c r="AK1420" s="99"/>
      <c r="AL1420" s="99"/>
      <c r="AM1420" s="99"/>
      <c r="AN1420" s="99"/>
      <c r="AO1420" s="99"/>
      <c r="AP1420" s="1"/>
      <c r="AQ1420" s="1"/>
    </row>
    <row r="1421" ht="15.75" customHeight="1">
      <c r="A1421" s="1"/>
      <c r="B1421" s="1"/>
      <c r="C1421" s="1"/>
      <c r="D1421" s="1"/>
      <c r="E1421" s="1"/>
      <c r="F1421" s="1"/>
      <c r="G1421" s="1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  <c r="S1421" s="103"/>
      <c r="T1421" s="99"/>
      <c r="U1421" s="103"/>
      <c r="V1421" s="99"/>
      <c r="W1421" s="99"/>
      <c r="X1421" s="99"/>
      <c r="Y1421" s="99"/>
      <c r="Z1421" s="99"/>
      <c r="AA1421" s="99"/>
      <c r="AB1421" s="99"/>
      <c r="AC1421" s="99"/>
      <c r="AD1421" s="103"/>
      <c r="AE1421" s="99"/>
      <c r="AF1421" s="99"/>
      <c r="AG1421" s="99"/>
      <c r="AH1421" s="99"/>
      <c r="AI1421" s="99"/>
      <c r="AJ1421" s="99"/>
      <c r="AK1421" s="99"/>
      <c r="AL1421" s="99"/>
      <c r="AM1421" s="99"/>
      <c r="AN1421" s="99"/>
      <c r="AO1421" s="99"/>
      <c r="AP1421" s="1"/>
      <c r="AQ1421" s="1"/>
    </row>
    <row r="1422" ht="15.75" customHeight="1">
      <c r="A1422" s="1"/>
      <c r="B1422" s="1"/>
      <c r="C1422" s="1"/>
      <c r="D1422" s="1"/>
      <c r="E1422" s="1"/>
      <c r="F1422" s="1"/>
      <c r="G1422" s="1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  <c r="S1422" s="103"/>
      <c r="T1422" s="99"/>
      <c r="U1422" s="103"/>
      <c r="V1422" s="99"/>
      <c r="W1422" s="99"/>
      <c r="X1422" s="99"/>
      <c r="Y1422" s="99"/>
      <c r="Z1422" s="99"/>
      <c r="AA1422" s="99"/>
      <c r="AB1422" s="99"/>
      <c r="AC1422" s="99"/>
      <c r="AD1422" s="103"/>
      <c r="AE1422" s="99"/>
      <c r="AF1422" s="99"/>
      <c r="AG1422" s="99"/>
      <c r="AH1422" s="99"/>
      <c r="AI1422" s="99"/>
      <c r="AJ1422" s="99"/>
      <c r="AK1422" s="99"/>
      <c r="AL1422" s="99"/>
      <c r="AM1422" s="99"/>
      <c r="AN1422" s="99"/>
      <c r="AO1422" s="99"/>
      <c r="AP1422" s="1"/>
      <c r="AQ1422" s="1"/>
    </row>
    <row r="1423" ht="15.75" customHeight="1">
      <c r="A1423" s="1"/>
      <c r="B1423" s="1"/>
      <c r="C1423" s="1"/>
      <c r="D1423" s="1"/>
      <c r="E1423" s="1"/>
      <c r="F1423" s="1"/>
      <c r="G1423" s="1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  <c r="S1423" s="103"/>
      <c r="T1423" s="99"/>
      <c r="U1423" s="103"/>
      <c r="V1423" s="99"/>
      <c r="W1423" s="99"/>
      <c r="X1423" s="99"/>
      <c r="Y1423" s="99"/>
      <c r="Z1423" s="99"/>
      <c r="AA1423" s="99"/>
      <c r="AB1423" s="99"/>
      <c r="AC1423" s="99"/>
      <c r="AD1423" s="103"/>
      <c r="AE1423" s="99"/>
      <c r="AF1423" s="99"/>
      <c r="AG1423" s="99"/>
      <c r="AH1423" s="99"/>
      <c r="AI1423" s="99"/>
      <c r="AJ1423" s="99"/>
      <c r="AK1423" s="99"/>
      <c r="AL1423" s="99"/>
      <c r="AM1423" s="99"/>
      <c r="AN1423" s="99"/>
      <c r="AO1423" s="99"/>
      <c r="AP1423" s="1"/>
      <c r="AQ1423" s="1"/>
    </row>
    <row r="1424" ht="15.75" customHeight="1">
      <c r="A1424" s="1"/>
      <c r="B1424" s="1"/>
      <c r="C1424" s="1"/>
      <c r="D1424" s="1"/>
      <c r="E1424" s="1"/>
      <c r="F1424" s="1"/>
      <c r="G1424" s="1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  <c r="S1424" s="103"/>
      <c r="T1424" s="99"/>
      <c r="U1424" s="103"/>
      <c r="V1424" s="99"/>
      <c r="W1424" s="99"/>
      <c r="X1424" s="99"/>
      <c r="Y1424" s="99"/>
      <c r="Z1424" s="99"/>
      <c r="AA1424" s="99"/>
      <c r="AB1424" s="99"/>
      <c r="AC1424" s="99"/>
      <c r="AD1424" s="103"/>
      <c r="AE1424" s="99"/>
      <c r="AF1424" s="99"/>
      <c r="AG1424" s="99"/>
      <c r="AH1424" s="99"/>
      <c r="AI1424" s="99"/>
      <c r="AJ1424" s="99"/>
      <c r="AK1424" s="99"/>
      <c r="AL1424" s="99"/>
      <c r="AM1424" s="99"/>
      <c r="AN1424" s="99"/>
      <c r="AO1424" s="99"/>
      <c r="AP1424" s="1"/>
      <c r="AQ1424" s="1"/>
    </row>
    <row r="1425" ht="15.75" customHeight="1">
      <c r="A1425" s="1"/>
      <c r="B1425" s="1"/>
      <c r="C1425" s="1"/>
      <c r="D1425" s="1"/>
      <c r="E1425" s="1"/>
      <c r="F1425" s="1"/>
      <c r="G1425" s="1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  <c r="S1425" s="103"/>
      <c r="T1425" s="99"/>
      <c r="U1425" s="103"/>
      <c r="V1425" s="99"/>
      <c r="W1425" s="99"/>
      <c r="X1425" s="99"/>
      <c r="Y1425" s="99"/>
      <c r="Z1425" s="99"/>
      <c r="AA1425" s="99"/>
      <c r="AB1425" s="99"/>
      <c r="AC1425" s="99"/>
      <c r="AD1425" s="103"/>
      <c r="AE1425" s="99"/>
      <c r="AF1425" s="99"/>
      <c r="AG1425" s="99"/>
      <c r="AH1425" s="99"/>
      <c r="AI1425" s="99"/>
      <c r="AJ1425" s="99"/>
      <c r="AK1425" s="99"/>
      <c r="AL1425" s="99"/>
      <c r="AM1425" s="99"/>
      <c r="AN1425" s="99"/>
      <c r="AO1425" s="99"/>
      <c r="AP1425" s="1"/>
      <c r="AQ1425" s="1"/>
    </row>
    <row r="1426" ht="15.75" customHeight="1">
      <c r="A1426" s="1"/>
      <c r="B1426" s="1"/>
      <c r="C1426" s="1"/>
      <c r="D1426" s="1"/>
      <c r="E1426" s="1"/>
      <c r="F1426" s="1"/>
      <c r="G1426" s="1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  <c r="S1426" s="103"/>
      <c r="T1426" s="99"/>
      <c r="U1426" s="103"/>
      <c r="V1426" s="99"/>
      <c r="W1426" s="99"/>
      <c r="X1426" s="99"/>
      <c r="Y1426" s="99"/>
      <c r="Z1426" s="99"/>
      <c r="AA1426" s="99"/>
      <c r="AB1426" s="99"/>
      <c r="AC1426" s="99"/>
      <c r="AD1426" s="103"/>
      <c r="AE1426" s="99"/>
      <c r="AF1426" s="99"/>
      <c r="AG1426" s="99"/>
      <c r="AH1426" s="99"/>
      <c r="AI1426" s="99"/>
      <c r="AJ1426" s="99"/>
      <c r="AK1426" s="99"/>
      <c r="AL1426" s="99"/>
      <c r="AM1426" s="99"/>
      <c r="AN1426" s="99"/>
      <c r="AO1426" s="99"/>
      <c r="AP1426" s="1"/>
      <c r="AQ1426" s="1"/>
    </row>
    <row r="1427" ht="15.75" customHeight="1">
      <c r="A1427" s="1"/>
      <c r="B1427" s="1"/>
      <c r="C1427" s="1"/>
      <c r="D1427" s="1"/>
      <c r="E1427" s="1"/>
      <c r="F1427" s="1"/>
      <c r="G1427" s="1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  <c r="S1427" s="103"/>
      <c r="T1427" s="99"/>
      <c r="U1427" s="103"/>
      <c r="V1427" s="99"/>
      <c r="W1427" s="99"/>
      <c r="X1427" s="99"/>
      <c r="Y1427" s="99"/>
      <c r="Z1427" s="99"/>
      <c r="AA1427" s="99"/>
      <c r="AB1427" s="99"/>
      <c r="AC1427" s="99"/>
      <c r="AD1427" s="103"/>
      <c r="AE1427" s="99"/>
      <c r="AF1427" s="99"/>
      <c r="AG1427" s="99"/>
      <c r="AH1427" s="99"/>
      <c r="AI1427" s="99"/>
      <c r="AJ1427" s="99"/>
      <c r="AK1427" s="99"/>
      <c r="AL1427" s="99"/>
      <c r="AM1427" s="99"/>
      <c r="AN1427" s="99"/>
      <c r="AO1427" s="99"/>
      <c r="AP1427" s="1"/>
      <c r="AQ1427" s="1"/>
    </row>
    <row r="1428" ht="15.75" customHeight="1">
      <c r="A1428" s="1"/>
      <c r="B1428" s="1"/>
      <c r="C1428" s="1"/>
      <c r="D1428" s="1"/>
      <c r="E1428" s="1"/>
      <c r="F1428" s="1"/>
      <c r="G1428" s="1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  <c r="S1428" s="103"/>
      <c r="T1428" s="99"/>
      <c r="U1428" s="103"/>
      <c r="V1428" s="99"/>
      <c r="W1428" s="99"/>
      <c r="X1428" s="99"/>
      <c r="Y1428" s="99"/>
      <c r="Z1428" s="99"/>
      <c r="AA1428" s="99"/>
      <c r="AB1428" s="99"/>
      <c r="AC1428" s="99"/>
      <c r="AD1428" s="103"/>
      <c r="AE1428" s="99"/>
      <c r="AF1428" s="99"/>
      <c r="AG1428" s="99"/>
      <c r="AH1428" s="99"/>
      <c r="AI1428" s="99"/>
      <c r="AJ1428" s="99"/>
      <c r="AK1428" s="99"/>
      <c r="AL1428" s="99"/>
      <c r="AM1428" s="99"/>
      <c r="AN1428" s="99"/>
      <c r="AO1428" s="99"/>
      <c r="AP1428" s="1"/>
      <c r="AQ1428" s="1"/>
    </row>
    <row r="1429" ht="15.75" customHeight="1">
      <c r="A1429" s="1"/>
      <c r="B1429" s="1"/>
      <c r="C1429" s="1"/>
      <c r="D1429" s="1"/>
      <c r="E1429" s="1"/>
      <c r="F1429" s="1"/>
      <c r="G1429" s="1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  <c r="S1429" s="103"/>
      <c r="T1429" s="99"/>
      <c r="U1429" s="103"/>
      <c r="V1429" s="99"/>
      <c r="W1429" s="99"/>
      <c r="X1429" s="99"/>
      <c r="Y1429" s="99"/>
      <c r="Z1429" s="99"/>
      <c r="AA1429" s="99"/>
      <c r="AB1429" s="99"/>
      <c r="AC1429" s="99"/>
      <c r="AD1429" s="103"/>
      <c r="AE1429" s="99"/>
      <c r="AF1429" s="99"/>
      <c r="AG1429" s="99"/>
      <c r="AH1429" s="99"/>
      <c r="AI1429" s="99"/>
      <c r="AJ1429" s="99"/>
      <c r="AK1429" s="99"/>
      <c r="AL1429" s="99"/>
      <c r="AM1429" s="99"/>
      <c r="AN1429" s="99"/>
      <c r="AO1429" s="99"/>
      <c r="AP1429" s="1"/>
      <c r="AQ1429" s="1"/>
    </row>
    <row r="1430" ht="15.75" customHeight="1">
      <c r="A1430" s="1"/>
      <c r="B1430" s="1"/>
      <c r="C1430" s="1"/>
      <c r="D1430" s="1"/>
      <c r="E1430" s="1"/>
      <c r="F1430" s="1"/>
      <c r="G1430" s="1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  <c r="S1430" s="103"/>
      <c r="T1430" s="99"/>
      <c r="U1430" s="103"/>
      <c r="V1430" s="99"/>
      <c r="W1430" s="99"/>
      <c r="X1430" s="99"/>
      <c r="Y1430" s="99"/>
      <c r="Z1430" s="99"/>
      <c r="AA1430" s="99"/>
      <c r="AB1430" s="99"/>
      <c r="AC1430" s="99"/>
      <c r="AD1430" s="103"/>
      <c r="AE1430" s="99"/>
      <c r="AF1430" s="99"/>
      <c r="AG1430" s="99"/>
      <c r="AH1430" s="99"/>
      <c r="AI1430" s="99"/>
      <c r="AJ1430" s="99"/>
      <c r="AK1430" s="99"/>
      <c r="AL1430" s="99"/>
      <c r="AM1430" s="99"/>
      <c r="AN1430" s="99"/>
      <c r="AO1430" s="99"/>
      <c r="AP1430" s="1"/>
      <c r="AQ1430" s="1"/>
    </row>
    <row r="1431" ht="15.75" customHeight="1">
      <c r="A1431" s="1"/>
      <c r="B1431" s="1"/>
      <c r="C1431" s="1"/>
      <c r="D1431" s="1"/>
      <c r="E1431" s="1"/>
      <c r="F1431" s="1"/>
      <c r="G1431" s="1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  <c r="S1431" s="103"/>
      <c r="T1431" s="99"/>
      <c r="U1431" s="103"/>
      <c r="V1431" s="99"/>
      <c r="W1431" s="99"/>
      <c r="X1431" s="99"/>
      <c r="Y1431" s="99"/>
      <c r="Z1431" s="99"/>
      <c r="AA1431" s="99"/>
      <c r="AB1431" s="99"/>
      <c r="AC1431" s="99"/>
      <c r="AD1431" s="103"/>
      <c r="AE1431" s="99"/>
      <c r="AF1431" s="99"/>
      <c r="AG1431" s="99"/>
      <c r="AH1431" s="99"/>
      <c r="AI1431" s="99"/>
      <c r="AJ1431" s="99"/>
      <c r="AK1431" s="99"/>
      <c r="AL1431" s="99"/>
      <c r="AM1431" s="99"/>
      <c r="AN1431" s="99"/>
      <c r="AO1431" s="99"/>
      <c r="AP1431" s="1"/>
      <c r="AQ1431" s="1"/>
    </row>
    <row r="1432" ht="15.75" customHeight="1">
      <c r="A1432" s="1"/>
      <c r="B1432" s="1"/>
      <c r="C1432" s="1"/>
      <c r="D1432" s="1"/>
      <c r="E1432" s="1"/>
      <c r="F1432" s="1"/>
      <c r="G1432" s="1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  <c r="S1432" s="103"/>
      <c r="T1432" s="99"/>
      <c r="U1432" s="103"/>
      <c r="V1432" s="99"/>
      <c r="W1432" s="99"/>
      <c r="X1432" s="99"/>
      <c r="Y1432" s="99"/>
      <c r="Z1432" s="99"/>
      <c r="AA1432" s="99"/>
      <c r="AB1432" s="99"/>
      <c r="AC1432" s="99"/>
      <c r="AD1432" s="103"/>
      <c r="AE1432" s="99"/>
      <c r="AF1432" s="99"/>
      <c r="AG1432" s="99"/>
      <c r="AH1432" s="99"/>
      <c r="AI1432" s="99"/>
      <c r="AJ1432" s="99"/>
      <c r="AK1432" s="99"/>
      <c r="AL1432" s="99"/>
      <c r="AM1432" s="99"/>
      <c r="AN1432" s="99"/>
      <c r="AO1432" s="99"/>
      <c r="AP1432" s="1"/>
      <c r="AQ1432" s="1"/>
    </row>
    <row r="1433" ht="15.75" customHeight="1">
      <c r="A1433" s="1"/>
      <c r="B1433" s="1"/>
      <c r="C1433" s="1"/>
      <c r="D1433" s="1"/>
      <c r="E1433" s="1"/>
      <c r="F1433" s="1"/>
      <c r="G1433" s="1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  <c r="S1433" s="103"/>
      <c r="T1433" s="99"/>
      <c r="U1433" s="103"/>
      <c r="V1433" s="99"/>
      <c r="W1433" s="99"/>
      <c r="X1433" s="99"/>
      <c r="Y1433" s="99"/>
      <c r="Z1433" s="99"/>
      <c r="AA1433" s="99"/>
      <c r="AB1433" s="99"/>
      <c r="AC1433" s="99"/>
      <c r="AD1433" s="103"/>
      <c r="AE1433" s="99"/>
      <c r="AF1433" s="99"/>
      <c r="AG1433" s="99"/>
      <c r="AH1433" s="99"/>
      <c r="AI1433" s="99"/>
      <c r="AJ1433" s="99"/>
      <c r="AK1433" s="99"/>
      <c r="AL1433" s="99"/>
      <c r="AM1433" s="99"/>
      <c r="AN1433" s="99"/>
      <c r="AO1433" s="99"/>
      <c r="AP1433" s="1"/>
      <c r="AQ1433" s="1"/>
    </row>
    <row r="1434" ht="15.75" customHeight="1">
      <c r="A1434" s="1"/>
      <c r="B1434" s="1"/>
      <c r="C1434" s="1"/>
      <c r="D1434" s="1"/>
      <c r="E1434" s="1"/>
      <c r="F1434" s="1"/>
      <c r="G1434" s="1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  <c r="S1434" s="103"/>
      <c r="T1434" s="99"/>
      <c r="U1434" s="103"/>
      <c r="V1434" s="99"/>
      <c r="W1434" s="99"/>
      <c r="X1434" s="99"/>
      <c r="Y1434" s="99"/>
      <c r="Z1434" s="99"/>
      <c r="AA1434" s="99"/>
      <c r="AB1434" s="99"/>
      <c r="AC1434" s="99"/>
      <c r="AD1434" s="103"/>
      <c r="AE1434" s="99"/>
      <c r="AF1434" s="99"/>
      <c r="AG1434" s="99"/>
      <c r="AH1434" s="99"/>
      <c r="AI1434" s="99"/>
      <c r="AJ1434" s="99"/>
      <c r="AK1434" s="99"/>
      <c r="AL1434" s="99"/>
      <c r="AM1434" s="99"/>
      <c r="AN1434" s="99"/>
      <c r="AO1434" s="99"/>
      <c r="AP1434" s="1"/>
      <c r="AQ1434" s="1"/>
    </row>
    <row r="1435" ht="15.75" customHeight="1">
      <c r="A1435" s="1"/>
      <c r="B1435" s="1"/>
      <c r="C1435" s="1"/>
      <c r="D1435" s="1"/>
      <c r="E1435" s="1"/>
      <c r="F1435" s="1"/>
      <c r="G1435" s="1"/>
      <c r="H1435" s="99"/>
      <c r="I1435" s="99"/>
      <c r="J1435" s="99"/>
      <c r="K1435" s="99"/>
      <c r="L1435" s="99"/>
      <c r="M1435" s="99"/>
      <c r="N1435" s="99"/>
      <c r="O1435" s="99"/>
      <c r="P1435" s="99"/>
      <c r="Q1435" s="99"/>
      <c r="R1435" s="99"/>
      <c r="S1435" s="103"/>
      <c r="T1435" s="99"/>
      <c r="U1435" s="103"/>
      <c r="V1435" s="99"/>
      <c r="W1435" s="99"/>
      <c r="X1435" s="99"/>
      <c r="Y1435" s="99"/>
      <c r="Z1435" s="99"/>
      <c r="AA1435" s="99"/>
      <c r="AB1435" s="99"/>
      <c r="AC1435" s="99"/>
      <c r="AD1435" s="103"/>
      <c r="AE1435" s="99"/>
      <c r="AF1435" s="99"/>
      <c r="AG1435" s="99"/>
      <c r="AH1435" s="99"/>
      <c r="AI1435" s="99"/>
      <c r="AJ1435" s="99"/>
      <c r="AK1435" s="99"/>
      <c r="AL1435" s="99"/>
      <c r="AM1435" s="99"/>
      <c r="AN1435" s="99"/>
      <c r="AO1435" s="99"/>
      <c r="AP1435" s="1"/>
      <c r="AQ1435" s="1"/>
    </row>
    <row r="1436" ht="15.75" customHeight="1">
      <c r="A1436" s="1"/>
      <c r="B1436" s="1"/>
      <c r="C1436" s="1"/>
      <c r="D1436" s="1"/>
      <c r="E1436" s="1"/>
      <c r="F1436" s="1"/>
      <c r="G1436" s="1"/>
      <c r="H1436" s="99"/>
      <c r="I1436" s="99"/>
      <c r="J1436" s="99"/>
      <c r="K1436" s="99"/>
      <c r="L1436" s="99"/>
      <c r="M1436" s="99"/>
      <c r="N1436" s="99"/>
      <c r="O1436" s="99"/>
      <c r="P1436" s="99"/>
      <c r="Q1436" s="99"/>
      <c r="R1436" s="99"/>
      <c r="S1436" s="103"/>
      <c r="T1436" s="99"/>
      <c r="U1436" s="103"/>
      <c r="V1436" s="99"/>
      <c r="W1436" s="99"/>
      <c r="X1436" s="99"/>
      <c r="Y1436" s="99"/>
      <c r="Z1436" s="99"/>
      <c r="AA1436" s="99"/>
      <c r="AB1436" s="99"/>
      <c r="AC1436" s="99"/>
      <c r="AD1436" s="103"/>
      <c r="AE1436" s="99"/>
      <c r="AF1436" s="99"/>
      <c r="AG1436" s="99"/>
      <c r="AH1436" s="99"/>
      <c r="AI1436" s="99"/>
      <c r="AJ1436" s="99"/>
      <c r="AK1436" s="99"/>
      <c r="AL1436" s="99"/>
      <c r="AM1436" s="99"/>
      <c r="AN1436" s="99"/>
      <c r="AO1436" s="99"/>
      <c r="AP1436" s="1"/>
      <c r="AQ1436" s="1"/>
    </row>
    <row r="1437" ht="15.75" customHeight="1">
      <c r="A1437" s="1"/>
      <c r="B1437" s="1"/>
      <c r="C1437" s="1"/>
      <c r="D1437" s="1"/>
      <c r="E1437" s="1"/>
      <c r="F1437" s="1"/>
      <c r="G1437" s="1"/>
      <c r="H1437" s="99"/>
      <c r="I1437" s="99"/>
      <c r="J1437" s="99"/>
      <c r="K1437" s="99"/>
      <c r="L1437" s="99"/>
      <c r="M1437" s="99"/>
      <c r="N1437" s="99"/>
      <c r="O1437" s="99"/>
      <c r="P1437" s="99"/>
      <c r="Q1437" s="99"/>
      <c r="R1437" s="99"/>
      <c r="S1437" s="103"/>
      <c r="T1437" s="99"/>
      <c r="U1437" s="103"/>
      <c r="V1437" s="99"/>
      <c r="W1437" s="99"/>
      <c r="X1437" s="99"/>
      <c r="Y1437" s="99"/>
      <c r="Z1437" s="99"/>
      <c r="AA1437" s="99"/>
      <c r="AB1437" s="99"/>
      <c r="AC1437" s="99"/>
      <c r="AD1437" s="103"/>
      <c r="AE1437" s="99"/>
      <c r="AF1437" s="99"/>
      <c r="AG1437" s="99"/>
      <c r="AH1437" s="99"/>
      <c r="AI1437" s="99"/>
      <c r="AJ1437" s="99"/>
      <c r="AK1437" s="99"/>
      <c r="AL1437" s="99"/>
      <c r="AM1437" s="99"/>
      <c r="AN1437" s="99"/>
      <c r="AO1437" s="99"/>
      <c r="AP1437" s="1"/>
      <c r="AQ1437" s="1"/>
    </row>
    <row r="1438" ht="15.75" customHeight="1">
      <c r="A1438" s="1"/>
      <c r="B1438" s="1"/>
      <c r="C1438" s="1"/>
      <c r="D1438" s="1"/>
      <c r="E1438" s="1"/>
      <c r="F1438" s="1"/>
      <c r="G1438" s="1"/>
      <c r="H1438" s="99"/>
      <c r="I1438" s="99"/>
      <c r="J1438" s="99"/>
      <c r="K1438" s="99"/>
      <c r="L1438" s="99"/>
      <c r="M1438" s="99"/>
      <c r="N1438" s="99"/>
      <c r="O1438" s="99"/>
      <c r="P1438" s="99"/>
      <c r="Q1438" s="99"/>
      <c r="R1438" s="99"/>
      <c r="S1438" s="103"/>
      <c r="T1438" s="99"/>
      <c r="U1438" s="103"/>
      <c r="V1438" s="99"/>
      <c r="W1438" s="99"/>
      <c r="X1438" s="99"/>
      <c r="Y1438" s="99"/>
      <c r="Z1438" s="99"/>
      <c r="AA1438" s="99"/>
      <c r="AB1438" s="99"/>
      <c r="AC1438" s="99"/>
      <c r="AD1438" s="103"/>
      <c r="AE1438" s="99"/>
      <c r="AF1438" s="99"/>
      <c r="AG1438" s="99"/>
      <c r="AH1438" s="99"/>
      <c r="AI1438" s="99"/>
      <c r="AJ1438" s="99"/>
      <c r="AK1438" s="99"/>
      <c r="AL1438" s="99"/>
      <c r="AM1438" s="99"/>
      <c r="AN1438" s="99"/>
      <c r="AO1438" s="99"/>
      <c r="AP1438" s="1"/>
      <c r="AQ1438" s="1"/>
    </row>
    <row r="1439" ht="15.75" customHeight="1">
      <c r="A1439" s="1"/>
      <c r="B1439" s="1"/>
      <c r="C1439" s="1"/>
      <c r="D1439" s="1"/>
      <c r="E1439" s="1"/>
      <c r="F1439" s="1"/>
      <c r="G1439" s="1"/>
      <c r="H1439" s="99"/>
      <c r="I1439" s="99"/>
      <c r="J1439" s="99"/>
      <c r="K1439" s="99"/>
      <c r="L1439" s="99"/>
      <c r="M1439" s="99"/>
      <c r="N1439" s="99"/>
      <c r="O1439" s="99"/>
      <c r="P1439" s="99"/>
      <c r="Q1439" s="99"/>
      <c r="R1439" s="99"/>
      <c r="S1439" s="103"/>
      <c r="T1439" s="99"/>
      <c r="U1439" s="103"/>
      <c r="V1439" s="99"/>
      <c r="W1439" s="99"/>
      <c r="X1439" s="99"/>
      <c r="Y1439" s="99"/>
      <c r="Z1439" s="99"/>
      <c r="AA1439" s="99"/>
      <c r="AB1439" s="99"/>
      <c r="AC1439" s="99"/>
      <c r="AD1439" s="103"/>
      <c r="AE1439" s="99"/>
      <c r="AF1439" s="99"/>
      <c r="AG1439" s="99"/>
      <c r="AH1439" s="99"/>
      <c r="AI1439" s="99"/>
      <c r="AJ1439" s="99"/>
      <c r="AK1439" s="99"/>
      <c r="AL1439" s="99"/>
      <c r="AM1439" s="99"/>
      <c r="AN1439" s="99"/>
      <c r="AO1439" s="99"/>
      <c r="AP1439" s="1"/>
      <c r="AQ1439" s="1"/>
    </row>
    <row r="1440" ht="15.75" customHeight="1">
      <c r="A1440" s="1"/>
      <c r="B1440" s="1"/>
      <c r="C1440" s="1"/>
      <c r="D1440" s="1"/>
      <c r="E1440" s="1"/>
      <c r="F1440" s="1"/>
      <c r="G1440" s="1"/>
      <c r="H1440" s="99"/>
      <c r="I1440" s="99"/>
      <c r="J1440" s="99"/>
      <c r="K1440" s="99"/>
      <c r="L1440" s="99"/>
      <c r="M1440" s="99"/>
      <c r="N1440" s="99"/>
      <c r="O1440" s="99"/>
      <c r="P1440" s="99"/>
      <c r="Q1440" s="99"/>
      <c r="R1440" s="99"/>
      <c r="S1440" s="103"/>
      <c r="T1440" s="99"/>
      <c r="U1440" s="103"/>
      <c r="V1440" s="99"/>
      <c r="W1440" s="99"/>
      <c r="X1440" s="99"/>
      <c r="Y1440" s="99"/>
      <c r="Z1440" s="99"/>
      <c r="AA1440" s="99"/>
      <c r="AB1440" s="99"/>
      <c r="AC1440" s="99"/>
      <c r="AD1440" s="103"/>
      <c r="AE1440" s="99"/>
      <c r="AF1440" s="99"/>
      <c r="AG1440" s="99"/>
      <c r="AH1440" s="99"/>
      <c r="AI1440" s="99"/>
      <c r="AJ1440" s="99"/>
      <c r="AK1440" s="99"/>
      <c r="AL1440" s="99"/>
      <c r="AM1440" s="99"/>
      <c r="AN1440" s="99"/>
      <c r="AO1440" s="99"/>
      <c r="AP1440" s="1"/>
      <c r="AQ1440" s="1"/>
    </row>
    <row r="1441" ht="15.75" customHeight="1">
      <c r="A1441" s="1"/>
      <c r="B1441" s="1"/>
      <c r="C1441" s="1"/>
      <c r="D1441" s="1"/>
      <c r="E1441" s="1"/>
      <c r="F1441" s="1"/>
      <c r="G1441" s="1"/>
      <c r="H1441" s="99"/>
      <c r="I1441" s="99"/>
      <c r="J1441" s="99"/>
      <c r="K1441" s="99"/>
      <c r="L1441" s="99"/>
      <c r="M1441" s="99"/>
      <c r="N1441" s="99"/>
      <c r="O1441" s="99"/>
      <c r="P1441" s="99"/>
      <c r="Q1441" s="99"/>
      <c r="R1441" s="99"/>
      <c r="S1441" s="103"/>
      <c r="T1441" s="99"/>
      <c r="U1441" s="103"/>
      <c r="V1441" s="99"/>
      <c r="W1441" s="99"/>
      <c r="X1441" s="99"/>
      <c r="Y1441" s="99"/>
      <c r="Z1441" s="99"/>
      <c r="AA1441" s="99"/>
      <c r="AB1441" s="99"/>
      <c r="AC1441" s="99"/>
      <c r="AD1441" s="103"/>
      <c r="AE1441" s="99"/>
      <c r="AF1441" s="99"/>
      <c r="AG1441" s="99"/>
      <c r="AH1441" s="99"/>
      <c r="AI1441" s="99"/>
      <c r="AJ1441" s="99"/>
      <c r="AK1441" s="99"/>
      <c r="AL1441" s="99"/>
      <c r="AM1441" s="99"/>
      <c r="AN1441" s="99"/>
      <c r="AO1441" s="99"/>
      <c r="AP1441" s="1"/>
      <c r="AQ1441" s="1"/>
    </row>
    <row r="1442" ht="15.75" customHeight="1">
      <c r="A1442" s="1"/>
      <c r="B1442" s="1"/>
      <c r="C1442" s="1"/>
      <c r="D1442" s="1"/>
      <c r="E1442" s="1"/>
      <c r="F1442" s="1"/>
      <c r="G1442" s="1"/>
      <c r="H1442" s="99"/>
      <c r="I1442" s="99"/>
      <c r="J1442" s="99"/>
      <c r="K1442" s="99"/>
      <c r="L1442" s="99"/>
      <c r="M1442" s="99"/>
      <c r="N1442" s="99"/>
      <c r="O1442" s="99"/>
      <c r="P1442" s="99"/>
      <c r="Q1442" s="99"/>
      <c r="R1442" s="99"/>
      <c r="S1442" s="103"/>
      <c r="T1442" s="99"/>
      <c r="U1442" s="103"/>
      <c r="V1442" s="99"/>
      <c r="W1442" s="99"/>
      <c r="X1442" s="99"/>
      <c r="Y1442" s="99"/>
      <c r="Z1442" s="99"/>
      <c r="AA1442" s="99"/>
      <c r="AB1442" s="99"/>
      <c r="AC1442" s="99"/>
      <c r="AD1442" s="103"/>
      <c r="AE1442" s="99"/>
      <c r="AF1442" s="99"/>
      <c r="AG1442" s="99"/>
      <c r="AH1442" s="99"/>
      <c r="AI1442" s="99"/>
      <c r="AJ1442" s="99"/>
      <c r="AK1442" s="99"/>
      <c r="AL1442" s="99"/>
      <c r="AM1442" s="99"/>
      <c r="AN1442" s="99"/>
      <c r="AO1442" s="99"/>
      <c r="AP1442" s="1"/>
      <c r="AQ1442" s="1"/>
    </row>
    <row r="1443" ht="15.75" customHeight="1">
      <c r="A1443" s="1"/>
      <c r="B1443" s="1"/>
      <c r="C1443" s="1"/>
      <c r="D1443" s="1"/>
      <c r="E1443" s="1"/>
      <c r="F1443" s="1"/>
      <c r="G1443" s="1"/>
      <c r="H1443" s="99"/>
      <c r="I1443" s="99"/>
      <c r="J1443" s="99"/>
      <c r="K1443" s="99"/>
      <c r="L1443" s="99"/>
      <c r="M1443" s="99"/>
      <c r="N1443" s="99"/>
      <c r="O1443" s="99"/>
      <c r="P1443" s="99"/>
      <c r="Q1443" s="99"/>
      <c r="R1443" s="99"/>
      <c r="S1443" s="103"/>
      <c r="T1443" s="99"/>
      <c r="U1443" s="103"/>
      <c r="V1443" s="99"/>
      <c r="W1443" s="99"/>
      <c r="X1443" s="99"/>
      <c r="Y1443" s="99"/>
      <c r="Z1443" s="99"/>
      <c r="AA1443" s="99"/>
      <c r="AB1443" s="99"/>
      <c r="AC1443" s="99"/>
      <c r="AD1443" s="103"/>
      <c r="AE1443" s="99"/>
      <c r="AF1443" s="99"/>
      <c r="AG1443" s="99"/>
      <c r="AH1443" s="99"/>
      <c r="AI1443" s="99"/>
      <c r="AJ1443" s="99"/>
      <c r="AK1443" s="99"/>
      <c r="AL1443" s="99"/>
      <c r="AM1443" s="99"/>
      <c r="AN1443" s="99"/>
      <c r="AO1443" s="99"/>
      <c r="AP1443" s="1"/>
      <c r="AQ1443" s="1"/>
    </row>
    <row r="1444" ht="15.75" customHeight="1">
      <c r="A1444" s="1"/>
      <c r="B1444" s="1"/>
      <c r="C1444" s="1"/>
      <c r="D1444" s="1"/>
      <c r="E1444" s="1"/>
      <c r="F1444" s="1"/>
      <c r="G1444" s="1"/>
      <c r="H1444" s="99"/>
      <c r="I1444" s="99"/>
      <c r="J1444" s="99"/>
      <c r="K1444" s="99"/>
      <c r="L1444" s="99"/>
      <c r="M1444" s="99"/>
      <c r="N1444" s="99"/>
      <c r="O1444" s="99"/>
      <c r="P1444" s="99"/>
      <c r="Q1444" s="99"/>
      <c r="R1444" s="99"/>
      <c r="S1444" s="103"/>
      <c r="T1444" s="99"/>
      <c r="U1444" s="103"/>
      <c r="V1444" s="99"/>
      <c r="W1444" s="99"/>
      <c r="X1444" s="99"/>
      <c r="Y1444" s="99"/>
      <c r="Z1444" s="99"/>
      <c r="AA1444" s="99"/>
      <c r="AB1444" s="99"/>
      <c r="AC1444" s="99"/>
      <c r="AD1444" s="103"/>
      <c r="AE1444" s="99"/>
      <c r="AF1444" s="99"/>
      <c r="AG1444" s="99"/>
      <c r="AH1444" s="99"/>
      <c r="AI1444" s="99"/>
      <c r="AJ1444" s="99"/>
      <c r="AK1444" s="99"/>
      <c r="AL1444" s="99"/>
      <c r="AM1444" s="99"/>
      <c r="AN1444" s="99"/>
      <c r="AO1444" s="99"/>
      <c r="AP1444" s="1"/>
      <c r="AQ1444" s="1"/>
    </row>
    <row r="1445" ht="15.75" customHeight="1">
      <c r="A1445" s="1"/>
      <c r="B1445" s="1"/>
      <c r="C1445" s="1"/>
      <c r="D1445" s="1"/>
      <c r="E1445" s="1"/>
      <c r="F1445" s="1"/>
      <c r="G1445" s="1"/>
      <c r="H1445" s="99"/>
      <c r="I1445" s="99"/>
      <c r="J1445" s="99"/>
      <c r="K1445" s="99"/>
      <c r="L1445" s="99"/>
      <c r="M1445" s="99"/>
      <c r="N1445" s="99"/>
      <c r="O1445" s="99"/>
      <c r="P1445" s="99"/>
      <c r="Q1445" s="99"/>
      <c r="R1445" s="99"/>
      <c r="S1445" s="103"/>
      <c r="T1445" s="99"/>
      <c r="U1445" s="103"/>
      <c r="V1445" s="99"/>
      <c r="W1445" s="99"/>
      <c r="X1445" s="99"/>
      <c r="Y1445" s="99"/>
      <c r="Z1445" s="99"/>
      <c r="AA1445" s="99"/>
      <c r="AB1445" s="99"/>
      <c r="AC1445" s="99"/>
      <c r="AD1445" s="103"/>
      <c r="AE1445" s="99"/>
      <c r="AF1445" s="99"/>
      <c r="AG1445" s="99"/>
      <c r="AH1445" s="99"/>
      <c r="AI1445" s="99"/>
      <c r="AJ1445" s="99"/>
      <c r="AK1445" s="99"/>
      <c r="AL1445" s="99"/>
      <c r="AM1445" s="99"/>
      <c r="AN1445" s="99"/>
      <c r="AO1445" s="99"/>
      <c r="AP1445" s="1"/>
      <c r="AQ1445" s="1"/>
    </row>
    <row r="1446" ht="15.75" customHeight="1">
      <c r="A1446" s="1"/>
      <c r="B1446" s="1"/>
      <c r="C1446" s="1"/>
      <c r="D1446" s="1"/>
      <c r="E1446" s="1"/>
      <c r="F1446" s="1"/>
      <c r="G1446" s="1"/>
      <c r="H1446" s="99"/>
      <c r="I1446" s="99"/>
      <c r="J1446" s="99"/>
      <c r="K1446" s="99"/>
      <c r="L1446" s="99"/>
      <c r="M1446" s="99"/>
      <c r="N1446" s="99"/>
      <c r="O1446" s="99"/>
      <c r="P1446" s="99"/>
      <c r="Q1446" s="99"/>
      <c r="R1446" s="99"/>
      <c r="S1446" s="103"/>
      <c r="T1446" s="99"/>
      <c r="U1446" s="103"/>
      <c r="V1446" s="99"/>
      <c r="W1446" s="99"/>
      <c r="X1446" s="99"/>
      <c r="Y1446" s="99"/>
      <c r="Z1446" s="99"/>
      <c r="AA1446" s="99"/>
      <c r="AB1446" s="99"/>
      <c r="AC1446" s="99"/>
      <c r="AD1446" s="103"/>
      <c r="AE1446" s="99"/>
      <c r="AF1446" s="99"/>
      <c r="AG1446" s="99"/>
      <c r="AH1446" s="99"/>
      <c r="AI1446" s="99"/>
      <c r="AJ1446" s="99"/>
      <c r="AK1446" s="99"/>
      <c r="AL1446" s="99"/>
      <c r="AM1446" s="99"/>
      <c r="AN1446" s="99"/>
      <c r="AO1446" s="99"/>
      <c r="AP1446" s="1"/>
      <c r="AQ1446" s="1"/>
    </row>
    <row r="1447" ht="15.75" customHeight="1">
      <c r="A1447" s="1"/>
      <c r="B1447" s="1"/>
      <c r="C1447" s="1"/>
      <c r="D1447" s="1"/>
      <c r="E1447" s="1"/>
      <c r="F1447" s="1"/>
      <c r="G1447" s="1"/>
      <c r="H1447" s="99"/>
      <c r="I1447" s="99"/>
      <c r="J1447" s="99"/>
      <c r="K1447" s="99"/>
      <c r="L1447" s="99"/>
      <c r="M1447" s="99"/>
      <c r="N1447" s="99"/>
      <c r="O1447" s="99"/>
      <c r="P1447" s="99"/>
      <c r="Q1447" s="99"/>
      <c r="R1447" s="99"/>
      <c r="S1447" s="103"/>
      <c r="T1447" s="99"/>
      <c r="U1447" s="103"/>
      <c r="V1447" s="99"/>
      <c r="W1447" s="99"/>
      <c r="X1447" s="99"/>
      <c r="Y1447" s="99"/>
      <c r="Z1447" s="99"/>
      <c r="AA1447" s="99"/>
      <c r="AB1447" s="99"/>
      <c r="AC1447" s="99"/>
      <c r="AD1447" s="103"/>
      <c r="AE1447" s="99"/>
      <c r="AF1447" s="99"/>
      <c r="AG1447" s="99"/>
      <c r="AH1447" s="99"/>
      <c r="AI1447" s="99"/>
      <c r="AJ1447" s="99"/>
      <c r="AK1447" s="99"/>
      <c r="AL1447" s="99"/>
      <c r="AM1447" s="99"/>
      <c r="AN1447" s="99"/>
      <c r="AO1447" s="99"/>
      <c r="AP1447" s="1"/>
      <c r="AQ1447" s="1"/>
    </row>
    <row r="1448" ht="15.75" customHeight="1">
      <c r="A1448" s="1"/>
      <c r="B1448" s="1"/>
      <c r="C1448" s="1"/>
      <c r="D1448" s="1"/>
      <c r="E1448" s="1"/>
      <c r="F1448" s="1"/>
      <c r="G1448" s="1"/>
      <c r="H1448" s="99"/>
      <c r="I1448" s="99"/>
      <c r="J1448" s="99"/>
      <c r="K1448" s="99"/>
      <c r="L1448" s="99"/>
      <c r="M1448" s="99"/>
      <c r="N1448" s="99"/>
      <c r="O1448" s="99"/>
      <c r="P1448" s="99"/>
      <c r="Q1448" s="99"/>
      <c r="R1448" s="99"/>
      <c r="S1448" s="103"/>
      <c r="T1448" s="99"/>
      <c r="U1448" s="103"/>
      <c r="V1448" s="99"/>
      <c r="W1448" s="99"/>
      <c r="X1448" s="99"/>
      <c r="Y1448" s="99"/>
      <c r="Z1448" s="99"/>
      <c r="AA1448" s="99"/>
      <c r="AB1448" s="99"/>
      <c r="AC1448" s="99"/>
      <c r="AD1448" s="103"/>
      <c r="AE1448" s="99"/>
      <c r="AF1448" s="99"/>
      <c r="AG1448" s="99"/>
      <c r="AH1448" s="99"/>
      <c r="AI1448" s="99"/>
      <c r="AJ1448" s="99"/>
      <c r="AK1448" s="99"/>
      <c r="AL1448" s="99"/>
      <c r="AM1448" s="99"/>
      <c r="AN1448" s="99"/>
      <c r="AO1448" s="99"/>
      <c r="AP1448" s="1"/>
      <c r="AQ1448" s="1"/>
    </row>
    <row r="1449" ht="15.75" customHeight="1">
      <c r="A1449" s="1"/>
      <c r="B1449" s="1"/>
      <c r="C1449" s="1"/>
      <c r="D1449" s="1"/>
      <c r="E1449" s="1"/>
      <c r="F1449" s="1"/>
      <c r="G1449" s="1"/>
      <c r="H1449" s="99"/>
      <c r="I1449" s="99"/>
      <c r="J1449" s="99"/>
      <c r="K1449" s="99"/>
      <c r="L1449" s="99"/>
      <c r="M1449" s="99"/>
      <c r="N1449" s="99"/>
      <c r="O1449" s="99"/>
      <c r="P1449" s="99"/>
      <c r="Q1449" s="99"/>
      <c r="R1449" s="99"/>
      <c r="S1449" s="103"/>
      <c r="T1449" s="99"/>
      <c r="U1449" s="103"/>
      <c r="V1449" s="99"/>
      <c r="W1449" s="99"/>
      <c r="X1449" s="99"/>
      <c r="Y1449" s="99"/>
      <c r="Z1449" s="99"/>
      <c r="AA1449" s="99"/>
      <c r="AB1449" s="99"/>
      <c r="AC1449" s="99"/>
      <c r="AD1449" s="103"/>
      <c r="AE1449" s="99"/>
      <c r="AF1449" s="99"/>
      <c r="AG1449" s="99"/>
      <c r="AH1449" s="99"/>
      <c r="AI1449" s="99"/>
      <c r="AJ1449" s="99"/>
      <c r="AK1449" s="99"/>
      <c r="AL1449" s="99"/>
      <c r="AM1449" s="99"/>
      <c r="AN1449" s="99"/>
      <c r="AO1449" s="99"/>
      <c r="AP1449" s="1"/>
      <c r="AQ1449" s="1"/>
    </row>
    <row r="1450" ht="15.75" customHeight="1">
      <c r="A1450" s="1"/>
      <c r="B1450" s="1"/>
      <c r="C1450" s="1"/>
      <c r="D1450" s="1"/>
      <c r="E1450" s="1"/>
      <c r="F1450" s="1"/>
      <c r="G1450" s="1"/>
      <c r="H1450" s="99"/>
      <c r="I1450" s="99"/>
      <c r="J1450" s="99"/>
      <c r="K1450" s="99"/>
      <c r="L1450" s="99"/>
      <c r="M1450" s="99"/>
      <c r="N1450" s="99"/>
      <c r="O1450" s="99"/>
      <c r="P1450" s="99"/>
      <c r="Q1450" s="99"/>
      <c r="R1450" s="99"/>
      <c r="S1450" s="103"/>
      <c r="T1450" s="99"/>
      <c r="U1450" s="103"/>
      <c r="V1450" s="99"/>
      <c r="W1450" s="99"/>
      <c r="X1450" s="99"/>
      <c r="Y1450" s="99"/>
      <c r="Z1450" s="99"/>
      <c r="AA1450" s="99"/>
      <c r="AB1450" s="99"/>
      <c r="AC1450" s="99"/>
      <c r="AD1450" s="103"/>
      <c r="AE1450" s="99"/>
      <c r="AF1450" s="99"/>
      <c r="AG1450" s="99"/>
      <c r="AH1450" s="99"/>
      <c r="AI1450" s="99"/>
      <c r="AJ1450" s="99"/>
      <c r="AK1450" s="99"/>
      <c r="AL1450" s="99"/>
      <c r="AM1450" s="99"/>
      <c r="AN1450" s="99"/>
      <c r="AO1450" s="99"/>
      <c r="AP1450" s="1"/>
      <c r="AQ1450" s="1"/>
    </row>
    <row r="1451" ht="15.75" customHeight="1">
      <c r="A1451" s="1"/>
      <c r="B1451" s="1"/>
      <c r="C1451" s="1"/>
      <c r="D1451" s="1"/>
      <c r="E1451" s="1"/>
      <c r="F1451" s="1"/>
      <c r="G1451" s="1"/>
      <c r="H1451" s="99"/>
      <c r="I1451" s="99"/>
      <c r="J1451" s="99"/>
      <c r="K1451" s="99"/>
      <c r="L1451" s="99"/>
      <c r="M1451" s="99"/>
      <c r="N1451" s="99"/>
      <c r="O1451" s="99"/>
      <c r="P1451" s="99"/>
      <c r="Q1451" s="99"/>
      <c r="R1451" s="99"/>
      <c r="S1451" s="103"/>
      <c r="T1451" s="99"/>
      <c r="U1451" s="103"/>
      <c r="V1451" s="99"/>
      <c r="W1451" s="99"/>
      <c r="X1451" s="99"/>
      <c r="Y1451" s="99"/>
      <c r="Z1451" s="99"/>
      <c r="AA1451" s="99"/>
      <c r="AB1451" s="99"/>
      <c r="AC1451" s="99"/>
      <c r="AD1451" s="103"/>
      <c r="AE1451" s="99"/>
      <c r="AF1451" s="99"/>
      <c r="AG1451" s="99"/>
      <c r="AH1451" s="99"/>
      <c r="AI1451" s="99"/>
      <c r="AJ1451" s="99"/>
      <c r="AK1451" s="99"/>
      <c r="AL1451" s="99"/>
      <c r="AM1451" s="99"/>
      <c r="AN1451" s="99"/>
      <c r="AO1451" s="99"/>
      <c r="AP1451" s="1"/>
      <c r="AQ1451" s="1"/>
    </row>
    <row r="1452" ht="15.75" customHeight="1">
      <c r="A1452" s="1"/>
      <c r="B1452" s="1"/>
      <c r="C1452" s="1"/>
      <c r="D1452" s="1"/>
      <c r="E1452" s="1"/>
      <c r="F1452" s="1"/>
      <c r="G1452" s="1"/>
      <c r="H1452" s="99"/>
      <c r="I1452" s="99"/>
      <c r="J1452" s="99"/>
      <c r="K1452" s="99"/>
      <c r="L1452" s="99"/>
      <c r="M1452" s="99"/>
      <c r="N1452" s="99"/>
      <c r="O1452" s="99"/>
      <c r="P1452" s="99"/>
      <c r="Q1452" s="99"/>
      <c r="R1452" s="99"/>
      <c r="S1452" s="103"/>
      <c r="T1452" s="99"/>
      <c r="U1452" s="103"/>
      <c r="V1452" s="99"/>
      <c r="W1452" s="99"/>
      <c r="X1452" s="99"/>
      <c r="Y1452" s="99"/>
      <c r="Z1452" s="99"/>
      <c r="AA1452" s="99"/>
      <c r="AB1452" s="99"/>
      <c r="AC1452" s="99"/>
      <c r="AD1452" s="103"/>
      <c r="AE1452" s="99"/>
      <c r="AF1452" s="99"/>
      <c r="AG1452" s="99"/>
      <c r="AH1452" s="99"/>
      <c r="AI1452" s="99"/>
      <c r="AJ1452" s="99"/>
      <c r="AK1452" s="99"/>
      <c r="AL1452" s="99"/>
      <c r="AM1452" s="99"/>
      <c r="AN1452" s="99"/>
      <c r="AO1452" s="99"/>
      <c r="AP1452" s="1"/>
      <c r="AQ1452" s="1"/>
    </row>
    <row r="1453" ht="15.75" customHeight="1">
      <c r="A1453" s="1"/>
      <c r="B1453" s="1"/>
      <c r="C1453" s="1"/>
      <c r="D1453" s="1"/>
      <c r="E1453" s="1"/>
      <c r="F1453" s="1"/>
      <c r="G1453" s="1"/>
      <c r="H1453" s="99"/>
      <c r="I1453" s="99"/>
      <c r="J1453" s="99"/>
      <c r="K1453" s="99"/>
      <c r="L1453" s="99"/>
      <c r="M1453" s="99"/>
      <c r="N1453" s="99"/>
      <c r="O1453" s="99"/>
      <c r="P1453" s="99"/>
      <c r="Q1453" s="99"/>
      <c r="R1453" s="99"/>
      <c r="S1453" s="103"/>
      <c r="T1453" s="99"/>
      <c r="U1453" s="103"/>
      <c r="V1453" s="99"/>
      <c r="W1453" s="99"/>
      <c r="X1453" s="99"/>
      <c r="Y1453" s="99"/>
      <c r="Z1453" s="99"/>
      <c r="AA1453" s="99"/>
      <c r="AB1453" s="99"/>
      <c r="AC1453" s="99"/>
      <c r="AD1453" s="103"/>
      <c r="AE1453" s="99"/>
      <c r="AF1453" s="99"/>
      <c r="AG1453" s="99"/>
      <c r="AH1453" s="99"/>
      <c r="AI1453" s="99"/>
      <c r="AJ1453" s="99"/>
      <c r="AK1453" s="99"/>
      <c r="AL1453" s="99"/>
      <c r="AM1453" s="99"/>
      <c r="AN1453" s="99"/>
      <c r="AO1453" s="99"/>
      <c r="AP1453" s="1"/>
      <c r="AQ1453" s="1"/>
    </row>
    <row r="1454" ht="15.75" customHeight="1">
      <c r="A1454" s="1"/>
      <c r="B1454" s="1"/>
      <c r="C1454" s="1"/>
      <c r="D1454" s="1"/>
      <c r="E1454" s="1"/>
      <c r="F1454" s="1"/>
      <c r="G1454" s="1"/>
      <c r="H1454" s="99"/>
      <c r="I1454" s="99"/>
      <c r="J1454" s="99"/>
      <c r="K1454" s="99"/>
      <c r="L1454" s="99"/>
      <c r="M1454" s="99"/>
      <c r="N1454" s="99"/>
      <c r="O1454" s="99"/>
      <c r="P1454" s="99"/>
      <c r="Q1454" s="99"/>
      <c r="R1454" s="99"/>
      <c r="S1454" s="103"/>
      <c r="T1454" s="99"/>
      <c r="U1454" s="103"/>
      <c r="V1454" s="99"/>
      <c r="W1454" s="99"/>
      <c r="X1454" s="99"/>
      <c r="Y1454" s="99"/>
      <c r="Z1454" s="99"/>
      <c r="AA1454" s="99"/>
      <c r="AB1454" s="99"/>
      <c r="AC1454" s="99"/>
      <c r="AD1454" s="103"/>
      <c r="AE1454" s="99"/>
      <c r="AF1454" s="99"/>
      <c r="AG1454" s="99"/>
      <c r="AH1454" s="99"/>
      <c r="AI1454" s="99"/>
      <c r="AJ1454" s="99"/>
      <c r="AK1454" s="99"/>
      <c r="AL1454" s="99"/>
      <c r="AM1454" s="99"/>
      <c r="AN1454" s="99"/>
      <c r="AO1454" s="99"/>
      <c r="AP1454" s="1"/>
      <c r="AQ1454" s="1"/>
    </row>
    <row r="1455" ht="15.75" customHeight="1">
      <c r="A1455" s="1"/>
      <c r="B1455" s="1"/>
      <c r="C1455" s="1"/>
      <c r="D1455" s="1"/>
      <c r="E1455" s="1"/>
      <c r="F1455" s="1"/>
      <c r="G1455" s="1"/>
      <c r="H1455" s="99"/>
      <c r="I1455" s="99"/>
      <c r="J1455" s="99"/>
      <c r="K1455" s="99"/>
      <c r="L1455" s="99"/>
      <c r="M1455" s="99"/>
      <c r="N1455" s="99"/>
      <c r="O1455" s="99"/>
      <c r="P1455" s="99"/>
      <c r="Q1455" s="99"/>
      <c r="R1455" s="99"/>
      <c r="S1455" s="103"/>
      <c r="T1455" s="99"/>
      <c r="U1455" s="103"/>
      <c r="V1455" s="99"/>
      <c r="W1455" s="99"/>
      <c r="X1455" s="99"/>
      <c r="Y1455" s="99"/>
      <c r="Z1455" s="99"/>
      <c r="AA1455" s="99"/>
      <c r="AB1455" s="99"/>
      <c r="AC1455" s="99"/>
      <c r="AD1455" s="103"/>
      <c r="AE1455" s="99"/>
      <c r="AF1455" s="99"/>
      <c r="AG1455" s="99"/>
      <c r="AH1455" s="99"/>
      <c r="AI1455" s="99"/>
      <c r="AJ1455" s="99"/>
      <c r="AK1455" s="99"/>
      <c r="AL1455" s="99"/>
      <c r="AM1455" s="99"/>
      <c r="AN1455" s="99"/>
      <c r="AO1455" s="99"/>
      <c r="AP1455" s="1"/>
      <c r="AQ1455" s="1"/>
    </row>
    <row r="1456" ht="15.75" customHeight="1">
      <c r="A1456" s="1"/>
      <c r="B1456" s="1"/>
      <c r="C1456" s="1"/>
      <c r="D1456" s="1"/>
      <c r="E1456" s="1"/>
      <c r="F1456" s="1"/>
      <c r="G1456" s="1"/>
      <c r="H1456" s="99"/>
      <c r="I1456" s="99"/>
      <c r="J1456" s="99"/>
      <c r="K1456" s="99"/>
      <c r="L1456" s="99"/>
      <c r="M1456" s="99"/>
      <c r="N1456" s="99"/>
      <c r="O1456" s="99"/>
      <c r="P1456" s="99"/>
      <c r="Q1456" s="99"/>
      <c r="R1456" s="99"/>
      <c r="S1456" s="103"/>
      <c r="T1456" s="99"/>
      <c r="U1456" s="103"/>
      <c r="V1456" s="99"/>
      <c r="W1456" s="99"/>
      <c r="X1456" s="99"/>
      <c r="Y1456" s="99"/>
      <c r="Z1456" s="99"/>
      <c r="AA1456" s="99"/>
      <c r="AB1456" s="99"/>
      <c r="AC1456" s="99"/>
      <c r="AD1456" s="103"/>
      <c r="AE1456" s="99"/>
      <c r="AF1456" s="99"/>
      <c r="AG1456" s="99"/>
      <c r="AH1456" s="99"/>
      <c r="AI1456" s="99"/>
      <c r="AJ1456" s="99"/>
      <c r="AK1456" s="99"/>
      <c r="AL1456" s="99"/>
      <c r="AM1456" s="99"/>
      <c r="AN1456" s="99"/>
      <c r="AO1456" s="99"/>
      <c r="AP1456" s="1"/>
      <c r="AQ1456" s="1"/>
    </row>
    <row r="1457" ht="15.75" customHeight="1">
      <c r="A1457" s="1"/>
      <c r="B1457" s="1"/>
      <c r="C1457" s="1"/>
      <c r="D1457" s="1"/>
      <c r="E1457" s="1"/>
      <c r="F1457" s="1"/>
      <c r="G1457" s="1"/>
      <c r="H1457" s="99"/>
      <c r="I1457" s="99"/>
      <c r="J1457" s="99"/>
      <c r="K1457" s="99"/>
      <c r="L1457" s="99"/>
      <c r="M1457" s="99"/>
      <c r="N1457" s="99"/>
      <c r="O1457" s="99"/>
      <c r="P1457" s="99"/>
      <c r="Q1457" s="99"/>
      <c r="R1457" s="99"/>
      <c r="S1457" s="103"/>
      <c r="T1457" s="99"/>
      <c r="U1457" s="103"/>
      <c r="V1457" s="99"/>
      <c r="W1457" s="99"/>
      <c r="X1457" s="99"/>
      <c r="Y1457" s="99"/>
      <c r="Z1457" s="99"/>
      <c r="AA1457" s="99"/>
      <c r="AB1457" s="99"/>
      <c r="AC1457" s="99"/>
      <c r="AD1457" s="103"/>
      <c r="AE1457" s="99"/>
      <c r="AF1457" s="99"/>
      <c r="AG1457" s="99"/>
      <c r="AH1457" s="99"/>
      <c r="AI1457" s="99"/>
      <c r="AJ1457" s="99"/>
      <c r="AK1457" s="99"/>
      <c r="AL1457" s="99"/>
      <c r="AM1457" s="99"/>
      <c r="AN1457" s="99"/>
      <c r="AO1457" s="99"/>
      <c r="AP1457" s="1"/>
      <c r="AQ1457" s="1"/>
    </row>
    <row r="1458" ht="15.75" customHeight="1">
      <c r="A1458" s="1"/>
      <c r="B1458" s="1"/>
      <c r="C1458" s="1"/>
      <c r="D1458" s="1"/>
      <c r="E1458" s="1"/>
      <c r="F1458" s="1"/>
      <c r="G1458" s="1"/>
      <c r="H1458" s="99"/>
      <c r="I1458" s="99"/>
      <c r="J1458" s="99"/>
      <c r="K1458" s="99"/>
      <c r="L1458" s="99"/>
      <c r="M1458" s="99"/>
      <c r="N1458" s="99"/>
      <c r="O1458" s="99"/>
      <c r="P1458" s="99"/>
      <c r="Q1458" s="99"/>
      <c r="R1458" s="99"/>
      <c r="S1458" s="103"/>
      <c r="T1458" s="99"/>
      <c r="U1458" s="103"/>
      <c r="V1458" s="99"/>
      <c r="W1458" s="99"/>
      <c r="X1458" s="99"/>
      <c r="Y1458" s="99"/>
      <c r="Z1458" s="99"/>
      <c r="AA1458" s="99"/>
      <c r="AB1458" s="99"/>
      <c r="AC1458" s="99"/>
      <c r="AD1458" s="103"/>
      <c r="AE1458" s="99"/>
      <c r="AF1458" s="99"/>
      <c r="AG1458" s="99"/>
      <c r="AH1458" s="99"/>
      <c r="AI1458" s="99"/>
      <c r="AJ1458" s="99"/>
      <c r="AK1458" s="99"/>
      <c r="AL1458" s="99"/>
      <c r="AM1458" s="99"/>
      <c r="AN1458" s="99"/>
      <c r="AO1458" s="99"/>
      <c r="AP1458" s="1"/>
      <c r="AQ1458" s="1"/>
    </row>
    <row r="1459" ht="15.75" customHeight="1">
      <c r="A1459" s="1"/>
      <c r="B1459" s="1"/>
      <c r="C1459" s="1"/>
      <c r="D1459" s="1"/>
      <c r="E1459" s="1"/>
      <c r="F1459" s="1"/>
      <c r="G1459" s="1"/>
      <c r="H1459" s="99"/>
      <c r="I1459" s="99"/>
      <c r="J1459" s="99"/>
      <c r="K1459" s="99"/>
      <c r="L1459" s="99"/>
      <c r="M1459" s="99"/>
      <c r="N1459" s="99"/>
      <c r="O1459" s="99"/>
      <c r="P1459" s="99"/>
      <c r="Q1459" s="99"/>
      <c r="R1459" s="99"/>
      <c r="S1459" s="103"/>
      <c r="T1459" s="99"/>
      <c r="U1459" s="103"/>
      <c r="V1459" s="99"/>
      <c r="W1459" s="99"/>
      <c r="X1459" s="99"/>
      <c r="Y1459" s="99"/>
      <c r="Z1459" s="99"/>
      <c r="AA1459" s="99"/>
      <c r="AB1459" s="99"/>
      <c r="AC1459" s="99"/>
      <c r="AD1459" s="103"/>
      <c r="AE1459" s="99"/>
      <c r="AF1459" s="99"/>
      <c r="AG1459" s="99"/>
      <c r="AH1459" s="99"/>
      <c r="AI1459" s="99"/>
      <c r="AJ1459" s="99"/>
      <c r="AK1459" s="99"/>
      <c r="AL1459" s="99"/>
      <c r="AM1459" s="99"/>
      <c r="AN1459" s="99"/>
      <c r="AO1459" s="99"/>
      <c r="AP1459" s="1"/>
      <c r="AQ1459" s="1"/>
    </row>
    <row r="1460" ht="15.75" customHeight="1">
      <c r="A1460" s="1"/>
      <c r="B1460" s="1"/>
      <c r="C1460" s="1"/>
      <c r="D1460" s="1"/>
      <c r="E1460" s="1"/>
      <c r="F1460" s="1"/>
      <c r="G1460" s="1"/>
      <c r="H1460" s="99"/>
      <c r="I1460" s="99"/>
      <c r="J1460" s="99"/>
      <c r="K1460" s="99"/>
      <c r="L1460" s="99"/>
      <c r="M1460" s="99"/>
      <c r="N1460" s="99"/>
      <c r="O1460" s="99"/>
      <c r="P1460" s="99"/>
      <c r="Q1460" s="99"/>
      <c r="R1460" s="99"/>
      <c r="S1460" s="103"/>
      <c r="T1460" s="99"/>
      <c r="U1460" s="103"/>
      <c r="V1460" s="99"/>
      <c r="W1460" s="99"/>
      <c r="X1460" s="99"/>
      <c r="Y1460" s="99"/>
      <c r="Z1460" s="99"/>
      <c r="AA1460" s="99"/>
      <c r="AB1460" s="99"/>
      <c r="AC1460" s="99"/>
      <c r="AD1460" s="103"/>
      <c r="AE1460" s="99"/>
      <c r="AF1460" s="99"/>
      <c r="AG1460" s="99"/>
      <c r="AH1460" s="99"/>
      <c r="AI1460" s="99"/>
      <c r="AJ1460" s="99"/>
      <c r="AK1460" s="99"/>
      <c r="AL1460" s="99"/>
      <c r="AM1460" s="99"/>
      <c r="AN1460" s="99"/>
      <c r="AO1460" s="99"/>
      <c r="AP1460" s="1"/>
      <c r="AQ1460" s="1"/>
    </row>
    <row r="1461" ht="15.75" customHeight="1">
      <c r="A1461" s="1"/>
      <c r="B1461" s="1"/>
      <c r="C1461" s="1"/>
      <c r="D1461" s="1"/>
      <c r="E1461" s="1"/>
      <c r="F1461" s="1"/>
      <c r="G1461" s="1"/>
      <c r="H1461" s="99"/>
      <c r="I1461" s="99"/>
      <c r="J1461" s="99"/>
      <c r="K1461" s="99"/>
      <c r="L1461" s="99"/>
      <c r="M1461" s="99"/>
      <c r="N1461" s="99"/>
      <c r="O1461" s="99"/>
      <c r="P1461" s="99"/>
      <c r="Q1461" s="99"/>
      <c r="R1461" s="99"/>
      <c r="S1461" s="103"/>
      <c r="T1461" s="99"/>
      <c r="U1461" s="103"/>
      <c r="V1461" s="99"/>
      <c r="W1461" s="99"/>
      <c r="X1461" s="99"/>
      <c r="Y1461" s="99"/>
      <c r="Z1461" s="99"/>
      <c r="AA1461" s="99"/>
      <c r="AB1461" s="99"/>
      <c r="AC1461" s="99"/>
      <c r="AD1461" s="103"/>
      <c r="AE1461" s="99"/>
      <c r="AF1461" s="99"/>
      <c r="AG1461" s="99"/>
      <c r="AH1461" s="99"/>
      <c r="AI1461" s="99"/>
      <c r="AJ1461" s="99"/>
      <c r="AK1461" s="99"/>
      <c r="AL1461" s="99"/>
      <c r="AM1461" s="99"/>
      <c r="AN1461" s="99"/>
      <c r="AO1461" s="99"/>
      <c r="AP1461" s="1"/>
      <c r="AQ1461" s="1"/>
    </row>
    <row r="1462" ht="15.75" customHeight="1">
      <c r="A1462" s="1"/>
      <c r="B1462" s="1"/>
      <c r="C1462" s="1"/>
      <c r="D1462" s="1"/>
      <c r="E1462" s="1"/>
      <c r="F1462" s="1"/>
      <c r="G1462" s="1"/>
      <c r="H1462" s="99"/>
      <c r="I1462" s="99"/>
      <c r="J1462" s="99"/>
      <c r="K1462" s="99"/>
      <c r="L1462" s="99"/>
      <c r="M1462" s="99"/>
      <c r="N1462" s="99"/>
      <c r="O1462" s="99"/>
      <c r="P1462" s="99"/>
      <c r="Q1462" s="99"/>
      <c r="R1462" s="99"/>
      <c r="S1462" s="103"/>
      <c r="T1462" s="99"/>
      <c r="U1462" s="103"/>
      <c r="V1462" s="99"/>
      <c r="W1462" s="99"/>
      <c r="X1462" s="99"/>
      <c r="Y1462" s="99"/>
      <c r="Z1462" s="99"/>
      <c r="AA1462" s="99"/>
      <c r="AB1462" s="99"/>
      <c r="AC1462" s="99"/>
      <c r="AD1462" s="103"/>
      <c r="AE1462" s="99"/>
      <c r="AF1462" s="99"/>
      <c r="AG1462" s="99"/>
      <c r="AH1462" s="99"/>
      <c r="AI1462" s="99"/>
      <c r="AJ1462" s="99"/>
      <c r="AK1462" s="99"/>
      <c r="AL1462" s="99"/>
      <c r="AM1462" s="99"/>
      <c r="AN1462" s="99"/>
      <c r="AO1462" s="99"/>
      <c r="AP1462" s="1"/>
      <c r="AQ1462" s="1"/>
    </row>
    <row r="1463" ht="15.75" customHeight="1">
      <c r="A1463" s="1"/>
      <c r="B1463" s="1"/>
      <c r="C1463" s="1"/>
      <c r="D1463" s="1"/>
      <c r="E1463" s="1"/>
      <c r="F1463" s="1"/>
      <c r="G1463" s="1"/>
      <c r="H1463" s="99"/>
      <c r="I1463" s="99"/>
      <c r="J1463" s="99"/>
      <c r="K1463" s="99"/>
      <c r="L1463" s="99"/>
      <c r="M1463" s="99"/>
      <c r="N1463" s="99"/>
      <c r="O1463" s="99"/>
      <c r="P1463" s="99"/>
      <c r="Q1463" s="99"/>
      <c r="R1463" s="99"/>
      <c r="S1463" s="103"/>
      <c r="T1463" s="99"/>
      <c r="U1463" s="103"/>
      <c r="V1463" s="99"/>
      <c r="W1463" s="99"/>
      <c r="X1463" s="99"/>
      <c r="Y1463" s="99"/>
      <c r="Z1463" s="99"/>
      <c r="AA1463" s="99"/>
      <c r="AB1463" s="99"/>
      <c r="AC1463" s="99"/>
      <c r="AD1463" s="103"/>
      <c r="AE1463" s="99"/>
      <c r="AF1463" s="99"/>
      <c r="AG1463" s="99"/>
      <c r="AH1463" s="99"/>
      <c r="AI1463" s="99"/>
      <c r="AJ1463" s="99"/>
      <c r="AK1463" s="99"/>
      <c r="AL1463" s="99"/>
      <c r="AM1463" s="99"/>
      <c r="AN1463" s="99"/>
      <c r="AO1463" s="99"/>
      <c r="AP1463" s="1"/>
      <c r="AQ1463" s="1"/>
    </row>
    <row r="1464" ht="15.75" customHeight="1">
      <c r="A1464" s="1"/>
      <c r="B1464" s="1"/>
      <c r="C1464" s="1"/>
      <c r="D1464" s="1"/>
      <c r="E1464" s="1"/>
      <c r="F1464" s="1"/>
      <c r="G1464" s="1"/>
      <c r="H1464" s="99"/>
      <c r="I1464" s="99"/>
      <c r="J1464" s="99"/>
      <c r="K1464" s="99"/>
      <c r="L1464" s="99"/>
      <c r="M1464" s="99"/>
      <c r="N1464" s="99"/>
      <c r="O1464" s="99"/>
      <c r="P1464" s="99"/>
      <c r="Q1464" s="99"/>
      <c r="R1464" s="99"/>
      <c r="S1464" s="103"/>
      <c r="T1464" s="99"/>
      <c r="U1464" s="103"/>
      <c r="V1464" s="99"/>
      <c r="W1464" s="99"/>
      <c r="X1464" s="99"/>
      <c r="Y1464" s="99"/>
      <c r="Z1464" s="99"/>
      <c r="AA1464" s="99"/>
      <c r="AB1464" s="99"/>
      <c r="AC1464" s="99"/>
      <c r="AD1464" s="103"/>
      <c r="AE1464" s="99"/>
      <c r="AF1464" s="99"/>
      <c r="AG1464" s="99"/>
      <c r="AH1464" s="99"/>
      <c r="AI1464" s="99"/>
      <c r="AJ1464" s="99"/>
      <c r="AK1464" s="99"/>
      <c r="AL1464" s="99"/>
      <c r="AM1464" s="99"/>
      <c r="AN1464" s="99"/>
      <c r="AO1464" s="99"/>
      <c r="AP1464" s="1"/>
      <c r="AQ1464" s="1"/>
    </row>
    <row r="1465" ht="15.75" customHeight="1">
      <c r="A1465" s="1"/>
      <c r="B1465" s="1"/>
      <c r="C1465" s="1"/>
      <c r="D1465" s="1"/>
      <c r="E1465" s="1"/>
      <c r="F1465" s="1"/>
      <c r="G1465" s="1"/>
      <c r="H1465" s="99"/>
      <c r="I1465" s="99"/>
      <c r="J1465" s="99"/>
      <c r="K1465" s="99"/>
      <c r="L1465" s="99"/>
      <c r="M1465" s="99"/>
      <c r="N1465" s="99"/>
      <c r="O1465" s="99"/>
      <c r="P1465" s="99"/>
      <c r="Q1465" s="99"/>
      <c r="R1465" s="99"/>
      <c r="S1465" s="103"/>
      <c r="T1465" s="99"/>
      <c r="U1465" s="103"/>
      <c r="V1465" s="99"/>
      <c r="W1465" s="99"/>
      <c r="X1465" s="99"/>
      <c r="Y1465" s="99"/>
      <c r="Z1465" s="99"/>
      <c r="AA1465" s="99"/>
      <c r="AB1465" s="99"/>
      <c r="AC1465" s="99"/>
      <c r="AD1465" s="103"/>
      <c r="AE1465" s="99"/>
      <c r="AF1465" s="99"/>
      <c r="AG1465" s="99"/>
      <c r="AH1465" s="99"/>
      <c r="AI1465" s="99"/>
      <c r="AJ1465" s="99"/>
      <c r="AK1465" s="99"/>
      <c r="AL1465" s="99"/>
      <c r="AM1465" s="99"/>
      <c r="AN1465" s="99"/>
      <c r="AO1465" s="99"/>
      <c r="AP1465" s="1"/>
      <c r="AQ1465" s="1"/>
    </row>
    <row r="1466" ht="15.75" customHeight="1">
      <c r="A1466" s="1"/>
      <c r="B1466" s="1"/>
      <c r="C1466" s="1"/>
      <c r="D1466" s="1"/>
      <c r="E1466" s="1"/>
      <c r="F1466" s="1"/>
      <c r="G1466" s="1"/>
      <c r="H1466" s="99"/>
      <c r="I1466" s="99"/>
      <c r="J1466" s="99"/>
      <c r="K1466" s="99"/>
      <c r="L1466" s="99"/>
      <c r="M1466" s="99"/>
      <c r="N1466" s="99"/>
      <c r="O1466" s="99"/>
      <c r="P1466" s="99"/>
      <c r="Q1466" s="99"/>
      <c r="R1466" s="99"/>
      <c r="S1466" s="103"/>
      <c r="T1466" s="99"/>
      <c r="U1466" s="103"/>
      <c r="V1466" s="99"/>
      <c r="W1466" s="99"/>
      <c r="X1466" s="99"/>
      <c r="Y1466" s="99"/>
      <c r="Z1466" s="99"/>
      <c r="AA1466" s="99"/>
      <c r="AB1466" s="99"/>
      <c r="AC1466" s="99"/>
      <c r="AD1466" s="103"/>
      <c r="AE1466" s="99"/>
      <c r="AF1466" s="99"/>
      <c r="AG1466" s="99"/>
      <c r="AH1466" s="99"/>
      <c r="AI1466" s="99"/>
      <c r="AJ1466" s="99"/>
      <c r="AK1466" s="99"/>
      <c r="AL1466" s="99"/>
      <c r="AM1466" s="99"/>
      <c r="AN1466" s="99"/>
      <c r="AO1466" s="99"/>
      <c r="AP1466" s="1"/>
      <c r="AQ1466" s="1"/>
    </row>
    <row r="1467" ht="15.75" customHeight="1">
      <c r="A1467" s="1"/>
      <c r="B1467" s="1"/>
      <c r="C1467" s="1"/>
      <c r="D1467" s="1"/>
      <c r="E1467" s="1"/>
      <c r="F1467" s="1"/>
      <c r="G1467" s="1"/>
      <c r="H1467" s="99"/>
      <c r="I1467" s="99"/>
      <c r="J1467" s="99"/>
      <c r="K1467" s="99"/>
      <c r="L1467" s="99"/>
      <c r="M1467" s="99"/>
      <c r="N1467" s="99"/>
      <c r="O1467" s="99"/>
      <c r="P1467" s="99"/>
      <c r="Q1467" s="99"/>
      <c r="R1467" s="99"/>
      <c r="S1467" s="103"/>
      <c r="T1467" s="99"/>
      <c r="U1467" s="103"/>
      <c r="V1467" s="99"/>
      <c r="W1467" s="99"/>
      <c r="X1467" s="99"/>
      <c r="Y1467" s="99"/>
      <c r="Z1467" s="99"/>
      <c r="AA1467" s="99"/>
      <c r="AB1467" s="99"/>
      <c r="AC1467" s="99"/>
      <c r="AD1467" s="103"/>
      <c r="AE1467" s="99"/>
      <c r="AF1467" s="99"/>
      <c r="AG1467" s="99"/>
      <c r="AH1467" s="99"/>
      <c r="AI1467" s="99"/>
      <c r="AJ1467" s="99"/>
      <c r="AK1467" s="99"/>
      <c r="AL1467" s="99"/>
      <c r="AM1467" s="99"/>
      <c r="AN1467" s="99"/>
      <c r="AO1467" s="99"/>
      <c r="AP1467" s="1"/>
      <c r="AQ1467" s="1"/>
    </row>
    <row r="1468" ht="15.75" customHeight="1">
      <c r="A1468" s="1"/>
      <c r="B1468" s="1"/>
      <c r="C1468" s="1"/>
      <c r="D1468" s="1"/>
      <c r="E1468" s="1"/>
      <c r="F1468" s="1"/>
      <c r="G1468" s="1"/>
      <c r="H1468" s="99"/>
      <c r="I1468" s="99"/>
      <c r="J1468" s="99"/>
      <c r="K1468" s="99"/>
      <c r="L1468" s="99"/>
      <c r="M1468" s="99"/>
      <c r="N1468" s="99"/>
      <c r="O1468" s="99"/>
      <c r="P1468" s="99"/>
      <c r="Q1468" s="99"/>
      <c r="R1468" s="99"/>
      <c r="S1468" s="103"/>
      <c r="T1468" s="99"/>
      <c r="U1468" s="103"/>
      <c r="V1468" s="99"/>
      <c r="W1468" s="99"/>
      <c r="X1468" s="99"/>
      <c r="Y1468" s="99"/>
      <c r="Z1468" s="99"/>
      <c r="AA1468" s="99"/>
      <c r="AB1468" s="99"/>
      <c r="AC1468" s="99"/>
      <c r="AD1468" s="103"/>
      <c r="AE1468" s="99"/>
      <c r="AF1468" s="99"/>
      <c r="AG1468" s="99"/>
      <c r="AH1468" s="99"/>
      <c r="AI1468" s="99"/>
      <c r="AJ1468" s="99"/>
      <c r="AK1468" s="99"/>
      <c r="AL1468" s="99"/>
      <c r="AM1468" s="99"/>
      <c r="AN1468" s="99"/>
      <c r="AO1468" s="99"/>
      <c r="AP1468" s="1"/>
      <c r="AQ1468" s="1"/>
    </row>
    <row r="1469" ht="15.75" customHeight="1">
      <c r="A1469" s="1"/>
      <c r="B1469" s="1"/>
      <c r="C1469" s="1"/>
      <c r="D1469" s="1"/>
      <c r="E1469" s="1"/>
      <c r="F1469" s="1"/>
      <c r="G1469" s="1"/>
      <c r="H1469" s="99"/>
      <c r="I1469" s="99"/>
      <c r="J1469" s="99"/>
      <c r="K1469" s="99"/>
      <c r="L1469" s="99"/>
      <c r="M1469" s="99"/>
      <c r="N1469" s="99"/>
      <c r="O1469" s="99"/>
      <c r="P1469" s="99"/>
      <c r="Q1469" s="99"/>
      <c r="R1469" s="99"/>
      <c r="S1469" s="103"/>
      <c r="T1469" s="99"/>
      <c r="U1469" s="103"/>
      <c r="V1469" s="99"/>
      <c r="W1469" s="99"/>
      <c r="X1469" s="99"/>
      <c r="Y1469" s="99"/>
      <c r="Z1469" s="99"/>
      <c r="AA1469" s="99"/>
      <c r="AB1469" s="99"/>
      <c r="AC1469" s="99"/>
      <c r="AD1469" s="103"/>
      <c r="AE1469" s="99"/>
      <c r="AF1469" s="99"/>
      <c r="AG1469" s="99"/>
      <c r="AH1469" s="99"/>
      <c r="AI1469" s="99"/>
      <c r="AJ1469" s="99"/>
      <c r="AK1469" s="99"/>
      <c r="AL1469" s="99"/>
      <c r="AM1469" s="99"/>
      <c r="AN1469" s="99"/>
      <c r="AO1469" s="99"/>
      <c r="AP1469" s="1"/>
      <c r="AQ1469" s="1"/>
    </row>
    <row r="1470" ht="15.75" customHeight="1">
      <c r="A1470" s="1"/>
      <c r="B1470" s="1"/>
      <c r="C1470" s="1"/>
      <c r="D1470" s="1"/>
      <c r="E1470" s="1"/>
      <c r="F1470" s="1"/>
      <c r="G1470" s="1"/>
      <c r="H1470" s="99"/>
      <c r="I1470" s="99"/>
      <c r="J1470" s="99"/>
      <c r="K1470" s="99"/>
      <c r="L1470" s="99"/>
      <c r="M1470" s="99"/>
      <c r="N1470" s="99"/>
      <c r="O1470" s="99"/>
      <c r="P1470" s="99"/>
      <c r="Q1470" s="99"/>
      <c r="R1470" s="99"/>
      <c r="S1470" s="103"/>
      <c r="T1470" s="99"/>
      <c r="U1470" s="103"/>
      <c r="V1470" s="99"/>
      <c r="W1470" s="99"/>
      <c r="X1470" s="99"/>
      <c r="Y1470" s="99"/>
      <c r="Z1470" s="99"/>
      <c r="AA1470" s="99"/>
      <c r="AB1470" s="99"/>
      <c r="AC1470" s="99"/>
      <c r="AD1470" s="103"/>
      <c r="AE1470" s="99"/>
      <c r="AF1470" s="99"/>
      <c r="AG1470" s="99"/>
      <c r="AH1470" s="99"/>
      <c r="AI1470" s="99"/>
      <c r="AJ1470" s="99"/>
      <c r="AK1470" s="99"/>
      <c r="AL1470" s="99"/>
      <c r="AM1470" s="99"/>
      <c r="AN1470" s="99"/>
      <c r="AO1470" s="99"/>
      <c r="AP1470" s="1"/>
      <c r="AQ1470" s="1"/>
    </row>
    <row r="1471" ht="15.75" customHeight="1">
      <c r="A1471" s="1"/>
      <c r="B1471" s="1"/>
      <c r="C1471" s="1"/>
      <c r="D1471" s="1"/>
      <c r="E1471" s="1"/>
      <c r="F1471" s="1"/>
      <c r="G1471" s="1"/>
      <c r="H1471" s="99"/>
      <c r="I1471" s="99"/>
      <c r="J1471" s="99"/>
      <c r="K1471" s="99"/>
      <c r="L1471" s="99"/>
      <c r="M1471" s="99"/>
      <c r="N1471" s="99"/>
      <c r="O1471" s="99"/>
      <c r="P1471" s="99"/>
      <c r="Q1471" s="99"/>
      <c r="R1471" s="99"/>
      <c r="S1471" s="103"/>
      <c r="T1471" s="99"/>
      <c r="U1471" s="103"/>
      <c r="V1471" s="99"/>
      <c r="W1471" s="99"/>
      <c r="X1471" s="99"/>
      <c r="Y1471" s="99"/>
      <c r="Z1471" s="99"/>
      <c r="AA1471" s="99"/>
      <c r="AB1471" s="99"/>
      <c r="AC1471" s="99"/>
      <c r="AD1471" s="103"/>
      <c r="AE1471" s="99"/>
      <c r="AF1471" s="99"/>
      <c r="AG1471" s="99"/>
      <c r="AH1471" s="99"/>
      <c r="AI1471" s="99"/>
      <c r="AJ1471" s="99"/>
      <c r="AK1471" s="99"/>
      <c r="AL1471" s="99"/>
      <c r="AM1471" s="99"/>
      <c r="AN1471" s="99"/>
      <c r="AO1471" s="99"/>
      <c r="AP1471" s="1"/>
      <c r="AQ1471" s="1"/>
    </row>
    <row r="1472" ht="15.75" customHeight="1">
      <c r="A1472" s="1"/>
      <c r="B1472" s="1"/>
      <c r="C1472" s="1"/>
      <c r="D1472" s="1"/>
      <c r="E1472" s="1"/>
      <c r="F1472" s="1"/>
      <c r="G1472" s="1"/>
      <c r="H1472" s="99"/>
      <c r="I1472" s="99"/>
      <c r="J1472" s="99"/>
      <c r="K1472" s="99"/>
      <c r="L1472" s="99"/>
      <c r="M1472" s="99"/>
      <c r="N1472" s="99"/>
      <c r="O1472" s="99"/>
      <c r="P1472" s="99"/>
      <c r="Q1472" s="99"/>
      <c r="R1472" s="99"/>
      <c r="S1472" s="103"/>
      <c r="T1472" s="99"/>
      <c r="U1472" s="103"/>
      <c r="V1472" s="99"/>
      <c r="W1472" s="99"/>
      <c r="X1472" s="99"/>
      <c r="Y1472" s="99"/>
      <c r="Z1472" s="99"/>
      <c r="AA1472" s="99"/>
      <c r="AB1472" s="99"/>
      <c r="AC1472" s="99"/>
      <c r="AD1472" s="103"/>
      <c r="AE1472" s="99"/>
      <c r="AF1472" s="99"/>
      <c r="AG1472" s="99"/>
      <c r="AH1472" s="99"/>
      <c r="AI1472" s="99"/>
      <c r="AJ1472" s="99"/>
      <c r="AK1472" s="99"/>
      <c r="AL1472" s="99"/>
      <c r="AM1472" s="99"/>
      <c r="AN1472" s="99"/>
      <c r="AO1472" s="99"/>
      <c r="AP1472" s="1"/>
      <c r="AQ1472" s="1"/>
    </row>
    <row r="1473" ht="15.75" customHeight="1">
      <c r="A1473" s="1"/>
      <c r="B1473" s="1"/>
      <c r="C1473" s="1"/>
      <c r="D1473" s="1"/>
      <c r="E1473" s="1"/>
      <c r="F1473" s="1"/>
      <c r="G1473" s="1"/>
      <c r="H1473" s="99"/>
      <c r="I1473" s="99"/>
      <c r="J1473" s="99"/>
      <c r="K1473" s="99"/>
      <c r="L1473" s="99"/>
      <c r="M1473" s="99"/>
      <c r="N1473" s="99"/>
      <c r="O1473" s="99"/>
      <c r="P1473" s="99"/>
      <c r="Q1473" s="99"/>
      <c r="R1473" s="99"/>
      <c r="S1473" s="103"/>
      <c r="T1473" s="99"/>
      <c r="U1473" s="103"/>
      <c r="V1473" s="99"/>
      <c r="W1473" s="99"/>
      <c r="X1473" s="99"/>
      <c r="Y1473" s="99"/>
      <c r="Z1473" s="99"/>
      <c r="AA1473" s="99"/>
      <c r="AB1473" s="99"/>
      <c r="AC1473" s="99"/>
      <c r="AD1473" s="103"/>
      <c r="AE1473" s="99"/>
      <c r="AF1473" s="99"/>
      <c r="AG1473" s="99"/>
      <c r="AH1473" s="99"/>
      <c r="AI1473" s="99"/>
      <c r="AJ1473" s="99"/>
      <c r="AK1473" s="99"/>
      <c r="AL1473" s="99"/>
      <c r="AM1473" s="99"/>
      <c r="AN1473" s="99"/>
      <c r="AO1473" s="99"/>
      <c r="AP1473" s="1"/>
      <c r="AQ1473" s="1"/>
    </row>
    <row r="1474" ht="15.75" customHeight="1">
      <c r="A1474" s="1"/>
      <c r="B1474" s="1"/>
      <c r="C1474" s="1"/>
      <c r="D1474" s="1"/>
      <c r="E1474" s="1"/>
      <c r="F1474" s="1"/>
      <c r="G1474" s="1"/>
      <c r="H1474" s="99"/>
      <c r="I1474" s="99"/>
      <c r="J1474" s="99"/>
      <c r="K1474" s="99"/>
      <c r="L1474" s="99"/>
      <c r="M1474" s="99"/>
      <c r="N1474" s="99"/>
      <c r="O1474" s="99"/>
      <c r="P1474" s="99"/>
      <c r="Q1474" s="99"/>
      <c r="R1474" s="99"/>
      <c r="S1474" s="103"/>
      <c r="T1474" s="99"/>
      <c r="U1474" s="103"/>
      <c r="V1474" s="99"/>
      <c r="W1474" s="99"/>
      <c r="X1474" s="99"/>
      <c r="Y1474" s="99"/>
      <c r="Z1474" s="99"/>
      <c r="AA1474" s="99"/>
      <c r="AB1474" s="99"/>
      <c r="AC1474" s="99"/>
      <c r="AD1474" s="103"/>
      <c r="AE1474" s="99"/>
      <c r="AF1474" s="99"/>
      <c r="AG1474" s="99"/>
      <c r="AH1474" s="99"/>
      <c r="AI1474" s="99"/>
      <c r="AJ1474" s="99"/>
      <c r="AK1474" s="99"/>
      <c r="AL1474" s="99"/>
      <c r="AM1474" s="99"/>
      <c r="AN1474" s="99"/>
      <c r="AO1474" s="99"/>
      <c r="AP1474" s="1"/>
      <c r="AQ1474" s="1"/>
    </row>
    <row r="1475" ht="15.75" customHeight="1">
      <c r="A1475" s="1"/>
      <c r="B1475" s="1"/>
      <c r="C1475" s="1"/>
      <c r="D1475" s="1"/>
      <c r="E1475" s="1"/>
      <c r="F1475" s="1"/>
      <c r="G1475" s="1"/>
      <c r="H1475" s="99"/>
      <c r="I1475" s="99"/>
      <c r="J1475" s="99"/>
      <c r="K1475" s="99"/>
      <c r="L1475" s="99"/>
      <c r="M1475" s="99"/>
      <c r="N1475" s="99"/>
      <c r="O1475" s="99"/>
      <c r="P1475" s="99"/>
      <c r="Q1475" s="99"/>
      <c r="R1475" s="99"/>
      <c r="S1475" s="103"/>
      <c r="T1475" s="99"/>
      <c r="U1475" s="103"/>
      <c r="V1475" s="99"/>
      <c r="W1475" s="99"/>
      <c r="X1475" s="99"/>
      <c r="Y1475" s="99"/>
      <c r="Z1475" s="99"/>
      <c r="AA1475" s="99"/>
      <c r="AB1475" s="99"/>
      <c r="AC1475" s="99"/>
      <c r="AD1475" s="103"/>
      <c r="AE1475" s="99"/>
      <c r="AF1475" s="99"/>
      <c r="AG1475" s="99"/>
      <c r="AH1475" s="99"/>
      <c r="AI1475" s="99"/>
      <c r="AJ1475" s="99"/>
      <c r="AK1475" s="99"/>
      <c r="AL1475" s="99"/>
      <c r="AM1475" s="99"/>
      <c r="AN1475" s="99"/>
      <c r="AO1475" s="99"/>
      <c r="AP1475" s="1"/>
      <c r="AQ1475" s="1"/>
    </row>
    <row r="1476" ht="15.75" customHeight="1">
      <c r="A1476" s="1"/>
      <c r="B1476" s="1"/>
      <c r="C1476" s="1"/>
      <c r="D1476" s="1"/>
      <c r="E1476" s="1"/>
      <c r="F1476" s="1"/>
      <c r="G1476" s="1"/>
      <c r="H1476" s="99"/>
      <c r="I1476" s="99"/>
      <c r="J1476" s="99"/>
      <c r="K1476" s="99"/>
      <c r="L1476" s="99"/>
      <c r="M1476" s="99"/>
      <c r="N1476" s="99"/>
      <c r="O1476" s="99"/>
      <c r="P1476" s="99"/>
      <c r="Q1476" s="99"/>
      <c r="R1476" s="99"/>
      <c r="S1476" s="103"/>
      <c r="T1476" s="99"/>
      <c r="U1476" s="103"/>
      <c r="V1476" s="99"/>
      <c r="W1476" s="99"/>
      <c r="X1476" s="99"/>
      <c r="Y1476" s="99"/>
      <c r="Z1476" s="99"/>
      <c r="AA1476" s="99"/>
      <c r="AB1476" s="99"/>
      <c r="AC1476" s="99"/>
      <c r="AD1476" s="103"/>
      <c r="AE1476" s="99"/>
      <c r="AF1476" s="99"/>
      <c r="AG1476" s="99"/>
      <c r="AH1476" s="99"/>
      <c r="AI1476" s="99"/>
      <c r="AJ1476" s="99"/>
      <c r="AK1476" s="99"/>
      <c r="AL1476" s="99"/>
      <c r="AM1476" s="99"/>
      <c r="AN1476" s="99"/>
      <c r="AO1476" s="99"/>
      <c r="AP1476" s="1"/>
      <c r="AQ1476" s="1"/>
    </row>
    <row r="1477" ht="15.75" customHeight="1">
      <c r="A1477" s="1"/>
      <c r="B1477" s="1"/>
      <c r="C1477" s="1"/>
      <c r="D1477" s="1"/>
      <c r="E1477" s="1"/>
      <c r="F1477" s="1"/>
      <c r="G1477" s="1"/>
      <c r="H1477" s="99"/>
      <c r="I1477" s="99"/>
      <c r="J1477" s="99"/>
      <c r="K1477" s="99"/>
      <c r="L1477" s="99"/>
      <c r="M1477" s="99"/>
      <c r="N1477" s="99"/>
      <c r="O1477" s="99"/>
      <c r="P1477" s="99"/>
      <c r="Q1477" s="99"/>
      <c r="R1477" s="99"/>
      <c r="S1477" s="103"/>
      <c r="T1477" s="99"/>
      <c r="U1477" s="103"/>
      <c r="V1477" s="99"/>
      <c r="W1477" s="99"/>
      <c r="X1477" s="99"/>
      <c r="Y1477" s="99"/>
      <c r="Z1477" s="99"/>
      <c r="AA1477" s="99"/>
      <c r="AB1477" s="99"/>
      <c r="AC1477" s="99"/>
      <c r="AD1477" s="103"/>
      <c r="AE1477" s="99"/>
      <c r="AF1477" s="99"/>
      <c r="AG1477" s="99"/>
      <c r="AH1477" s="99"/>
      <c r="AI1477" s="99"/>
      <c r="AJ1477" s="99"/>
      <c r="AK1477" s="99"/>
      <c r="AL1477" s="99"/>
      <c r="AM1477" s="99"/>
      <c r="AN1477" s="99"/>
      <c r="AO1477" s="99"/>
      <c r="AP1477" s="1"/>
      <c r="AQ1477" s="1"/>
    </row>
    <row r="1478" ht="15.75" customHeight="1">
      <c r="A1478" s="1"/>
      <c r="B1478" s="1"/>
      <c r="C1478" s="1"/>
      <c r="D1478" s="1"/>
      <c r="E1478" s="1"/>
      <c r="F1478" s="1"/>
      <c r="G1478" s="1"/>
      <c r="H1478" s="99"/>
      <c r="I1478" s="99"/>
      <c r="J1478" s="99"/>
      <c r="K1478" s="99"/>
      <c r="L1478" s="99"/>
      <c r="M1478" s="99"/>
      <c r="N1478" s="99"/>
      <c r="O1478" s="99"/>
      <c r="P1478" s="99"/>
      <c r="Q1478" s="99"/>
      <c r="R1478" s="99"/>
      <c r="S1478" s="103"/>
      <c r="T1478" s="99"/>
      <c r="U1478" s="103"/>
      <c r="V1478" s="99"/>
      <c r="W1478" s="99"/>
      <c r="X1478" s="99"/>
      <c r="Y1478" s="99"/>
      <c r="Z1478" s="99"/>
      <c r="AA1478" s="99"/>
      <c r="AB1478" s="99"/>
      <c r="AC1478" s="99"/>
      <c r="AD1478" s="103"/>
      <c r="AE1478" s="99"/>
      <c r="AF1478" s="99"/>
      <c r="AG1478" s="99"/>
      <c r="AH1478" s="99"/>
      <c r="AI1478" s="99"/>
      <c r="AJ1478" s="99"/>
      <c r="AK1478" s="99"/>
      <c r="AL1478" s="99"/>
      <c r="AM1478" s="99"/>
      <c r="AN1478" s="99"/>
      <c r="AO1478" s="99"/>
      <c r="AP1478" s="1"/>
      <c r="AQ1478" s="1"/>
    </row>
    <row r="1479" ht="15.75" customHeight="1">
      <c r="A1479" s="1"/>
      <c r="B1479" s="1"/>
      <c r="C1479" s="1"/>
      <c r="D1479" s="1"/>
      <c r="E1479" s="1"/>
      <c r="F1479" s="1"/>
      <c r="G1479" s="1"/>
      <c r="H1479" s="99"/>
      <c r="I1479" s="99"/>
      <c r="J1479" s="99"/>
      <c r="K1479" s="99"/>
      <c r="L1479" s="99"/>
      <c r="M1479" s="99"/>
      <c r="N1479" s="99"/>
      <c r="O1479" s="99"/>
      <c r="P1479" s="99"/>
      <c r="Q1479" s="99"/>
      <c r="R1479" s="99"/>
      <c r="S1479" s="103"/>
      <c r="T1479" s="99"/>
      <c r="U1479" s="103"/>
      <c r="V1479" s="99"/>
      <c r="W1479" s="99"/>
      <c r="X1479" s="99"/>
      <c r="Y1479" s="99"/>
      <c r="Z1479" s="99"/>
      <c r="AA1479" s="99"/>
      <c r="AB1479" s="99"/>
      <c r="AC1479" s="99"/>
      <c r="AD1479" s="103"/>
      <c r="AE1479" s="99"/>
      <c r="AF1479" s="99"/>
      <c r="AG1479" s="99"/>
      <c r="AH1479" s="99"/>
      <c r="AI1479" s="99"/>
      <c r="AJ1479" s="99"/>
      <c r="AK1479" s="99"/>
      <c r="AL1479" s="99"/>
      <c r="AM1479" s="99"/>
      <c r="AN1479" s="99"/>
      <c r="AO1479" s="99"/>
      <c r="AP1479" s="1"/>
      <c r="AQ1479" s="1"/>
    </row>
    <row r="1480" ht="15.75" customHeight="1">
      <c r="A1480" s="1"/>
      <c r="B1480" s="1"/>
      <c r="C1480" s="1"/>
      <c r="D1480" s="1"/>
      <c r="E1480" s="1"/>
      <c r="F1480" s="1"/>
      <c r="G1480" s="1"/>
      <c r="H1480" s="99"/>
      <c r="I1480" s="99"/>
      <c r="J1480" s="99"/>
      <c r="K1480" s="99"/>
      <c r="L1480" s="99"/>
      <c r="M1480" s="99"/>
      <c r="N1480" s="99"/>
      <c r="O1480" s="99"/>
      <c r="P1480" s="99"/>
      <c r="Q1480" s="99"/>
      <c r="R1480" s="99"/>
      <c r="S1480" s="103"/>
      <c r="T1480" s="99"/>
      <c r="U1480" s="103"/>
      <c r="V1480" s="99"/>
      <c r="W1480" s="99"/>
      <c r="X1480" s="99"/>
      <c r="Y1480" s="99"/>
      <c r="Z1480" s="99"/>
      <c r="AA1480" s="99"/>
      <c r="AB1480" s="99"/>
      <c r="AC1480" s="99"/>
      <c r="AD1480" s="103"/>
      <c r="AE1480" s="99"/>
      <c r="AF1480" s="99"/>
      <c r="AG1480" s="99"/>
      <c r="AH1480" s="99"/>
      <c r="AI1480" s="99"/>
      <c r="AJ1480" s="99"/>
      <c r="AK1480" s="99"/>
      <c r="AL1480" s="99"/>
      <c r="AM1480" s="99"/>
      <c r="AN1480" s="99"/>
      <c r="AO1480" s="99"/>
      <c r="AP1480" s="1"/>
      <c r="AQ1480" s="1"/>
    </row>
    <row r="1481" ht="15.75" customHeight="1">
      <c r="A1481" s="1"/>
      <c r="B1481" s="1"/>
      <c r="C1481" s="1"/>
      <c r="D1481" s="1"/>
      <c r="E1481" s="1"/>
      <c r="F1481" s="1"/>
      <c r="G1481" s="1"/>
      <c r="H1481" s="99"/>
      <c r="I1481" s="99"/>
      <c r="J1481" s="99"/>
      <c r="K1481" s="99"/>
      <c r="L1481" s="99"/>
      <c r="M1481" s="99"/>
      <c r="N1481" s="99"/>
      <c r="O1481" s="99"/>
      <c r="P1481" s="99"/>
      <c r="Q1481" s="99"/>
      <c r="R1481" s="99"/>
      <c r="S1481" s="103"/>
      <c r="T1481" s="99"/>
      <c r="U1481" s="103"/>
      <c r="V1481" s="99"/>
      <c r="W1481" s="99"/>
      <c r="X1481" s="99"/>
      <c r="Y1481" s="99"/>
      <c r="Z1481" s="99"/>
      <c r="AA1481" s="99"/>
      <c r="AB1481" s="99"/>
      <c r="AC1481" s="99"/>
      <c r="AD1481" s="103"/>
      <c r="AE1481" s="99"/>
      <c r="AF1481" s="99"/>
      <c r="AG1481" s="99"/>
      <c r="AH1481" s="99"/>
      <c r="AI1481" s="99"/>
      <c r="AJ1481" s="99"/>
      <c r="AK1481" s="99"/>
      <c r="AL1481" s="99"/>
      <c r="AM1481" s="99"/>
      <c r="AN1481" s="99"/>
      <c r="AO1481" s="99"/>
      <c r="AP1481" s="1"/>
      <c r="AQ1481" s="1"/>
    </row>
    <row r="1482" ht="15.75" customHeight="1">
      <c r="A1482" s="1"/>
      <c r="B1482" s="1"/>
      <c r="C1482" s="1"/>
      <c r="D1482" s="1"/>
      <c r="E1482" s="1"/>
      <c r="F1482" s="1"/>
      <c r="G1482" s="1"/>
      <c r="H1482" s="99"/>
      <c r="I1482" s="99"/>
      <c r="J1482" s="99"/>
      <c r="K1482" s="99"/>
      <c r="L1482" s="99"/>
      <c r="M1482" s="99"/>
      <c r="N1482" s="99"/>
      <c r="O1482" s="99"/>
      <c r="P1482" s="99"/>
      <c r="Q1482" s="99"/>
      <c r="R1482" s="99"/>
      <c r="S1482" s="103"/>
      <c r="T1482" s="99"/>
      <c r="U1482" s="103"/>
      <c r="V1482" s="99"/>
      <c r="W1482" s="99"/>
      <c r="X1482" s="99"/>
      <c r="Y1482" s="99"/>
      <c r="Z1482" s="99"/>
      <c r="AA1482" s="99"/>
      <c r="AB1482" s="99"/>
      <c r="AC1482" s="99"/>
      <c r="AD1482" s="103"/>
      <c r="AE1482" s="99"/>
      <c r="AF1482" s="99"/>
      <c r="AG1482" s="99"/>
      <c r="AH1482" s="99"/>
      <c r="AI1482" s="99"/>
      <c r="AJ1482" s="99"/>
      <c r="AK1482" s="99"/>
      <c r="AL1482" s="99"/>
      <c r="AM1482" s="99"/>
      <c r="AN1482" s="99"/>
      <c r="AO1482" s="99"/>
      <c r="AP1482" s="1"/>
      <c r="AQ1482" s="1"/>
    </row>
    <row r="1483" ht="15.75" customHeight="1">
      <c r="A1483" s="1"/>
      <c r="B1483" s="1"/>
      <c r="C1483" s="1"/>
      <c r="D1483" s="1"/>
      <c r="E1483" s="1"/>
      <c r="F1483" s="1"/>
      <c r="G1483" s="1"/>
      <c r="H1483" s="99"/>
      <c r="I1483" s="99"/>
      <c r="J1483" s="99"/>
      <c r="K1483" s="99"/>
      <c r="L1483" s="99"/>
      <c r="M1483" s="99"/>
      <c r="N1483" s="99"/>
      <c r="O1483" s="99"/>
      <c r="P1483" s="99"/>
      <c r="Q1483" s="99"/>
      <c r="R1483" s="99"/>
      <c r="S1483" s="103"/>
      <c r="T1483" s="99"/>
      <c r="U1483" s="103"/>
      <c r="V1483" s="99"/>
      <c r="W1483" s="99"/>
      <c r="X1483" s="99"/>
      <c r="Y1483" s="99"/>
      <c r="Z1483" s="99"/>
      <c r="AA1483" s="99"/>
      <c r="AB1483" s="99"/>
      <c r="AC1483" s="99"/>
      <c r="AD1483" s="103"/>
      <c r="AE1483" s="99"/>
      <c r="AF1483" s="99"/>
      <c r="AG1483" s="99"/>
      <c r="AH1483" s="99"/>
      <c r="AI1483" s="99"/>
      <c r="AJ1483" s="99"/>
      <c r="AK1483" s="99"/>
      <c r="AL1483" s="99"/>
      <c r="AM1483" s="99"/>
      <c r="AN1483" s="99"/>
      <c r="AO1483" s="99"/>
      <c r="AP1483" s="1"/>
      <c r="AQ1483" s="1"/>
    </row>
    <row r="1484" ht="15.75" customHeight="1">
      <c r="A1484" s="1"/>
      <c r="B1484" s="1"/>
      <c r="C1484" s="1"/>
      <c r="D1484" s="1"/>
      <c r="E1484" s="1"/>
      <c r="F1484" s="1"/>
      <c r="G1484" s="1"/>
      <c r="H1484" s="99"/>
      <c r="I1484" s="99"/>
      <c r="J1484" s="99"/>
      <c r="K1484" s="99"/>
      <c r="L1484" s="99"/>
      <c r="M1484" s="99"/>
      <c r="N1484" s="99"/>
      <c r="O1484" s="99"/>
      <c r="P1484" s="99"/>
      <c r="Q1484" s="99"/>
      <c r="R1484" s="99"/>
      <c r="S1484" s="103"/>
      <c r="T1484" s="99"/>
      <c r="U1484" s="103"/>
      <c r="V1484" s="99"/>
      <c r="W1484" s="99"/>
      <c r="X1484" s="99"/>
      <c r="Y1484" s="99"/>
      <c r="Z1484" s="99"/>
      <c r="AA1484" s="99"/>
      <c r="AB1484" s="99"/>
      <c r="AC1484" s="99"/>
      <c r="AD1484" s="103"/>
      <c r="AE1484" s="99"/>
      <c r="AF1484" s="99"/>
      <c r="AG1484" s="99"/>
      <c r="AH1484" s="99"/>
      <c r="AI1484" s="99"/>
      <c r="AJ1484" s="99"/>
      <c r="AK1484" s="99"/>
      <c r="AL1484" s="99"/>
      <c r="AM1484" s="99"/>
      <c r="AN1484" s="99"/>
      <c r="AO1484" s="99"/>
      <c r="AP1484" s="1"/>
      <c r="AQ1484" s="1"/>
    </row>
    <row r="1485" ht="15.75" customHeight="1">
      <c r="A1485" s="1"/>
      <c r="B1485" s="1"/>
      <c r="C1485" s="1"/>
      <c r="D1485" s="1"/>
      <c r="E1485" s="1"/>
      <c r="F1485" s="1"/>
      <c r="G1485" s="1"/>
      <c r="H1485" s="99"/>
      <c r="I1485" s="99"/>
      <c r="J1485" s="99"/>
      <c r="K1485" s="99"/>
      <c r="L1485" s="99"/>
      <c r="M1485" s="99"/>
      <c r="N1485" s="99"/>
      <c r="O1485" s="99"/>
      <c r="P1485" s="99"/>
      <c r="Q1485" s="99"/>
      <c r="R1485" s="99"/>
      <c r="S1485" s="103"/>
      <c r="T1485" s="99"/>
      <c r="U1485" s="103"/>
      <c r="V1485" s="99"/>
      <c r="W1485" s="99"/>
      <c r="X1485" s="99"/>
      <c r="Y1485" s="99"/>
      <c r="Z1485" s="99"/>
      <c r="AA1485" s="99"/>
      <c r="AB1485" s="99"/>
      <c r="AC1485" s="99"/>
      <c r="AD1485" s="103"/>
      <c r="AE1485" s="99"/>
      <c r="AF1485" s="99"/>
      <c r="AG1485" s="99"/>
      <c r="AH1485" s="99"/>
      <c r="AI1485" s="99"/>
      <c r="AJ1485" s="99"/>
      <c r="AK1485" s="99"/>
      <c r="AL1485" s="99"/>
      <c r="AM1485" s="99"/>
      <c r="AN1485" s="99"/>
      <c r="AO1485" s="99"/>
      <c r="AP1485" s="1"/>
      <c r="AQ1485" s="1"/>
    </row>
    <row r="1486" ht="15.75" customHeight="1">
      <c r="A1486" s="1"/>
      <c r="B1486" s="1"/>
      <c r="C1486" s="1"/>
      <c r="D1486" s="1"/>
      <c r="E1486" s="1"/>
      <c r="F1486" s="1"/>
      <c r="G1486" s="1"/>
      <c r="H1486" s="99"/>
      <c r="I1486" s="99"/>
      <c r="J1486" s="99"/>
      <c r="K1486" s="99"/>
      <c r="L1486" s="99"/>
      <c r="M1486" s="99"/>
      <c r="N1486" s="99"/>
      <c r="O1486" s="99"/>
      <c r="P1486" s="99"/>
      <c r="Q1486" s="99"/>
      <c r="R1486" s="99"/>
      <c r="S1486" s="103"/>
      <c r="T1486" s="99"/>
      <c r="U1486" s="103"/>
      <c r="V1486" s="99"/>
      <c r="W1486" s="99"/>
      <c r="X1486" s="99"/>
      <c r="Y1486" s="99"/>
      <c r="Z1486" s="99"/>
      <c r="AA1486" s="99"/>
      <c r="AB1486" s="99"/>
      <c r="AC1486" s="99"/>
      <c r="AD1486" s="103"/>
      <c r="AE1486" s="99"/>
      <c r="AF1486" s="99"/>
      <c r="AG1486" s="99"/>
      <c r="AH1486" s="99"/>
      <c r="AI1486" s="99"/>
      <c r="AJ1486" s="99"/>
      <c r="AK1486" s="99"/>
      <c r="AL1486" s="99"/>
      <c r="AM1486" s="99"/>
      <c r="AN1486" s="99"/>
      <c r="AO1486" s="99"/>
      <c r="AP1486" s="1"/>
      <c r="AQ1486" s="1"/>
    </row>
    <row r="1487" ht="15.75" customHeight="1">
      <c r="A1487" s="1"/>
      <c r="B1487" s="1"/>
      <c r="C1487" s="1"/>
      <c r="D1487" s="1"/>
      <c r="E1487" s="1"/>
      <c r="F1487" s="1"/>
      <c r="G1487" s="1"/>
      <c r="H1487" s="99"/>
      <c r="I1487" s="99"/>
      <c r="J1487" s="99"/>
      <c r="K1487" s="99"/>
      <c r="L1487" s="99"/>
      <c r="M1487" s="99"/>
      <c r="N1487" s="99"/>
      <c r="O1487" s="99"/>
      <c r="P1487" s="99"/>
      <c r="Q1487" s="99"/>
      <c r="R1487" s="99"/>
      <c r="S1487" s="103"/>
      <c r="T1487" s="99"/>
      <c r="U1487" s="103"/>
      <c r="V1487" s="99"/>
      <c r="W1487" s="99"/>
      <c r="X1487" s="99"/>
      <c r="Y1487" s="99"/>
      <c r="Z1487" s="99"/>
      <c r="AA1487" s="99"/>
      <c r="AB1487" s="99"/>
      <c r="AC1487" s="99"/>
      <c r="AD1487" s="103"/>
      <c r="AE1487" s="99"/>
      <c r="AF1487" s="99"/>
      <c r="AG1487" s="99"/>
      <c r="AH1487" s="99"/>
      <c r="AI1487" s="99"/>
      <c r="AJ1487" s="99"/>
      <c r="AK1487" s="99"/>
      <c r="AL1487" s="99"/>
      <c r="AM1487" s="99"/>
      <c r="AN1487" s="99"/>
      <c r="AO1487" s="99"/>
      <c r="AP1487" s="1"/>
      <c r="AQ1487" s="1"/>
    </row>
    <row r="1488" ht="15.75" customHeight="1">
      <c r="A1488" s="1"/>
      <c r="B1488" s="1"/>
      <c r="C1488" s="1"/>
      <c r="D1488" s="1"/>
      <c r="E1488" s="1"/>
      <c r="F1488" s="1"/>
      <c r="G1488" s="1"/>
      <c r="H1488" s="99"/>
      <c r="I1488" s="99"/>
      <c r="J1488" s="99"/>
      <c r="K1488" s="99"/>
      <c r="L1488" s="99"/>
      <c r="M1488" s="99"/>
      <c r="N1488" s="99"/>
      <c r="O1488" s="99"/>
      <c r="P1488" s="99"/>
      <c r="Q1488" s="99"/>
      <c r="R1488" s="99"/>
      <c r="S1488" s="103"/>
      <c r="T1488" s="99"/>
      <c r="U1488" s="103"/>
      <c r="V1488" s="99"/>
      <c r="W1488" s="99"/>
      <c r="X1488" s="99"/>
      <c r="Y1488" s="99"/>
      <c r="Z1488" s="99"/>
      <c r="AA1488" s="99"/>
      <c r="AB1488" s="99"/>
      <c r="AC1488" s="99"/>
      <c r="AD1488" s="103"/>
      <c r="AE1488" s="99"/>
      <c r="AF1488" s="99"/>
      <c r="AG1488" s="99"/>
      <c r="AH1488" s="99"/>
      <c r="AI1488" s="99"/>
      <c r="AJ1488" s="99"/>
      <c r="AK1488" s="99"/>
      <c r="AL1488" s="99"/>
      <c r="AM1488" s="99"/>
      <c r="AN1488" s="99"/>
      <c r="AO1488" s="99"/>
      <c r="AP1488" s="1"/>
      <c r="AQ1488" s="1"/>
    </row>
    <row r="1489" ht="15.75" customHeight="1">
      <c r="A1489" s="1"/>
      <c r="B1489" s="1"/>
      <c r="C1489" s="1"/>
      <c r="D1489" s="1"/>
      <c r="E1489" s="1"/>
      <c r="F1489" s="1"/>
      <c r="G1489" s="1"/>
      <c r="H1489" s="99"/>
      <c r="I1489" s="99"/>
      <c r="J1489" s="99"/>
      <c r="K1489" s="99"/>
      <c r="L1489" s="99"/>
      <c r="M1489" s="99"/>
      <c r="N1489" s="99"/>
      <c r="O1489" s="99"/>
      <c r="P1489" s="99"/>
      <c r="Q1489" s="99"/>
      <c r="R1489" s="99"/>
      <c r="S1489" s="103"/>
      <c r="T1489" s="99"/>
      <c r="U1489" s="103"/>
      <c r="V1489" s="99"/>
      <c r="W1489" s="99"/>
      <c r="X1489" s="99"/>
      <c r="Y1489" s="99"/>
      <c r="Z1489" s="99"/>
      <c r="AA1489" s="99"/>
      <c r="AB1489" s="99"/>
      <c r="AC1489" s="99"/>
      <c r="AD1489" s="103"/>
      <c r="AE1489" s="99"/>
      <c r="AF1489" s="99"/>
      <c r="AG1489" s="99"/>
      <c r="AH1489" s="99"/>
      <c r="AI1489" s="99"/>
      <c r="AJ1489" s="99"/>
      <c r="AK1489" s="99"/>
      <c r="AL1489" s="99"/>
      <c r="AM1489" s="99"/>
      <c r="AN1489" s="99"/>
      <c r="AO1489" s="99"/>
      <c r="AP1489" s="1"/>
      <c r="AQ1489" s="1"/>
    </row>
    <row r="1490" ht="15.75" customHeight="1">
      <c r="A1490" s="1"/>
      <c r="B1490" s="1"/>
      <c r="C1490" s="1"/>
      <c r="D1490" s="1"/>
      <c r="E1490" s="1"/>
      <c r="F1490" s="1"/>
      <c r="G1490" s="1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103"/>
      <c r="T1490" s="99"/>
      <c r="U1490" s="103"/>
      <c r="V1490" s="99"/>
      <c r="W1490" s="99"/>
      <c r="X1490" s="99"/>
      <c r="Y1490" s="99"/>
      <c r="Z1490" s="99"/>
      <c r="AA1490" s="99"/>
      <c r="AB1490" s="99"/>
      <c r="AC1490" s="99"/>
      <c r="AD1490" s="103"/>
      <c r="AE1490" s="99"/>
      <c r="AF1490" s="99"/>
      <c r="AG1490" s="99"/>
      <c r="AH1490" s="99"/>
      <c r="AI1490" s="99"/>
      <c r="AJ1490" s="99"/>
      <c r="AK1490" s="99"/>
      <c r="AL1490" s="99"/>
      <c r="AM1490" s="99"/>
      <c r="AN1490" s="99"/>
      <c r="AO1490" s="99"/>
      <c r="AP1490" s="1"/>
      <c r="AQ1490" s="1"/>
    </row>
    <row r="1491" ht="15.75" customHeight="1">
      <c r="A1491" s="1"/>
      <c r="B1491" s="1"/>
      <c r="C1491" s="1"/>
      <c r="D1491" s="1"/>
      <c r="E1491" s="1"/>
      <c r="F1491" s="1"/>
      <c r="G1491" s="1"/>
      <c r="H1491" s="99"/>
      <c r="I1491" s="99"/>
      <c r="J1491" s="99"/>
      <c r="K1491" s="99"/>
      <c r="L1491" s="99"/>
      <c r="M1491" s="99"/>
      <c r="N1491" s="99"/>
      <c r="O1491" s="99"/>
      <c r="P1491" s="99"/>
      <c r="Q1491" s="99"/>
      <c r="R1491" s="99"/>
      <c r="S1491" s="103"/>
      <c r="T1491" s="99"/>
      <c r="U1491" s="103"/>
      <c r="V1491" s="99"/>
      <c r="W1491" s="99"/>
      <c r="X1491" s="99"/>
      <c r="Y1491" s="99"/>
      <c r="Z1491" s="99"/>
      <c r="AA1491" s="99"/>
      <c r="AB1491" s="99"/>
      <c r="AC1491" s="99"/>
      <c r="AD1491" s="103"/>
      <c r="AE1491" s="99"/>
      <c r="AF1491" s="99"/>
      <c r="AG1491" s="99"/>
      <c r="AH1491" s="99"/>
      <c r="AI1491" s="99"/>
      <c r="AJ1491" s="99"/>
      <c r="AK1491" s="99"/>
      <c r="AL1491" s="99"/>
      <c r="AM1491" s="99"/>
      <c r="AN1491" s="99"/>
      <c r="AO1491" s="99"/>
      <c r="AP1491" s="1"/>
      <c r="AQ1491" s="1"/>
    </row>
    <row r="1492" ht="15.75" customHeight="1">
      <c r="A1492" s="1"/>
      <c r="B1492" s="1"/>
      <c r="C1492" s="1"/>
      <c r="D1492" s="1"/>
      <c r="E1492" s="1"/>
      <c r="F1492" s="1"/>
      <c r="G1492" s="1"/>
      <c r="H1492" s="99"/>
      <c r="I1492" s="99"/>
      <c r="J1492" s="99"/>
      <c r="K1492" s="99"/>
      <c r="L1492" s="99"/>
      <c r="M1492" s="99"/>
      <c r="N1492" s="99"/>
      <c r="O1492" s="99"/>
      <c r="P1492" s="99"/>
      <c r="Q1492" s="99"/>
      <c r="R1492" s="99"/>
      <c r="S1492" s="103"/>
      <c r="T1492" s="99"/>
      <c r="U1492" s="103"/>
      <c r="V1492" s="99"/>
      <c r="W1492" s="99"/>
      <c r="X1492" s="99"/>
      <c r="Y1492" s="99"/>
      <c r="Z1492" s="99"/>
      <c r="AA1492" s="99"/>
      <c r="AB1492" s="99"/>
      <c r="AC1492" s="99"/>
      <c r="AD1492" s="103"/>
      <c r="AE1492" s="99"/>
      <c r="AF1492" s="99"/>
      <c r="AG1492" s="99"/>
      <c r="AH1492" s="99"/>
      <c r="AI1492" s="99"/>
      <c r="AJ1492" s="99"/>
      <c r="AK1492" s="99"/>
      <c r="AL1492" s="99"/>
      <c r="AM1492" s="99"/>
      <c r="AN1492" s="99"/>
      <c r="AO1492" s="99"/>
      <c r="AP1492" s="1"/>
      <c r="AQ1492" s="1"/>
    </row>
    <row r="1493" ht="15.75" customHeight="1">
      <c r="A1493" s="1"/>
      <c r="B1493" s="1"/>
      <c r="C1493" s="1"/>
      <c r="D1493" s="1"/>
      <c r="E1493" s="1"/>
      <c r="F1493" s="1"/>
      <c r="G1493" s="1"/>
      <c r="H1493" s="99"/>
      <c r="I1493" s="99"/>
      <c r="J1493" s="99"/>
      <c r="K1493" s="99"/>
      <c r="L1493" s="99"/>
      <c r="M1493" s="99"/>
      <c r="N1493" s="99"/>
      <c r="O1493" s="99"/>
      <c r="P1493" s="99"/>
      <c r="Q1493" s="99"/>
      <c r="R1493" s="99"/>
      <c r="S1493" s="103"/>
      <c r="T1493" s="99"/>
      <c r="U1493" s="103"/>
      <c r="V1493" s="99"/>
      <c r="W1493" s="99"/>
      <c r="X1493" s="99"/>
      <c r="Y1493" s="99"/>
      <c r="Z1493" s="99"/>
      <c r="AA1493" s="99"/>
      <c r="AB1493" s="99"/>
      <c r="AC1493" s="99"/>
      <c r="AD1493" s="103"/>
      <c r="AE1493" s="99"/>
      <c r="AF1493" s="99"/>
      <c r="AG1493" s="99"/>
      <c r="AH1493" s="99"/>
      <c r="AI1493" s="99"/>
      <c r="AJ1493" s="99"/>
      <c r="AK1493" s="99"/>
      <c r="AL1493" s="99"/>
      <c r="AM1493" s="99"/>
      <c r="AN1493" s="99"/>
      <c r="AO1493" s="99"/>
      <c r="AP1493" s="1"/>
      <c r="AQ1493" s="1"/>
    </row>
    <row r="1494" ht="15.75" customHeight="1">
      <c r="A1494" s="1"/>
      <c r="B1494" s="1"/>
      <c r="C1494" s="1"/>
      <c r="D1494" s="1"/>
      <c r="E1494" s="1"/>
      <c r="F1494" s="1"/>
      <c r="G1494" s="1"/>
      <c r="H1494" s="99"/>
      <c r="I1494" s="99"/>
      <c r="J1494" s="99"/>
      <c r="K1494" s="99"/>
      <c r="L1494" s="99"/>
      <c r="M1494" s="99"/>
      <c r="N1494" s="99"/>
      <c r="O1494" s="99"/>
      <c r="P1494" s="99"/>
      <c r="Q1494" s="99"/>
      <c r="R1494" s="99"/>
      <c r="S1494" s="103"/>
      <c r="T1494" s="99"/>
      <c r="U1494" s="103"/>
      <c r="V1494" s="99"/>
      <c r="W1494" s="99"/>
      <c r="X1494" s="99"/>
      <c r="Y1494" s="99"/>
      <c r="Z1494" s="99"/>
      <c r="AA1494" s="99"/>
      <c r="AB1494" s="99"/>
      <c r="AC1494" s="99"/>
      <c r="AD1494" s="103"/>
      <c r="AE1494" s="99"/>
      <c r="AF1494" s="99"/>
      <c r="AG1494" s="99"/>
      <c r="AH1494" s="99"/>
      <c r="AI1494" s="99"/>
      <c r="AJ1494" s="99"/>
      <c r="AK1494" s="99"/>
      <c r="AL1494" s="99"/>
      <c r="AM1494" s="99"/>
      <c r="AN1494" s="99"/>
      <c r="AO1494" s="99"/>
      <c r="AP1494" s="1"/>
      <c r="AQ1494" s="1"/>
    </row>
    <row r="1495" ht="15.75" customHeight="1">
      <c r="A1495" s="1"/>
      <c r="B1495" s="1"/>
      <c r="C1495" s="1"/>
      <c r="D1495" s="1"/>
      <c r="E1495" s="1"/>
      <c r="F1495" s="1"/>
      <c r="G1495" s="1"/>
      <c r="H1495" s="99"/>
      <c r="I1495" s="99"/>
      <c r="J1495" s="99"/>
      <c r="K1495" s="99"/>
      <c r="L1495" s="99"/>
      <c r="M1495" s="99"/>
      <c r="N1495" s="99"/>
      <c r="O1495" s="99"/>
      <c r="P1495" s="99"/>
      <c r="Q1495" s="99"/>
      <c r="R1495" s="99"/>
      <c r="S1495" s="103"/>
      <c r="T1495" s="99"/>
      <c r="U1495" s="103"/>
      <c r="V1495" s="99"/>
      <c r="W1495" s="99"/>
      <c r="X1495" s="99"/>
      <c r="Y1495" s="99"/>
      <c r="Z1495" s="99"/>
      <c r="AA1495" s="99"/>
      <c r="AB1495" s="99"/>
      <c r="AC1495" s="99"/>
      <c r="AD1495" s="103"/>
      <c r="AE1495" s="99"/>
      <c r="AF1495" s="99"/>
      <c r="AG1495" s="99"/>
      <c r="AH1495" s="99"/>
      <c r="AI1495" s="99"/>
      <c r="AJ1495" s="99"/>
      <c r="AK1495" s="99"/>
      <c r="AL1495" s="99"/>
      <c r="AM1495" s="99"/>
      <c r="AN1495" s="99"/>
      <c r="AO1495" s="99"/>
      <c r="AP1495" s="1"/>
      <c r="AQ1495" s="1"/>
    </row>
    <row r="1496" ht="15.75" customHeight="1">
      <c r="A1496" s="1"/>
      <c r="B1496" s="1"/>
      <c r="C1496" s="1"/>
      <c r="D1496" s="1"/>
      <c r="E1496" s="1"/>
      <c r="F1496" s="1"/>
      <c r="G1496" s="1"/>
      <c r="H1496" s="99"/>
      <c r="I1496" s="99"/>
      <c r="J1496" s="99"/>
      <c r="K1496" s="99"/>
      <c r="L1496" s="99"/>
      <c r="M1496" s="99"/>
      <c r="N1496" s="99"/>
      <c r="O1496" s="99"/>
      <c r="P1496" s="99"/>
      <c r="Q1496" s="99"/>
      <c r="R1496" s="99"/>
      <c r="S1496" s="103"/>
      <c r="T1496" s="99"/>
      <c r="U1496" s="103"/>
      <c r="V1496" s="99"/>
      <c r="W1496" s="99"/>
      <c r="X1496" s="99"/>
      <c r="Y1496" s="99"/>
      <c r="Z1496" s="99"/>
      <c r="AA1496" s="99"/>
      <c r="AB1496" s="99"/>
      <c r="AC1496" s="99"/>
      <c r="AD1496" s="103"/>
      <c r="AE1496" s="99"/>
      <c r="AF1496" s="99"/>
      <c r="AG1496" s="99"/>
      <c r="AH1496" s="99"/>
      <c r="AI1496" s="99"/>
      <c r="AJ1496" s="99"/>
      <c r="AK1496" s="99"/>
      <c r="AL1496" s="99"/>
      <c r="AM1496" s="99"/>
      <c r="AN1496" s="99"/>
      <c r="AO1496" s="99"/>
      <c r="AP1496" s="1"/>
      <c r="AQ1496" s="1"/>
    </row>
    <row r="1497" ht="15.75" customHeight="1">
      <c r="A1497" s="1"/>
      <c r="B1497" s="1"/>
      <c r="C1497" s="1"/>
      <c r="D1497" s="1"/>
      <c r="E1497" s="1"/>
      <c r="F1497" s="1"/>
      <c r="G1497" s="1"/>
      <c r="H1497" s="99"/>
      <c r="I1497" s="99"/>
      <c r="J1497" s="99"/>
      <c r="K1497" s="99"/>
      <c r="L1497" s="99"/>
      <c r="M1497" s="99"/>
      <c r="N1497" s="99"/>
      <c r="O1497" s="99"/>
      <c r="P1497" s="99"/>
      <c r="Q1497" s="99"/>
      <c r="R1497" s="99"/>
      <c r="S1497" s="103"/>
      <c r="T1497" s="99"/>
      <c r="U1497" s="103"/>
      <c r="V1497" s="99"/>
      <c r="W1497" s="99"/>
      <c r="X1497" s="99"/>
      <c r="Y1497" s="99"/>
      <c r="Z1497" s="99"/>
      <c r="AA1497" s="99"/>
      <c r="AB1497" s="99"/>
      <c r="AC1497" s="99"/>
      <c r="AD1497" s="103"/>
      <c r="AE1497" s="99"/>
      <c r="AF1497" s="99"/>
      <c r="AG1497" s="99"/>
      <c r="AH1497" s="99"/>
      <c r="AI1497" s="99"/>
      <c r="AJ1497" s="99"/>
      <c r="AK1497" s="99"/>
      <c r="AL1497" s="99"/>
      <c r="AM1497" s="99"/>
      <c r="AN1497" s="99"/>
      <c r="AO1497" s="99"/>
      <c r="AP1497" s="1"/>
      <c r="AQ1497" s="1"/>
    </row>
    <row r="1498" ht="15.75" customHeight="1">
      <c r="A1498" s="1"/>
      <c r="B1498" s="1"/>
      <c r="C1498" s="1"/>
      <c r="D1498" s="1"/>
      <c r="E1498" s="1"/>
      <c r="F1498" s="1"/>
      <c r="G1498" s="1"/>
      <c r="H1498" s="99"/>
      <c r="I1498" s="99"/>
      <c r="J1498" s="99"/>
      <c r="K1498" s="99"/>
      <c r="L1498" s="99"/>
      <c r="M1498" s="99"/>
      <c r="N1498" s="99"/>
      <c r="O1498" s="99"/>
      <c r="P1498" s="99"/>
      <c r="Q1498" s="99"/>
      <c r="R1498" s="99"/>
      <c r="S1498" s="103"/>
      <c r="T1498" s="99"/>
      <c r="U1498" s="103"/>
      <c r="V1498" s="99"/>
      <c r="W1498" s="99"/>
      <c r="X1498" s="99"/>
      <c r="Y1498" s="99"/>
      <c r="Z1498" s="99"/>
      <c r="AA1498" s="99"/>
      <c r="AB1498" s="99"/>
      <c r="AC1498" s="99"/>
      <c r="AD1498" s="103"/>
      <c r="AE1498" s="99"/>
      <c r="AF1498" s="99"/>
      <c r="AG1498" s="99"/>
      <c r="AH1498" s="99"/>
      <c r="AI1498" s="99"/>
      <c r="AJ1498" s="99"/>
      <c r="AK1498" s="99"/>
      <c r="AL1498" s="99"/>
      <c r="AM1498" s="99"/>
      <c r="AN1498" s="99"/>
      <c r="AO1498" s="99"/>
      <c r="AP1498" s="1"/>
      <c r="AQ1498" s="1"/>
    </row>
    <row r="1499" ht="15.75" customHeight="1">
      <c r="A1499" s="1"/>
      <c r="B1499" s="1"/>
      <c r="C1499" s="1"/>
      <c r="D1499" s="1"/>
      <c r="E1499" s="1"/>
      <c r="F1499" s="1"/>
      <c r="G1499" s="1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103"/>
      <c r="T1499" s="99"/>
      <c r="U1499" s="103"/>
      <c r="V1499" s="99"/>
      <c r="W1499" s="99"/>
      <c r="X1499" s="99"/>
      <c r="Y1499" s="99"/>
      <c r="Z1499" s="99"/>
      <c r="AA1499" s="99"/>
      <c r="AB1499" s="99"/>
      <c r="AC1499" s="99"/>
      <c r="AD1499" s="103"/>
      <c r="AE1499" s="99"/>
      <c r="AF1499" s="99"/>
      <c r="AG1499" s="99"/>
      <c r="AH1499" s="99"/>
      <c r="AI1499" s="99"/>
      <c r="AJ1499" s="99"/>
      <c r="AK1499" s="99"/>
      <c r="AL1499" s="99"/>
      <c r="AM1499" s="99"/>
      <c r="AN1499" s="99"/>
      <c r="AO1499" s="99"/>
      <c r="AP1499" s="1"/>
      <c r="AQ1499" s="1"/>
    </row>
    <row r="1500" ht="15.75" customHeight="1">
      <c r="A1500" s="1"/>
      <c r="B1500" s="1"/>
      <c r="C1500" s="1"/>
      <c r="D1500" s="1"/>
      <c r="E1500" s="1"/>
      <c r="F1500" s="1"/>
      <c r="G1500" s="1"/>
      <c r="H1500" s="99"/>
      <c r="I1500" s="99"/>
      <c r="J1500" s="99"/>
      <c r="K1500" s="99"/>
      <c r="L1500" s="99"/>
      <c r="M1500" s="99"/>
      <c r="N1500" s="99"/>
      <c r="O1500" s="99"/>
      <c r="P1500" s="99"/>
      <c r="Q1500" s="99"/>
      <c r="R1500" s="99"/>
      <c r="S1500" s="103"/>
      <c r="T1500" s="99"/>
      <c r="U1500" s="103"/>
      <c r="V1500" s="99"/>
      <c r="W1500" s="99"/>
      <c r="X1500" s="99"/>
      <c r="Y1500" s="99"/>
      <c r="Z1500" s="99"/>
      <c r="AA1500" s="99"/>
      <c r="AB1500" s="99"/>
      <c r="AC1500" s="99"/>
      <c r="AD1500" s="103"/>
      <c r="AE1500" s="99"/>
      <c r="AF1500" s="99"/>
      <c r="AG1500" s="99"/>
      <c r="AH1500" s="99"/>
      <c r="AI1500" s="99"/>
      <c r="AJ1500" s="99"/>
      <c r="AK1500" s="99"/>
      <c r="AL1500" s="99"/>
      <c r="AM1500" s="99"/>
      <c r="AN1500" s="99"/>
      <c r="AO1500" s="99"/>
      <c r="AP1500" s="1"/>
      <c r="AQ1500" s="1"/>
    </row>
    <row r="1501" ht="15.75" customHeight="1">
      <c r="A1501" s="1"/>
      <c r="B1501" s="1"/>
      <c r="C1501" s="1"/>
      <c r="D1501" s="1"/>
      <c r="E1501" s="1"/>
      <c r="F1501" s="1"/>
      <c r="G1501" s="1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103"/>
      <c r="T1501" s="99"/>
      <c r="U1501" s="103"/>
      <c r="V1501" s="99"/>
      <c r="W1501" s="99"/>
      <c r="X1501" s="99"/>
      <c r="Y1501" s="99"/>
      <c r="Z1501" s="99"/>
      <c r="AA1501" s="99"/>
      <c r="AB1501" s="99"/>
      <c r="AC1501" s="99"/>
      <c r="AD1501" s="103"/>
      <c r="AE1501" s="99"/>
      <c r="AF1501" s="99"/>
      <c r="AG1501" s="99"/>
      <c r="AH1501" s="99"/>
      <c r="AI1501" s="99"/>
      <c r="AJ1501" s="99"/>
      <c r="AK1501" s="99"/>
      <c r="AL1501" s="99"/>
      <c r="AM1501" s="99"/>
      <c r="AN1501" s="99"/>
      <c r="AO1501" s="99"/>
      <c r="AP1501" s="1"/>
      <c r="AQ1501" s="1"/>
    </row>
    <row r="1502" ht="15.75" customHeight="1">
      <c r="A1502" s="1"/>
      <c r="B1502" s="1"/>
      <c r="C1502" s="1"/>
      <c r="D1502" s="1"/>
      <c r="E1502" s="1"/>
      <c r="F1502" s="1"/>
      <c r="G1502" s="1"/>
      <c r="H1502" s="99"/>
      <c r="I1502" s="99"/>
      <c r="J1502" s="99"/>
      <c r="K1502" s="99"/>
      <c r="L1502" s="99"/>
      <c r="M1502" s="99"/>
      <c r="N1502" s="99"/>
      <c r="O1502" s="99"/>
      <c r="P1502" s="99"/>
      <c r="Q1502" s="99"/>
      <c r="R1502" s="99"/>
      <c r="S1502" s="103"/>
      <c r="T1502" s="99"/>
      <c r="U1502" s="103"/>
      <c r="V1502" s="99"/>
      <c r="W1502" s="99"/>
      <c r="X1502" s="99"/>
      <c r="Y1502" s="99"/>
      <c r="Z1502" s="99"/>
      <c r="AA1502" s="99"/>
      <c r="AB1502" s="99"/>
      <c r="AC1502" s="99"/>
      <c r="AD1502" s="103"/>
      <c r="AE1502" s="99"/>
      <c r="AF1502" s="99"/>
      <c r="AG1502" s="99"/>
      <c r="AH1502" s="99"/>
      <c r="AI1502" s="99"/>
      <c r="AJ1502" s="99"/>
      <c r="AK1502" s="99"/>
      <c r="AL1502" s="99"/>
      <c r="AM1502" s="99"/>
      <c r="AN1502" s="99"/>
      <c r="AO1502" s="99"/>
      <c r="AP1502" s="1"/>
      <c r="AQ1502" s="1"/>
    </row>
    <row r="1503" ht="15.75" customHeight="1">
      <c r="A1503" s="1"/>
      <c r="B1503" s="1"/>
      <c r="C1503" s="1"/>
      <c r="D1503" s="1"/>
      <c r="E1503" s="1"/>
      <c r="F1503" s="1"/>
      <c r="G1503" s="1"/>
      <c r="H1503" s="99"/>
      <c r="I1503" s="99"/>
      <c r="J1503" s="99"/>
      <c r="K1503" s="99"/>
      <c r="L1503" s="99"/>
      <c r="M1503" s="99"/>
      <c r="N1503" s="99"/>
      <c r="O1503" s="99"/>
      <c r="P1503" s="99"/>
      <c r="Q1503" s="99"/>
      <c r="R1503" s="99"/>
      <c r="S1503" s="103"/>
      <c r="T1503" s="99"/>
      <c r="U1503" s="103"/>
      <c r="V1503" s="99"/>
      <c r="W1503" s="99"/>
      <c r="X1503" s="99"/>
      <c r="Y1503" s="99"/>
      <c r="Z1503" s="99"/>
      <c r="AA1503" s="99"/>
      <c r="AB1503" s="99"/>
      <c r="AC1503" s="99"/>
      <c r="AD1503" s="103"/>
      <c r="AE1503" s="99"/>
      <c r="AF1503" s="99"/>
      <c r="AG1503" s="99"/>
      <c r="AH1503" s="99"/>
      <c r="AI1503" s="99"/>
      <c r="AJ1503" s="99"/>
      <c r="AK1503" s="99"/>
      <c r="AL1503" s="99"/>
      <c r="AM1503" s="99"/>
      <c r="AN1503" s="99"/>
      <c r="AO1503" s="99"/>
      <c r="AP1503" s="1"/>
      <c r="AQ1503" s="1"/>
    </row>
    <row r="1504" ht="15.75" customHeight="1">
      <c r="A1504" s="1"/>
      <c r="B1504" s="1"/>
      <c r="C1504" s="1"/>
      <c r="D1504" s="1"/>
      <c r="E1504" s="1"/>
      <c r="F1504" s="1"/>
      <c r="G1504" s="1"/>
      <c r="H1504" s="99"/>
      <c r="I1504" s="99"/>
      <c r="J1504" s="99"/>
      <c r="K1504" s="99"/>
      <c r="L1504" s="99"/>
      <c r="M1504" s="99"/>
      <c r="N1504" s="99"/>
      <c r="O1504" s="99"/>
      <c r="P1504" s="99"/>
      <c r="Q1504" s="99"/>
      <c r="R1504" s="99"/>
      <c r="S1504" s="103"/>
      <c r="T1504" s="99"/>
      <c r="U1504" s="103"/>
      <c r="V1504" s="99"/>
      <c r="W1504" s="99"/>
      <c r="X1504" s="99"/>
      <c r="Y1504" s="99"/>
      <c r="Z1504" s="99"/>
      <c r="AA1504" s="99"/>
      <c r="AB1504" s="99"/>
      <c r="AC1504" s="99"/>
      <c r="AD1504" s="103"/>
      <c r="AE1504" s="99"/>
      <c r="AF1504" s="99"/>
      <c r="AG1504" s="99"/>
      <c r="AH1504" s="99"/>
      <c r="AI1504" s="99"/>
      <c r="AJ1504" s="99"/>
      <c r="AK1504" s="99"/>
      <c r="AL1504" s="99"/>
      <c r="AM1504" s="99"/>
      <c r="AN1504" s="99"/>
      <c r="AO1504" s="99"/>
      <c r="AP1504" s="1"/>
      <c r="AQ1504" s="1"/>
    </row>
    <row r="1505" ht="15.75" customHeight="1">
      <c r="A1505" s="1"/>
      <c r="B1505" s="1"/>
      <c r="C1505" s="1"/>
      <c r="D1505" s="1"/>
      <c r="E1505" s="1"/>
      <c r="F1505" s="1"/>
      <c r="G1505" s="1"/>
      <c r="H1505" s="99"/>
      <c r="I1505" s="99"/>
      <c r="J1505" s="99"/>
      <c r="K1505" s="99"/>
      <c r="L1505" s="99"/>
      <c r="M1505" s="99"/>
      <c r="N1505" s="99"/>
      <c r="O1505" s="99"/>
      <c r="P1505" s="99"/>
      <c r="Q1505" s="99"/>
      <c r="R1505" s="99"/>
      <c r="S1505" s="103"/>
      <c r="T1505" s="99"/>
      <c r="U1505" s="103"/>
      <c r="V1505" s="99"/>
      <c r="W1505" s="99"/>
      <c r="X1505" s="99"/>
      <c r="Y1505" s="99"/>
      <c r="Z1505" s="99"/>
      <c r="AA1505" s="99"/>
      <c r="AB1505" s="99"/>
      <c r="AC1505" s="99"/>
      <c r="AD1505" s="103"/>
      <c r="AE1505" s="99"/>
      <c r="AF1505" s="99"/>
      <c r="AG1505" s="99"/>
      <c r="AH1505" s="99"/>
      <c r="AI1505" s="99"/>
      <c r="AJ1505" s="99"/>
      <c r="AK1505" s="99"/>
      <c r="AL1505" s="99"/>
      <c r="AM1505" s="99"/>
      <c r="AN1505" s="99"/>
      <c r="AO1505" s="99"/>
      <c r="AP1505" s="1"/>
      <c r="AQ1505" s="1"/>
    </row>
    <row r="1506" ht="15.75" customHeight="1">
      <c r="A1506" s="1"/>
      <c r="B1506" s="1"/>
      <c r="C1506" s="1"/>
      <c r="D1506" s="1"/>
      <c r="E1506" s="1"/>
      <c r="F1506" s="1"/>
      <c r="G1506" s="1"/>
      <c r="H1506" s="99"/>
      <c r="I1506" s="99"/>
      <c r="J1506" s="99"/>
      <c r="K1506" s="99"/>
      <c r="L1506" s="99"/>
      <c r="M1506" s="99"/>
      <c r="N1506" s="99"/>
      <c r="O1506" s="99"/>
      <c r="P1506" s="99"/>
      <c r="Q1506" s="99"/>
      <c r="R1506" s="99"/>
      <c r="S1506" s="103"/>
      <c r="T1506" s="99"/>
      <c r="U1506" s="103"/>
      <c r="V1506" s="99"/>
      <c r="W1506" s="99"/>
      <c r="X1506" s="99"/>
      <c r="Y1506" s="99"/>
      <c r="Z1506" s="99"/>
      <c r="AA1506" s="99"/>
      <c r="AB1506" s="99"/>
      <c r="AC1506" s="99"/>
      <c r="AD1506" s="103"/>
      <c r="AE1506" s="99"/>
      <c r="AF1506" s="99"/>
      <c r="AG1506" s="99"/>
      <c r="AH1506" s="99"/>
      <c r="AI1506" s="99"/>
      <c r="AJ1506" s="99"/>
      <c r="AK1506" s="99"/>
      <c r="AL1506" s="99"/>
      <c r="AM1506" s="99"/>
      <c r="AN1506" s="99"/>
      <c r="AO1506" s="99"/>
      <c r="AP1506" s="1"/>
      <c r="AQ1506" s="1"/>
    </row>
    <row r="1507" ht="15.75" customHeight="1">
      <c r="A1507" s="1"/>
      <c r="B1507" s="1"/>
      <c r="C1507" s="1"/>
      <c r="D1507" s="1"/>
      <c r="E1507" s="1"/>
      <c r="F1507" s="1"/>
      <c r="G1507" s="1"/>
      <c r="H1507" s="99"/>
      <c r="I1507" s="99"/>
      <c r="J1507" s="99"/>
      <c r="K1507" s="99"/>
      <c r="L1507" s="99"/>
      <c r="M1507" s="99"/>
      <c r="N1507" s="99"/>
      <c r="O1507" s="99"/>
      <c r="P1507" s="99"/>
      <c r="Q1507" s="99"/>
      <c r="R1507" s="99"/>
      <c r="S1507" s="103"/>
      <c r="T1507" s="99"/>
      <c r="U1507" s="103"/>
      <c r="V1507" s="99"/>
      <c r="W1507" s="99"/>
      <c r="X1507" s="99"/>
      <c r="Y1507" s="99"/>
      <c r="Z1507" s="99"/>
      <c r="AA1507" s="99"/>
      <c r="AB1507" s="99"/>
      <c r="AC1507" s="99"/>
      <c r="AD1507" s="103"/>
      <c r="AE1507" s="99"/>
      <c r="AF1507" s="99"/>
      <c r="AG1507" s="99"/>
      <c r="AH1507" s="99"/>
      <c r="AI1507" s="99"/>
      <c r="AJ1507" s="99"/>
      <c r="AK1507" s="99"/>
      <c r="AL1507" s="99"/>
      <c r="AM1507" s="99"/>
      <c r="AN1507" s="99"/>
      <c r="AO1507" s="99"/>
      <c r="AP1507" s="1"/>
      <c r="AQ1507" s="1"/>
    </row>
    <row r="1508" ht="15.75" customHeight="1">
      <c r="A1508" s="1"/>
      <c r="B1508" s="1"/>
      <c r="C1508" s="1"/>
      <c r="D1508" s="1"/>
      <c r="E1508" s="1"/>
      <c r="F1508" s="1"/>
      <c r="G1508" s="1"/>
      <c r="H1508" s="99"/>
      <c r="I1508" s="99"/>
      <c r="J1508" s="99"/>
      <c r="K1508" s="99"/>
      <c r="L1508" s="99"/>
      <c r="M1508" s="99"/>
      <c r="N1508" s="99"/>
      <c r="O1508" s="99"/>
      <c r="P1508" s="99"/>
      <c r="Q1508" s="99"/>
      <c r="R1508" s="99"/>
      <c r="S1508" s="103"/>
      <c r="T1508" s="99"/>
      <c r="U1508" s="103"/>
      <c r="V1508" s="99"/>
      <c r="W1508" s="99"/>
      <c r="X1508" s="99"/>
      <c r="Y1508" s="99"/>
      <c r="Z1508" s="99"/>
      <c r="AA1508" s="99"/>
      <c r="AB1508" s="99"/>
      <c r="AC1508" s="99"/>
      <c r="AD1508" s="103"/>
      <c r="AE1508" s="99"/>
      <c r="AF1508" s="99"/>
      <c r="AG1508" s="99"/>
      <c r="AH1508" s="99"/>
      <c r="AI1508" s="99"/>
      <c r="AJ1508" s="99"/>
      <c r="AK1508" s="99"/>
      <c r="AL1508" s="99"/>
      <c r="AM1508" s="99"/>
      <c r="AN1508" s="99"/>
      <c r="AO1508" s="99"/>
      <c r="AP1508" s="1"/>
      <c r="AQ1508" s="1"/>
    </row>
    <row r="1509" ht="15.75" customHeight="1">
      <c r="A1509" s="1"/>
      <c r="B1509" s="1"/>
      <c r="C1509" s="1"/>
      <c r="D1509" s="1"/>
      <c r="E1509" s="1"/>
      <c r="F1509" s="1"/>
      <c r="G1509" s="1"/>
      <c r="H1509" s="99"/>
      <c r="I1509" s="99"/>
      <c r="J1509" s="99"/>
      <c r="K1509" s="99"/>
      <c r="L1509" s="99"/>
      <c r="M1509" s="99"/>
      <c r="N1509" s="99"/>
      <c r="O1509" s="99"/>
      <c r="P1509" s="99"/>
      <c r="Q1509" s="99"/>
      <c r="R1509" s="99"/>
      <c r="S1509" s="103"/>
      <c r="T1509" s="99"/>
      <c r="U1509" s="103"/>
      <c r="V1509" s="99"/>
      <c r="W1509" s="99"/>
      <c r="X1509" s="99"/>
      <c r="Y1509" s="99"/>
      <c r="Z1509" s="99"/>
      <c r="AA1509" s="99"/>
      <c r="AB1509" s="99"/>
      <c r="AC1509" s="99"/>
      <c r="AD1509" s="103"/>
      <c r="AE1509" s="99"/>
      <c r="AF1509" s="99"/>
      <c r="AG1509" s="99"/>
      <c r="AH1509" s="99"/>
      <c r="AI1509" s="99"/>
      <c r="AJ1509" s="99"/>
      <c r="AK1509" s="99"/>
      <c r="AL1509" s="99"/>
      <c r="AM1509" s="99"/>
      <c r="AN1509" s="99"/>
      <c r="AO1509" s="99"/>
      <c r="AP1509" s="1"/>
      <c r="AQ1509" s="1"/>
    </row>
    <row r="1510" ht="15.75" customHeight="1">
      <c r="A1510" s="1"/>
      <c r="B1510" s="1"/>
      <c r="C1510" s="1"/>
      <c r="D1510" s="1"/>
      <c r="E1510" s="1"/>
      <c r="F1510" s="1"/>
      <c r="G1510" s="1"/>
      <c r="H1510" s="99"/>
      <c r="I1510" s="99"/>
      <c r="J1510" s="99"/>
      <c r="K1510" s="99"/>
      <c r="L1510" s="99"/>
      <c r="M1510" s="99"/>
      <c r="N1510" s="99"/>
      <c r="O1510" s="99"/>
      <c r="P1510" s="99"/>
      <c r="Q1510" s="99"/>
      <c r="R1510" s="99"/>
      <c r="S1510" s="103"/>
      <c r="T1510" s="99"/>
      <c r="U1510" s="103"/>
      <c r="V1510" s="99"/>
      <c r="W1510" s="99"/>
      <c r="X1510" s="99"/>
      <c r="Y1510" s="99"/>
      <c r="Z1510" s="99"/>
      <c r="AA1510" s="99"/>
      <c r="AB1510" s="99"/>
      <c r="AC1510" s="99"/>
      <c r="AD1510" s="103"/>
      <c r="AE1510" s="99"/>
      <c r="AF1510" s="99"/>
      <c r="AG1510" s="99"/>
      <c r="AH1510" s="99"/>
      <c r="AI1510" s="99"/>
      <c r="AJ1510" s="99"/>
      <c r="AK1510" s="99"/>
      <c r="AL1510" s="99"/>
      <c r="AM1510" s="99"/>
      <c r="AN1510" s="99"/>
      <c r="AO1510" s="99"/>
      <c r="AP1510" s="1"/>
      <c r="AQ1510" s="1"/>
    </row>
    <row r="1511" ht="15.75" customHeight="1">
      <c r="A1511" s="1"/>
      <c r="B1511" s="1"/>
      <c r="C1511" s="1"/>
      <c r="D1511" s="1"/>
      <c r="E1511" s="1"/>
      <c r="F1511" s="1"/>
      <c r="G1511" s="1"/>
      <c r="H1511" s="99"/>
      <c r="I1511" s="99"/>
      <c r="J1511" s="99"/>
      <c r="K1511" s="99"/>
      <c r="L1511" s="99"/>
      <c r="M1511" s="99"/>
      <c r="N1511" s="99"/>
      <c r="O1511" s="99"/>
      <c r="P1511" s="99"/>
      <c r="Q1511" s="99"/>
      <c r="R1511" s="99"/>
      <c r="S1511" s="103"/>
      <c r="T1511" s="99"/>
      <c r="U1511" s="103"/>
      <c r="V1511" s="99"/>
      <c r="W1511" s="99"/>
      <c r="X1511" s="99"/>
      <c r="Y1511" s="99"/>
      <c r="Z1511" s="99"/>
      <c r="AA1511" s="99"/>
      <c r="AB1511" s="99"/>
      <c r="AC1511" s="99"/>
      <c r="AD1511" s="103"/>
      <c r="AE1511" s="99"/>
      <c r="AF1511" s="99"/>
      <c r="AG1511" s="99"/>
      <c r="AH1511" s="99"/>
      <c r="AI1511" s="99"/>
      <c r="AJ1511" s="99"/>
      <c r="AK1511" s="99"/>
      <c r="AL1511" s="99"/>
      <c r="AM1511" s="99"/>
      <c r="AN1511" s="99"/>
      <c r="AO1511" s="99"/>
      <c r="AP1511" s="1"/>
      <c r="AQ1511" s="1"/>
    </row>
    <row r="1512" ht="15.75" customHeight="1">
      <c r="A1512" s="1"/>
      <c r="B1512" s="1"/>
      <c r="C1512" s="1"/>
      <c r="D1512" s="1"/>
      <c r="E1512" s="1"/>
      <c r="F1512" s="1"/>
      <c r="G1512" s="1"/>
      <c r="H1512" s="99"/>
      <c r="I1512" s="99"/>
      <c r="J1512" s="99"/>
      <c r="K1512" s="99"/>
      <c r="L1512" s="99"/>
      <c r="M1512" s="99"/>
      <c r="N1512" s="99"/>
      <c r="O1512" s="99"/>
      <c r="P1512" s="99"/>
      <c r="Q1512" s="99"/>
      <c r="R1512" s="99"/>
      <c r="S1512" s="103"/>
      <c r="T1512" s="99"/>
      <c r="U1512" s="103"/>
      <c r="V1512" s="99"/>
      <c r="W1512" s="99"/>
      <c r="X1512" s="99"/>
      <c r="Y1512" s="99"/>
      <c r="Z1512" s="99"/>
      <c r="AA1512" s="99"/>
      <c r="AB1512" s="99"/>
      <c r="AC1512" s="99"/>
      <c r="AD1512" s="103"/>
      <c r="AE1512" s="99"/>
      <c r="AF1512" s="99"/>
      <c r="AG1512" s="99"/>
      <c r="AH1512" s="99"/>
      <c r="AI1512" s="99"/>
      <c r="AJ1512" s="99"/>
      <c r="AK1512" s="99"/>
      <c r="AL1512" s="99"/>
      <c r="AM1512" s="99"/>
      <c r="AN1512" s="99"/>
      <c r="AO1512" s="99"/>
      <c r="AP1512" s="1"/>
      <c r="AQ1512" s="1"/>
    </row>
    <row r="1513" ht="15.75" customHeight="1">
      <c r="A1513" s="1"/>
      <c r="B1513" s="1"/>
      <c r="C1513" s="1"/>
      <c r="D1513" s="1"/>
      <c r="E1513" s="1"/>
      <c r="F1513" s="1"/>
      <c r="G1513" s="1"/>
      <c r="H1513" s="99"/>
      <c r="I1513" s="99"/>
      <c r="J1513" s="99"/>
      <c r="K1513" s="99"/>
      <c r="L1513" s="99"/>
      <c r="M1513" s="99"/>
      <c r="N1513" s="99"/>
      <c r="O1513" s="99"/>
      <c r="P1513" s="99"/>
      <c r="Q1513" s="99"/>
      <c r="R1513" s="99"/>
      <c r="S1513" s="103"/>
      <c r="T1513" s="99"/>
      <c r="U1513" s="103"/>
      <c r="V1513" s="99"/>
      <c r="W1513" s="99"/>
      <c r="X1513" s="99"/>
      <c r="Y1513" s="99"/>
      <c r="Z1513" s="99"/>
      <c r="AA1513" s="99"/>
      <c r="AB1513" s="99"/>
      <c r="AC1513" s="99"/>
      <c r="AD1513" s="103"/>
      <c r="AE1513" s="99"/>
      <c r="AF1513" s="99"/>
      <c r="AG1513" s="99"/>
      <c r="AH1513" s="99"/>
      <c r="AI1513" s="99"/>
      <c r="AJ1513" s="99"/>
      <c r="AK1513" s="99"/>
      <c r="AL1513" s="99"/>
      <c r="AM1513" s="99"/>
      <c r="AN1513" s="99"/>
      <c r="AO1513" s="99"/>
      <c r="AP1513" s="1"/>
      <c r="AQ1513" s="1"/>
    </row>
    <row r="1514" ht="15.75" customHeight="1">
      <c r="A1514" s="1"/>
      <c r="B1514" s="1"/>
      <c r="C1514" s="1"/>
      <c r="D1514" s="1"/>
      <c r="E1514" s="1"/>
      <c r="F1514" s="1"/>
      <c r="G1514" s="1"/>
      <c r="H1514" s="99"/>
      <c r="I1514" s="99"/>
      <c r="J1514" s="99"/>
      <c r="K1514" s="99"/>
      <c r="L1514" s="99"/>
      <c r="M1514" s="99"/>
      <c r="N1514" s="99"/>
      <c r="O1514" s="99"/>
      <c r="P1514" s="99"/>
      <c r="Q1514" s="99"/>
      <c r="R1514" s="99"/>
      <c r="S1514" s="103"/>
      <c r="T1514" s="99"/>
      <c r="U1514" s="103"/>
      <c r="V1514" s="99"/>
      <c r="W1514" s="99"/>
      <c r="X1514" s="99"/>
      <c r="Y1514" s="99"/>
      <c r="Z1514" s="99"/>
      <c r="AA1514" s="99"/>
      <c r="AB1514" s="99"/>
      <c r="AC1514" s="99"/>
      <c r="AD1514" s="103"/>
      <c r="AE1514" s="99"/>
      <c r="AF1514" s="99"/>
      <c r="AG1514" s="99"/>
      <c r="AH1514" s="99"/>
      <c r="AI1514" s="99"/>
      <c r="AJ1514" s="99"/>
      <c r="AK1514" s="99"/>
      <c r="AL1514" s="99"/>
      <c r="AM1514" s="99"/>
      <c r="AN1514" s="99"/>
      <c r="AO1514" s="99"/>
      <c r="AP1514" s="1"/>
      <c r="AQ1514" s="1"/>
    </row>
    <row r="1515" ht="15.75" customHeight="1">
      <c r="A1515" s="1"/>
      <c r="B1515" s="1"/>
      <c r="C1515" s="1"/>
      <c r="D1515" s="1"/>
      <c r="E1515" s="1"/>
      <c r="F1515" s="1"/>
      <c r="G1515" s="1"/>
      <c r="H1515" s="99"/>
      <c r="I1515" s="99"/>
      <c r="J1515" s="99"/>
      <c r="K1515" s="99"/>
      <c r="L1515" s="99"/>
      <c r="M1515" s="99"/>
      <c r="N1515" s="99"/>
      <c r="O1515" s="99"/>
      <c r="P1515" s="99"/>
      <c r="Q1515" s="99"/>
      <c r="R1515" s="99"/>
      <c r="S1515" s="103"/>
      <c r="T1515" s="99"/>
      <c r="U1515" s="103"/>
      <c r="V1515" s="99"/>
      <c r="W1515" s="99"/>
      <c r="X1515" s="99"/>
      <c r="Y1515" s="99"/>
      <c r="Z1515" s="99"/>
      <c r="AA1515" s="99"/>
      <c r="AB1515" s="99"/>
      <c r="AC1515" s="99"/>
      <c r="AD1515" s="103"/>
      <c r="AE1515" s="99"/>
      <c r="AF1515" s="99"/>
      <c r="AG1515" s="99"/>
      <c r="AH1515" s="99"/>
      <c r="AI1515" s="99"/>
      <c r="AJ1515" s="99"/>
      <c r="AK1515" s="99"/>
      <c r="AL1515" s="99"/>
      <c r="AM1515" s="99"/>
      <c r="AN1515" s="99"/>
      <c r="AO1515" s="99"/>
      <c r="AP1515" s="1"/>
      <c r="AQ1515" s="1"/>
    </row>
    <row r="1516" ht="15.75" customHeight="1">
      <c r="A1516" s="1"/>
      <c r="B1516" s="1"/>
      <c r="C1516" s="1"/>
      <c r="D1516" s="1"/>
      <c r="E1516" s="1"/>
      <c r="F1516" s="1"/>
      <c r="G1516" s="1"/>
      <c r="H1516" s="99"/>
      <c r="I1516" s="99"/>
      <c r="J1516" s="99"/>
      <c r="K1516" s="99"/>
      <c r="L1516" s="99"/>
      <c r="M1516" s="99"/>
      <c r="N1516" s="99"/>
      <c r="O1516" s="99"/>
      <c r="P1516" s="99"/>
      <c r="Q1516" s="99"/>
      <c r="R1516" s="99"/>
      <c r="S1516" s="103"/>
      <c r="T1516" s="99"/>
      <c r="U1516" s="103"/>
      <c r="V1516" s="99"/>
      <c r="W1516" s="99"/>
      <c r="X1516" s="99"/>
      <c r="Y1516" s="99"/>
      <c r="Z1516" s="99"/>
      <c r="AA1516" s="99"/>
      <c r="AB1516" s="99"/>
      <c r="AC1516" s="99"/>
      <c r="AD1516" s="103"/>
      <c r="AE1516" s="99"/>
      <c r="AF1516" s="99"/>
      <c r="AG1516" s="99"/>
      <c r="AH1516" s="99"/>
      <c r="AI1516" s="99"/>
      <c r="AJ1516" s="99"/>
      <c r="AK1516" s="99"/>
      <c r="AL1516" s="99"/>
      <c r="AM1516" s="99"/>
      <c r="AN1516" s="99"/>
      <c r="AO1516" s="99"/>
      <c r="AP1516" s="1"/>
      <c r="AQ1516" s="1"/>
    </row>
    <row r="1517" ht="15.75" customHeight="1">
      <c r="A1517" s="1"/>
      <c r="B1517" s="1"/>
      <c r="C1517" s="1"/>
      <c r="D1517" s="1"/>
      <c r="E1517" s="1"/>
      <c r="F1517" s="1"/>
      <c r="G1517" s="1"/>
      <c r="H1517" s="99"/>
      <c r="I1517" s="99"/>
      <c r="J1517" s="99"/>
      <c r="K1517" s="99"/>
      <c r="L1517" s="99"/>
      <c r="M1517" s="99"/>
      <c r="N1517" s="99"/>
      <c r="O1517" s="99"/>
      <c r="P1517" s="99"/>
      <c r="Q1517" s="99"/>
      <c r="R1517" s="99"/>
      <c r="S1517" s="103"/>
      <c r="T1517" s="99"/>
      <c r="U1517" s="103"/>
      <c r="V1517" s="99"/>
      <c r="W1517" s="99"/>
      <c r="X1517" s="99"/>
      <c r="Y1517" s="99"/>
      <c r="Z1517" s="99"/>
      <c r="AA1517" s="99"/>
      <c r="AB1517" s="99"/>
      <c r="AC1517" s="99"/>
      <c r="AD1517" s="103"/>
      <c r="AE1517" s="99"/>
      <c r="AF1517" s="99"/>
      <c r="AG1517" s="99"/>
      <c r="AH1517" s="99"/>
      <c r="AI1517" s="99"/>
      <c r="AJ1517" s="99"/>
      <c r="AK1517" s="99"/>
      <c r="AL1517" s="99"/>
      <c r="AM1517" s="99"/>
      <c r="AN1517" s="99"/>
      <c r="AO1517" s="99"/>
      <c r="AP1517" s="1"/>
      <c r="AQ1517" s="1"/>
    </row>
    <row r="1518" ht="15.75" customHeight="1">
      <c r="A1518" s="1"/>
      <c r="B1518" s="1"/>
      <c r="C1518" s="1"/>
      <c r="D1518" s="1"/>
      <c r="E1518" s="1"/>
      <c r="F1518" s="1"/>
      <c r="G1518" s="1"/>
      <c r="H1518" s="99"/>
      <c r="I1518" s="99"/>
      <c r="J1518" s="99"/>
      <c r="K1518" s="99"/>
      <c r="L1518" s="99"/>
      <c r="M1518" s="99"/>
      <c r="N1518" s="99"/>
      <c r="O1518" s="99"/>
      <c r="P1518" s="99"/>
      <c r="Q1518" s="99"/>
      <c r="R1518" s="99"/>
      <c r="S1518" s="103"/>
      <c r="T1518" s="99"/>
      <c r="U1518" s="103"/>
      <c r="V1518" s="99"/>
      <c r="W1518" s="99"/>
      <c r="X1518" s="99"/>
      <c r="Y1518" s="99"/>
      <c r="Z1518" s="99"/>
      <c r="AA1518" s="99"/>
      <c r="AB1518" s="99"/>
      <c r="AC1518" s="99"/>
      <c r="AD1518" s="103"/>
      <c r="AE1518" s="99"/>
      <c r="AF1518" s="99"/>
      <c r="AG1518" s="99"/>
      <c r="AH1518" s="99"/>
      <c r="AI1518" s="99"/>
      <c r="AJ1518" s="99"/>
      <c r="AK1518" s="99"/>
      <c r="AL1518" s="99"/>
      <c r="AM1518" s="99"/>
      <c r="AN1518" s="99"/>
      <c r="AO1518" s="99"/>
      <c r="AP1518" s="1"/>
      <c r="AQ1518" s="1"/>
    </row>
    <row r="1519" ht="15.75" customHeight="1">
      <c r="A1519" s="1"/>
      <c r="B1519" s="1"/>
      <c r="C1519" s="1"/>
      <c r="D1519" s="1"/>
      <c r="E1519" s="1"/>
      <c r="F1519" s="1"/>
      <c r="G1519" s="1"/>
      <c r="H1519" s="99"/>
      <c r="I1519" s="99"/>
      <c r="J1519" s="99"/>
      <c r="K1519" s="99"/>
      <c r="L1519" s="99"/>
      <c r="M1519" s="99"/>
      <c r="N1519" s="99"/>
      <c r="O1519" s="99"/>
      <c r="P1519" s="99"/>
      <c r="Q1519" s="99"/>
      <c r="R1519" s="99"/>
      <c r="S1519" s="103"/>
      <c r="T1519" s="99"/>
      <c r="U1519" s="103"/>
      <c r="V1519" s="99"/>
      <c r="W1519" s="99"/>
      <c r="X1519" s="99"/>
      <c r="Y1519" s="99"/>
      <c r="Z1519" s="99"/>
      <c r="AA1519" s="99"/>
      <c r="AB1519" s="99"/>
      <c r="AC1519" s="99"/>
      <c r="AD1519" s="103"/>
      <c r="AE1519" s="99"/>
      <c r="AF1519" s="99"/>
      <c r="AG1519" s="99"/>
      <c r="AH1519" s="99"/>
      <c r="AI1519" s="99"/>
      <c r="AJ1519" s="99"/>
      <c r="AK1519" s="99"/>
      <c r="AL1519" s="99"/>
      <c r="AM1519" s="99"/>
      <c r="AN1519" s="99"/>
      <c r="AO1519" s="99"/>
      <c r="AP1519" s="1"/>
      <c r="AQ1519" s="1"/>
    </row>
    <row r="1520" ht="15.75" customHeight="1">
      <c r="A1520" s="1"/>
      <c r="B1520" s="1"/>
      <c r="C1520" s="1"/>
      <c r="D1520" s="1"/>
      <c r="E1520" s="1"/>
      <c r="F1520" s="1"/>
      <c r="G1520" s="1"/>
      <c r="H1520" s="99"/>
      <c r="I1520" s="99"/>
      <c r="J1520" s="99"/>
      <c r="K1520" s="99"/>
      <c r="L1520" s="99"/>
      <c r="M1520" s="99"/>
      <c r="N1520" s="99"/>
      <c r="O1520" s="99"/>
      <c r="P1520" s="99"/>
      <c r="Q1520" s="99"/>
      <c r="R1520" s="99"/>
      <c r="S1520" s="103"/>
      <c r="T1520" s="99"/>
      <c r="U1520" s="103"/>
      <c r="V1520" s="99"/>
      <c r="W1520" s="99"/>
      <c r="X1520" s="99"/>
      <c r="Y1520" s="99"/>
      <c r="Z1520" s="99"/>
      <c r="AA1520" s="99"/>
      <c r="AB1520" s="99"/>
      <c r="AC1520" s="99"/>
      <c r="AD1520" s="103"/>
      <c r="AE1520" s="99"/>
      <c r="AF1520" s="99"/>
      <c r="AG1520" s="99"/>
      <c r="AH1520" s="99"/>
      <c r="AI1520" s="99"/>
      <c r="AJ1520" s="99"/>
      <c r="AK1520" s="99"/>
      <c r="AL1520" s="99"/>
      <c r="AM1520" s="99"/>
      <c r="AN1520" s="99"/>
      <c r="AO1520" s="99"/>
      <c r="AP1520" s="1"/>
      <c r="AQ1520" s="1"/>
    </row>
    <row r="1521" ht="15.75" customHeight="1">
      <c r="A1521" s="1"/>
      <c r="B1521" s="1"/>
      <c r="C1521" s="1"/>
      <c r="D1521" s="1"/>
      <c r="E1521" s="1"/>
      <c r="F1521" s="1"/>
      <c r="G1521" s="1"/>
      <c r="H1521" s="99"/>
      <c r="I1521" s="99"/>
      <c r="J1521" s="99"/>
      <c r="K1521" s="99"/>
      <c r="L1521" s="99"/>
      <c r="M1521" s="99"/>
      <c r="N1521" s="99"/>
      <c r="O1521" s="99"/>
      <c r="P1521" s="99"/>
      <c r="Q1521" s="99"/>
      <c r="R1521" s="99"/>
      <c r="S1521" s="103"/>
      <c r="T1521" s="99"/>
      <c r="U1521" s="103"/>
      <c r="V1521" s="99"/>
      <c r="W1521" s="99"/>
      <c r="X1521" s="99"/>
      <c r="Y1521" s="99"/>
      <c r="Z1521" s="99"/>
      <c r="AA1521" s="99"/>
      <c r="AB1521" s="99"/>
      <c r="AC1521" s="99"/>
      <c r="AD1521" s="103"/>
      <c r="AE1521" s="99"/>
      <c r="AF1521" s="99"/>
      <c r="AG1521" s="99"/>
      <c r="AH1521" s="99"/>
      <c r="AI1521" s="99"/>
      <c r="AJ1521" s="99"/>
      <c r="AK1521" s="99"/>
      <c r="AL1521" s="99"/>
      <c r="AM1521" s="99"/>
      <c r="AN1521" s="99"/>
      <c r="AO1521" s="99"/>
      <c r="AP1521" s="1"/>
      <c r="AQ1521" s="1"/>
    </row>
    <row r="1522" ht="15.75" customHeight="1">
      <c r="A1522" s="1"/>
      <c r="B1522" s="1"/>
      <c r="C1522" s="1"/>
      <c r="D1522" s="1"/>
      <c r="E1522" s="1"/>
      <c r="F1522" s="1"/>
      <c r="G1522" s="1"/>
      <c r="H1522" s="99"/>
      <c r="I1522" s="99"/>
      <c r="J1522" s="99"/>
      <c r="K1522" s="99"/>
      <c r="L1522" s="99"/>
      <c r="M1522" s="99"/>
      <c r="N1522" s="99"/>
      <c r="O1522" s="99"/>
      <c r="P1522" s="99"/>
      <c r="Q1522" s="99"/>
      <c r="R1522" s="99"/>
      <c r="S1522" s="103"/>
      <c r="T1522" s="99"/>
      <c r="U1522" s="103"/>
      <c r="V1522" s="99"/>
      <c r="W1522" s="99"/>
      <c r="X1522" s="99"/>
      <c r="Y1522" s="99"/>
      <c r="Z1522" s="99"/>
      <c r="AA1522" s="99"/>
      <c r="AB1522" s="99"/>
      <c r="AC1522" s="99"/>
      <c r="AD1522" s="103"/>
      <c r="AE1522" s="99"/>
      <c r="AF1522" s="99"/>
      <c r="AG1522" s="99"/>
      <c r="AH1522" s="99"/>
      <c r="AI1522" s="99"/>
      <c r="AJ1522" s="99"/>
      <c r="AK1522" s="99"/>
      <c r="AL1522" s="99"/>
      <c r="AM1522" s="99"/>
      <c r="AN1522" s="99"/>
      <c r="AO1522" s="99"/>
      <c r="AP1522" s="1"/>
      <c r="AQ1522" s="1"/>
    </row>
    <row r="1523" ht="15.75" customHeight="1">
      <c r="A1523" s="1"/>
      <c r="B1523" s="1"/>
      <c r="C1523" s="1"/>
      <c r="D1523" s="1"/>
      <c r="E1523" s="1"/>
      <c r="F1523" s="1"/>
      <c r="G1523" s="1"/>
      <c r="H1523" s="99"/>
      <c r="I1523" s="99"/>
      <c r="J1523" s="99"/>
      <c r="K1523" s="99"/>
      <c r="L1523" s="99"/>
      <c r="M1523" s="99"/>
      <c r="N1523" s="99"/>
      <c r="O1523" s="99"/>
      <c r="P1523" s="99"/>
      <c r="Q1523" s="99"/>
      <c r="R1523" s="99"/>
      <c r="S1523" s="103"/>
      <c r="T1523" s="99"/>
      <c r="U1523" s="103"/>
      <c r="V1523" s="99"/>
      <c r="W1523" s="99"/>
      <c r="X1523" s="99"/>
      <c r="Y1523" s="99"/>
      <c r="Z1523" s="99"/>
      <c r="AA1523" s="99"/>
      <c r="AB1523" s="99"/>
      <c r="AC1523" s="99"/>
      <c r="AD1523" s="103"/>
      <c r="AE1523" s="99"/>
      <c r="AF1523" s="99"/>
      <c r="AG1523" s="99"/>
      <c r="AH1523" s="99"/>
      <c r="AI1523" s="99"/>
      <c r="AJ1523" s="99"/>
      <c r="AK1523" s="99"/>
      <c r="AL1523" s="99"/>
      <c r="AM1523" s="99"/>
      <c r="AN1523" s="99"/>
      <c r="AO1523" s="99"/>
      <c r="AP1523" s="1"/>
      <c r="AQ1523" s="1"/>
    </row>
    <row r="1524" ht="15.75" customHeight="1">
      <c r="A1524" s="1"/>
      <c r="B1524" s="1"/>
      <c r="C1524" s="1"/>
      <c r="D1524" s="1"/>
      <c r="E1524" s="1"/>
      <c r="F1524" s="1"/>
      <c r="G1524" s="1"/>
      <c r="H1524" s="99"/>
      <c r="I1524" s="99"/>
      <c r="J1524" s="99"/>
      <c r="K1524" s="99"/>
      <c r="L1524" s="99"/>
      <c r="M1524" s="99"/>
      <c r="N1524" s="99"/>
      <c r="O1524" s="99"/>
      <c r="P1524" s="99"/>
      <c r="Q1524" s="99"/>
      <c r="R1524" s="99"/>
      <c r="S1524" s="103"/>
      <c r="T1524" s="99"/>
      <c r="U1524" s="103"/>
      <c r="V1524" s="99"/>
      <c r="W1524" s="99"/>
      <c r="X1524" s="99"/>
      <c r="Y1524" s="99"/>
      <c r="Z1524" s="99"/>
      <c r="AA1524" s="99"/>
      <c r="AB1524" s="99"/>
      <c r="AC1524" s="99"/>
      <c r="AD1524" s="103"/>
      <c r="AE1524" s="99"/>
      <c r="AF1524" s="99"/>
      <c r="AG1524" s="99"/>
      <c r="AH1524" s="99"/>
      <c r="AI1524" s="99"/>
      <c r="AJ1524" s="99"/>
      <c r="AK1524" s="99"/>
      <c r="AL1524" s="99"/>
      <c r="AM1524" s="99"/>
      <c r="AN1524" s="99"/>
      <c r="AO1524" s="99"/>
      <c r="AP1524" s="1"/>
      <c r="AQ1524" s="1"/>
    </row>
    <row r="1525" ht="15.75" customHeight="1">
      <c r="A1525" s="1"/>
      <c r="B1525" s="1"/>
      <c r="C1525" s="1"/>
      <c r="D1525" s="1"/>
      <c r="E1525" s="1"/>
      <c r="F1525" s="1"/>
      <c r="G1525" s="1"/>
      <c r="H1525" s="99"/>
      <c r="I1525" s="99"/>
      <c r="J1525" s="99"/>
      <c r="K1525" s="99"/>
      <c r="L1525" s="99"/>
      <c r="M1525" s="99"/>
      <c r="N1525" s="99"/>
      <c r="O1525" s="99"/>
      <c r="P1525" s="99"/>
      <c r="Q1525" s="99"/>
      <c r="R1525" s="99"/>
      <c r="S1525" s="103"/>
      <c r="T1525" s="99"/>
      <c r="U1525" s="103"/>
      <c r="V1525" s="99"/>
      <c r="W1525" s="99"/>
      <c r="X1525" s="99"/>
      <c r="Y1525" s="99"/>
      <c r="Z1525" s="99"/>
      <c r="AA1525" s="99"/>
      <c r="AB1525" s="99"/>
      <c r="AC1525" s="99"/>
      <c r="AD1525" s="103"/>
      <c r="AE1525" s="99"/>
      <c r="AF1525" s="99"/>
      <c r="AG1525" s="99"/>
      <c r="AH1525" s="99"/>
      <c r="AI1525" s="99"/>
      <c r="AJ1525" s="99"/>
      <c r="AK1525" s="99"/>
      <c r="AL1525" s="99"/>
      <c r="AM1525" s="99"/>
      <c r="AN1525" s="99"/>
      <c r="AO1525" s="99"/>
      <c r="AP1525" s="1"/>
      <c r="AQ1525" s="1"/>
    </row>
    <row r="1526" ht="15.75" customHeight="1">
      <c r="A1526" s="1"/>
      <c r="B1526" s="1"/>
      <c r="C1526" s="1"/>
      <c r="D1526" s="1"/>
      <c r="E1526" s="1"/>
      <c r="F1526" s="1"/>
      <c r="G1526" s="1"/>
      <c r="H1526" s="99"/>
      <c r="I1526" s="99"/>
      <c r="J1526" s="99"/>
      <c r="K1526" s="99"/>
      <c r="L1526" s="99"/>
      <c r="M1526" s="99"/>
      <c r="N1526" s="99"/>
      <c r="O1526" s="99"/>
      <c r="P1526" s="99"/>
      <c r="Q1526" s="99"/>
      <c r="R1526" s="99"/>
      <c r="S1526" s="103"/>
      <c r="T1526" s="99"/>
      <c r="U1526" s="103"/>
      <c r="V1526" s="99"/>
      <c r="W1526" s="99"/>
      <c r="X1526" s="99"/>
      <c r="Y1526" s="99"/>
      <c r="Z1526" s="99"/>
      <c r="AA1526" s="99"/>
      <c r="AB1526" s="99"/>
      <c r="AC1526" s="99"/>
      <c r="AD1526" s="103"/>
      <c r="AE1526" s="99"/>
      <c r="AF1526" s="99"/>
      <c r="AG1526" s="99"/>
      <c r="AH1526" s="99"/>
      <c r="AI1526" s="99"/>
      <c r="AJ1526" s="99"/>
      <c r="AK1526" s="99"/>
      <c r="AL1526" s="99"/>
      <c r="AM1526" s="99"/>
      <c r="AN1526" s="99"/>
      <c r="AO1526" s="99"/>
      <c r="AP1526" s="1"/>
      <c r="AQ1526" s="1"/>
    </row>
    <row r="1527" ht="15.75" customHeight="1">
      <c r="A1527" s="1"/>
      <c r="B1527" s="1"/>
      <c r="C1527" s="1"/>
      <c r="D1527" s="1"/>
      <c r="E1527" s="1"/>
      <c r="F1527" s="1"/>
      <c r="G1527" s="1"/>
      <c r="H1527" s="99"/>
      <c r="I1527" s="99"/>
      <c r="J1527" s="99"/>
      <c r="K1527" s="99"/>
      <c r="L1527" s="99"/>
      <c r="M1527" s="99"/>
      <c r="N1527" s="99"/>
      <c r="O1527" s="99"/>
      <c r="P1527" s="99"/>
      <c r="Q1527" s="99"/>
      <c r="R1527" s="99"/>
      <c r="S1527" s="103"/>
      <c r="T1527" s="99"/>
      <c r="U1527" s="103"/>
      <c r="V1527" s="99"/>
      <c r="W1527" s="99"/>
      <c r="X1527" s="99"/>
      <c r="Y1527" s="99"/>
      <c r="Z1527" s="99"/>
      <c r="AA1527" s="99"/>
      <c r="AB1527" s="99"/>
      <c r="AC1527" s="99"/>
      <c r="AD1527" s="103"/>
      <c r="AE1527" s="99"/>
      <c r="AF1527" s="99"/>
      <c r="AG1527" s="99"/>
      <c r="AH1527" s="99"/>
      <c r="AI1527" s="99"/>
      <c r="AJ1527" s="99"/>
      <c r="AK1527" s="99"/>
      <c r="AL1527" s="99"/>
      <c r="AM1527" s="99"/>
      <c r="AN1527" s="99"/>
      <c r="AO1527" s="99"/>
      <c r="AP1527" s="1"/>
      <c r="AQ1527" s="1"/>
    </row>
    <row r="1528" ht="15.75" customHeight="1">
      <c r="A1528" s="1"/>
      <c r="B1528" s="1"/>
      <c r="C1528" s="1"/>
      <c r="D1528" s="1"/>
      <c r="E1528" s="1"/>
      <c r="F1528" s="1"/>
      <c r="G1528" s="1"/>
      <c r="H1528" s="99"/>
      <c r="I1528" s="99"/>
      <c r="J1528" s="99"/>
      <c r="K1528" s="99"/>
      <c r="L1528" s="99"/>
      <c r="M1528" s="99"/>
      <c r="N1528" s="99"/>
      <c r="O1528" s="99"/>
      <c r="P1528" s="99"/>
      <c r="Q1528" s="99"/>
      <c r="R1528" s="99"/>
      <c r="S1528" s="103"/>
      <c r="T1528" s="99"/>
      <c r="U1528" s="103"/>
      <c r="V1528" s="99"/>
      <c r="W1528" s="99"/>
      <c r="X1528" s="99"/>
      <c r="Y1528" s="99"/>
      <c r="Z1528" s="99"/>
      <c r="AA1528" s="99"/>
      <c r="AB1528" s="99"/>
      <c r="AC1528" s="99"/>
      <c r="AD1528" s="103"/>
      <c r="AE1528" s="99"/>
      <c r="AF1528" s="99"/>
      <c r="AG1528" s="99"/>
      <c r="AH1528" s="99"/>
      <c r="AI1528" s="99"/>
      <c r="AJ1528" s="99"/>
      <c r="AK1528" s="99"/>
      <c r="AL1528" s="99"/>
      <c r="AM1528" s="99"/>
      <c r="AN1528" s="99"/>
      <c r="AO1528" s="99"/>
      <c r="AP1528" s="1"/>
      <c r="AQ1528" s="1"/>
    </row>
    <row r="1529" ht="15.75" customHeight="1">
      <c r="A1529" s="1"/>
      <c r="B1529" s="1"/>
      <c r="C1529" s="1"/>
      <c r="D1529" s="1"/>
      <c r="E1529" s="1"/>
      <c r="F1529" s="1"/>
      <c r="G1529" s="1"/>
      <c r="H1529" s="99"/>
      <c r="I1529" s="99"/>
      <c r="J1529" s="99"/>
      <c r="K1529" s="99"/>
      <c r="L1529" s="99"/>
      <c r="M1529" s="99"/>
      <c r="N1529" s="99"/>
      <c r="O1529" s="99"/>
      <c r="P1529" s="99"/>
      <c r="Q1529" s="99"/>
      <c r="R1529" s="99"/>
      <c r="S1529" s="103"/>
      <c r="T1529" s="99"/>
      <c r="U1529" s="103"/>
      <c r="V1529" s="99"/>
      <c r="W1529" s="99"/>
      <c r="X1529" s="99"/>
      <c r="Y1529" s="99"/>
      <c r="Z1529" s="99"/>
      <c r="AA1529" s="99"/>
      <c r="AB1529" s="99"/>
      <c r="AC1529" s="99"/>
      <c r="AD1529" s="103"/>
      <c r="AE1529" s="99"/>
      <c r="AF1529" s="99"/>
      <c r="AG1529" s="99"/>
      <c r="AH1529" s="99"/>
      <c r="AI1529" s="99"/>
      <c r="AJ1529" s="99"/>
      <c r="AK1529" s="99"/>
      <c r="AL1529" s="99"/>
      <c r="AM1529" s="99"/>
      <c r="AN1529" s="99"/>
      <c r="AO1529" s="99"/>
      <c r="AP1529" s="1"/>
      <c r="AQ1529" s="1"/>
    </row>
    <row r="1530" ht="15.75" customHeight="1">
      <c r="A1530" s="1"/>
      <c r="B1530" s="1"/>
      <c r="C1530" s="1"/>
      <c r="D1530" s="1"/>
      <c r="E1530" s="1"/>
      <c r="F1530" s="1"/>
      <c r="G1530" s="1"/>
      <c r="H1530" s="99"/>
      <c r="I1530" s="99"/>
      <c r="J1530" s="99"/>
      <c r="K1530" s="99"/>
      <c r="L1530" s="99"/>
      <c r="M1530" s="99"/>
      <c r="N1530" s="99"/>
      <c r="O1530" s="99"/>
      <c r="P1530" s="99"/>
      <c r="Q1530" s="99"/>
      <c r="R1530" s="99"/>
      <c r="S1530" s="103"/>
      <c r="T1530" s="99"/>
      <c r="U1530" s="103"/>
      <c r="V1530" s="99"/>
      <c r="W1530" s="99"/>
      <c r="X1530" s="99"/>
      <c r="Y1530" s="99"/>
      <c r="Z1530" s="99"/>
      <c r="AA1530" s="99"/>
      <c r="AB1530" s="99"/>
      <c r="AC1530" s="99"/>
      <c r="AD1530" s="103"/>
      <c r="AE1530" s="99"/>
      <c r="AF1530" s="99"/>
      <c r="AG1530" s="99"/>
      <c r="AH1530" s="99"/>
      <c r="AI1530" s="99"/>
      <c r="AJ1530" s="99"/>
      <c r="AK1530" s="99"/>
      <c r="AL1530" s="99"/>
      <c r="AM1530" s="99"/>
      <c r="AN1530" s="99"/>
      <c r="AO1530" s="99"/>
      <c r="AP1530" s="1"/>
      <c r="AQ1530" s="1"/>
    </row>
    <row r="1531" ht="15.75" customHeight="1">
      <c r="A1531" s="1"/>
      <c r="B1531" s="1"/>
      <c r="C1531" s="1"/>
      <c r="D1531" s="1"/>
      <c r="E1531" s="1"/>
      <c r="F1531" s="1"/>
      <c r="G1531" s="1"/>
      <c r="H1531" s="99"/>
      <c r="I1531" s="99"/>
      <c r="J1531" s="99"/>
      <c r="K1531" s="99"/>
      <c r="L1531" s="99"/>
      <c r="M1531" s="99"/>
      <c r="N1531" s="99"/>
      <c r="O1531" s="99"/>
      <c r="P1531" s="99"/>
      <c r="Q1531" s="99"/>
      <c r="R1531" s="99"/>
      <c r="S1531" s="103"/>
      <c r="T1531" s="99"/>
      <c r="U1531" s="103"/>
      <c r="V1531" s="99"/>
      <c r="W1531" s="99"/>
      <c r="X1531" s="99"/>
      <c r="Y1531" s="99"/>
      <c r="Z1531" s="99"/>
      <c r="AA1531" s="99"/>
      <c r="AB1531" s="99"/>
      <c r="AC1531" s="99"/>
      <c r="AD1531" s="103"/>
      <c r="AE1531" s="99"/>
      <c r="AF1531" s="99"/>
      <c r="AG1531" s="99"/>
      <c r="AH1531" s="99"/>
      <c r="AI1531" s="99"/>
      <c r="AJ1531" s="99"/>
      <c r="AK1531" s="99"/>
      <c r="AL1531" s="99"/>
      <c r="AM1531" s="99"/>
      <c r="AN1531" s="99"/>
      <c r="AO1531" s="99"/>
      <c r="AP1531" s="1"/>
      <c r="AQ1531" s="1"/>
    </row>
    <row r="1532" ht="15.75" customHeight="1">
      <c r="A1532" s="1"/>
      <c r="B1532" s="1"/>
      <c r="C1532" s="1"/>
      <c r="D1532" s="1"/>
      <c r="E1532" s="1"/>
      <c r="F1532" s="1"/>
      <c r="G1532" s="1"/>
      <c r="H1532" s="99"/>
      <c r="I1532" s="99"/>
      <c r="J1532" s="99"/>
      <c r="K1532" s="99"/>
      <c r="L1532" s="99"/>
      <c r="M1532" s="99"/>
      <c r="N1532" s="99"/>
      <c r="O1532" s="99"/>
      <c r="P1532" s="99"/>
      <c r="Q1532" s="99"/>
      <c r="R1532" s="99"/>
      <c r="S1532" s="103"/>
      <c r="T1532" s="99"/>
      <c r="U1532" s="103"/>
      <c r="V1532" s="99"/>
      <c r="W1532" s="99"/>
      <c r="X1532" s="99"/>
      <c r="Y1532" s="99"/>
      <c r="Z1532" s="99"/>
      <c r="AA1532" s="99"/>
      <c r="AB1532" s="99"/>
      <c r="AC1532" s="99"/>
      <c r="AD1532" s="103"/>
      <c r="AE1532" s="99"/>
      <c r="AF1532" s="99"/>
      <c r="AG1532" s="99"/>
      <c r="AH1532" s="99"/>
      <c r="AI1532" s="99"/>
      <c r="AJ1532" s="99"/>
      <c r="AK1532" s="99"/>
      <c r="AL1532" s="99"/>
      <c r="AM1532" s="99"/>
      <c r="AN1532" s="99"/>
      <c r="AO1532" s="99"/>
      <c r="AP1532" s="1"/>
      <c r="AQ1532" s="1"/>
    </row>
    <row r="1533" ht="15.75" customHeight="1">
      <c r="A1533" s="1"/>
      <c r="B1533" s="1"/>
      <c r="C1533" s="1"/>
      <c r="D1533" s="1"/>
      <c r="E1533" s="1"/>
      <c r="F1533" s="1"/>
      <c r="G1533" s="1"/>
      <c r="H1533" s="99"/>
      <c r="I1533" s="99"/>
      <c r="J1533" s="99"/>
      <c r="K1533" s="99"/>
      <c r="L1533" s="99"/>
      <c r="M1533" s="99"/>
      <c r="N1533" s="99"/>
      <c r="O1533" s="99"/>
      <c r="P1533" s="99"/>
      <c r="Q1533" s="99"/>
      <c r="R1533" s="99"/>
      <c r="S1533" s="103"/>
      <c r="T1533" s="99"/>
      <c r="U1533" s="103"/>
      <c r="V1533" s="99"/>
      <c r="W1533" s="99"/>
      <c r="X1533" s="99"/>
      <c r="Y1533" s="99"/>
      <c r="Z1533" s="99"/>
      <c r="AA1533" s="99"/>
      <c r="AB1533" s="99"/>
      <c r="AC1533" s="99"/>
      <c r="AD1533" s="103"/>
      <c r="AE1533" s="99"/>
      <c r="AF1533" s="99"/>
      <c r="AG1533" s="99"/>
      <c r="AH1533" s="99"/>
      <c r="AI1533" s="99"/>
      <c r="AJ1533" s="99"/>
      <c r="AK1533" s="99"/>
      <c r="AL1533" s="99"/>
      <c r="AM1533" s="99"/>
      <c r="AN1533" s="99"/>
      <c r="AO1533" s="99"/>
      <c r="AP1533" s="1"/>
      <c r="AQ1533" s="1"/>
    </row>
    <row r="1534" ht="15.75" customHeight="1">
      <c r="A1534" s="1"/>
      <c r="B1534" s="1"/>
      <c r="C1534" s="1"/>
      <c r="D1534" s="1"/>
      <c r="E1534" s="1"/>
      <c r="F1534" s="1"/>
      <c r="G1534" s="1"/>
      <c r="H1534" s="99"/>
      <c r="I1534" s="99"/>
      <c r="J1534" s="99"/>
      <c r="K1534" s="99"/>
      <c r="L1534" s="99"/>
      <c r="M1534" s="99"/>
      <c r="N1534" s="99"/>
      <c r="O1534" s="99"/>
      <c r="P1534" s="99"/>
      <c r="Q1534" s="99"/>
      <c r="R1534" s="99"/>
      <c r="S1534" s="103"/>
      <c r="T1534" s="99"/>
      <c r="U1534" s="103"/>
      <c r="V1534" s="99"/>
      <c r="W1534" s="99"/>
      <c r="X1534" s="99"/>
      <c r="Y1534" s="99"/>
      <c r="Z1534" s="99"/>
      <c r="AA1534" s="99"/>
      <c r="AB1534" s="99"/>
      <c r="AC1534" s="99"/>
      <c r="AD1534" s="103"/>
      <c r="AE1534" s="99"/>
      <c r="AF1534" s="99"/>
      <c r="AG1534" s="99"/>
      <c r="AH1534" s="99"/>
      <c r="AI1534" s="99"/>
      <c r="AJ1534" s="99"/>
      <c r="AK1534" s="99"/>
      <c r="AL1534" s="99"/>
      <c r="AM1534" s="99"/>
      <c r="AN1534" s="99"/>
      <c r="AO1534" s="99"/>
      <c r="AP1534" s="1"/>
      <c r="AQ1534" s="1"/>
    </row>
    <row r="1535" ht="15.75" customHeight="1">
      <c r="A1535" s="1"/>
      <c r="B1535" s="1"/>
      <c r="C1535" s="1"/>
      <c r="D1535" s="1"/>
      <c r="E1535" s="1"/>
      <c r="F1535" s="1"/>
      <c r="G1535" s="1"/>
      <c r="H1535" s="99"/>
      <c r="I1535" s="99"/>
      <c r="J1535" s="99"/>
      <c r="K1535" s="99"/>
      <c r="L1535" s="99"/>
      <c r="M1535" s="99"/>
      <c r="N1535" s="99"/>
      <c r="O1535" s="99"/>
      <c r="P1535" s="99"/>
      <c r="Q1535" s="99"/>
      <c r="R1535" s="99"/>
      <c r="S1535" s="103"/>
      <c r="T1535" s="99"/>
      <c r="U1535" s="103"/>
      <c r="V1535" s="99"/>
      <c r="W1535" s="99"/>
      <c r="X1535" s="99"/>
      <c r="Y1535" s="99"/>
      <c r="Z1535" s="99"/>
      <c r="AA1535" s="99"/>
      <c r="AB1535" s="99"/>
      <c r="AC1535" s="99"/>
      <c r="AD1535" s="103"/>
      <c r="AE1535" s="99"/>
      <c r="AF1535" s="99"/>
      <c r="AG1535" s="99"/>
      <c r="AH1535" s="99"/>
      <c r="AI1535" s="99"/>
      <c r="AJ1535" s="99"/>
      <c r="AK1535" s="99"/>
      <c r="AL1535" s="99"/>
      <c r="AM1535" s="99"/>
      <c r="AN1535" s="99"/>
      <c r="AO1535" s="99"/>
      <c r="AP1535" s="1"/>
      <c r="AQ1535" s="1"/>
    </row>
    <row r="1536" ht="15.75" customHeight="1">
      <c r="A1536" s="1"/>
      <c r="B1536" s="1"/>
      <c r="C1536" s="1"/>
      <c r="D1536" s="1"/>
      <c r="E1536" s="1"/>
      <c r="F1536" s="1"/>
      <c r="G1536" s="1"/>
      <c r="H1536" s="99"/>
      <c r="I1536" s="99"/>
      <c r="J1536" s="99"/>
      <c r="K1536" s="99"/>
      <c r="L1536" s="99"/>
      <c r="M1536" s="99"/>
      <c r="N1536" s="99"/>
      <c r="O1536" s="99"/>
      <c r="P1536" s="99"/>
      <c r="Q1536" s="99"/>
      <c r="R1536" s="99"/>
      <c r="S1536" s="103"/>
      <c r="T1536" s="99"/>
      <c r="U1536" s="103"/>
      <c r="V1536" s="99"/>
      <c r="W1536" s="99"/>
      <c r="X1536" s="99"/>
      <c r="Y1536" s="99"/>
      <c r="Z1536" s="99"/>
      <c r="AA1536" s="99"/>
      <c r="AB1536" s="99"/>
      <c r="AC1536" s="99"/>
      <c r="AD1536" s="103"/>
      <c r="AE1536" s="99"/>
      <c r="AF1536" s="99"/>
      <c r="AG1536" s="99"/>
      <c r="AH1536" s="99"/>
      <c r="AI1536" s="99"/>
      <c r="AJ1536" s="99"/>
      <c r="AK1536" s="99"/>
      <c r="AL1536" s="99"/>
      <c r="AM1536" s="99"/>
      <c r="AN1536" s="99"/>
      <c r="AO1536" s="99"/>
      <c r="AP1536" s="1"/>
      <c r="AQ1536" s="1"/>
    </row>
    <row r="1537" ht="15.75" customHeight="1">
      <c r="A1537" s="1"/>
      <c r="B1537" s="1"/>
      <c r="C1537" s="1"/>
      <c r="D1537" s="1"/>
      <c r="E1537" s="1"/>
      <c r="F1537" s="1"/>
      <c r="G1537" s="1"/>
      <c r="H1537" s="99"/>
      <c r="I1537" s="99"/>
      <c r="J1537" s="99"/>
      <c r="K1537" s="99"/>
      <c r="L1537" s="99"/>
      <c r="M1537" s="99"/>
      <c r="N1537" s="99"/>
      <c r="O1537" s="99"/>
      <c r="P1537" s="99"/>
      <c r="Q1537" s="99"/>
      <c r="R1537" s="99"/>
      <c r="S1537" s="103"/>
      <c r="T1537" s="99"/>
      <c r="U1537" s="103"/>
      <c r="V1537" s="99"/>
      <c r="W1537" s="99"/>
      <c r="X1537" s="99"/>
      <c r="Y1537" s="99"/>
      <c r="Z1537" s="99"/>
      <c r="AA1537" s="99"/>
      <c r="AB1537" s="99"/>
      <c r="AC1537" s="99"/>
      <c r="AD1537" s="103"/>
      <c r="AE1537" s="99"/>
      <c r="AF1537" s="99"/>
      <c r="AG1537" s="99"/>
      <c r="AH1537" s="99"/>
      <c r="AI1537" s="99"/>
      <c r="AJ1537" s="99"/>
      <c r="AK1537" s="99"/>
      <c r="AL1537" s="99"/>
      <c r="AM1537" s="99"/>
      <c r="AN1537" s="99"/>
      <c r="AO1537" s="99"/>
      <c r="AP1537" s="1"/>
      <c r="AQ1537" s="1"/>
    </row>
    <row r="1538" ht="15.75" customHeight="1">
      <c r="A1538" s="1"/>
      <c r="B1538" s="1"/>
      <c r="C1538" s="1"/>
      <c r="D1538" s="1"/>
      <c r="E1538" s="1"/>
      <c r="F1538" s="1"/>
      <c r="G1538" s="1"/>
      <c r="H1538" s="99"/>
      <c r="I1538" s="99"/>
      <c r="J1538" s="99"/>
      <c r="K1538" s="99"/>
      <c r="L1538" s="99"/>
      <c r="M1538" s="99"/>
      <c r="N1538" s="99"/>
      <c r="O1538" s="99"/>
      <c r="P1538" s="99"/>
      <c r="Q1538" s="99"/>
      <c r="R1538" s="99"/>
      <c r="S1538" s="103"/>
      <c r="T1538" s="99"/>
      <c r="U1538" s="103"/>
      <c r="V1538" s="99"/>
      <c r="W1538" s="99"/>
      <c r="X1538" s="99"/>
      <c r="Y1538" s="99"/>
      <c r="Z1538" s="99"/>
      <c r="AA1538" s="99"/>
      <c r="AB1538" s="99"/>
      <c r="AC1538" s="99"/>
      <c r="AD1538" s="103"/>
      <c r="AE1538" s="99"/>
      <c r="AF1538" s="99"/>
      <c r="AG1538" s="99"/>
      <c r="AH1538" s="99"/>
      <c r="AI1538" s="99"/>
      <c r="AJ1538" s="99"/>
      <c r="AK1538" s="99"/>
      <c r="AL1538" s="99"/>
      <c r="AM1538" s="99"/>
      <c r="AN1538" s="99"/>
      <c r="AO1538" s="99"/>
      <c r="AP1538" s="1"/>
      <c r="AQ1538" s="1"/>
    </row>
    <row r="1539" ht="15.75" customHeight="1">
      <c r="A1539" s="1"/>
      <c r="B1539" s="1"/>
      <c r="C1539" s="1"/>
      <c r="D1539" s="1"/>
      <c r="E1539" s="1"/>
      <c r="F1539" s="1"/>
      <c r="G1539" s="1"/>
      <c r="H1539" s="99"/>
      <c r="I1539" s="99"/>
      <c r="J1539" s="99"/>
      <c r="K1539" s="99"/>
      <c r="L1539" s="99"/>
      <c r="M1539" s="99"/>
      <c r="N1539" s="99"/>
      <c r="O1539" s="99"/>
      <c r="P1539" s="99"/>
      <c r="Q1539" s="99"/>
      <c r="R1539" s="99"/>
      <c r="S1539" s="103"/>
      <c r="T1539" s="99"/>
      <c r="U1539" s="103"/>
      <c r="V1539" s="99"/>
      <c r="W1539" s="99"/>
      <c r="X1539" s="99"/>
      <c r="Y1539" s="99"/>
      <c r="Z1539" s="99"/>
      <c r="AA1539" s="99"/>
      <c r="AB1539" s="99"/>
      <c r="AC1539" s="99"/>
      <c r="AD1539" s="103"/>
      <c r="AE1539" s="99"/>
      <c r="AF1539" s="99"/>
      <c r="AG1539" s="99"/>
      <c r="AH1539" s="99"/>
      <c r="AI1539" s="99"/>
      <c r="AJ1539" s="99"/>
      <c r="AK1539" s="99"/>
      <c r="AL1539" s="99"/>
      <c r="AM1539" s="99"/>
      <c r="AN1539" s="99"/>
      <c r="AO1539" s="99"/>
      <c r="AP1539" s="1"/>
      <c r="AQ1539" s="1"/>
    </row>
    <row r="1540" ht="15.75" customHeight="1">
      <c r="A1540" s="1"/>
      <c r="B1540" s="1"/>
      <c r="C1540" s="1"/>
      <c r="D1540" s="1"/>
      <c r="E1540" s="1"/>
      <c r="F1540" s="1"/>
      <c r="G1540" s="1"/>
      <c r="H1540" s="99"/>
      <c r="I1540" s="99"/>
      <c r="J1540" s="99"/>
      <c r="K1540" s="99"/>
      <c r="L1540" s="99"/>
      <c r="M1540" s="99"/>
      <c r="N1540" s="99"/>
      <c r="O1540" s="99"/>
      <c r="P1540" s="99"/>
      <c r="Q1540" s="99"/>
      <c r="R1540" s="99"/>
      <c r="S1540" s="103"/>
      <c r="T1540" s="99"/>
      <c r="U1540" s="103"/>
      <c r="V1540" s="99"/>
      <c r="W1540" s="99"/>
      <c r="X1540" s="99"/>
      <c r="Y1540" s="99"/>
      <c r="Z1540" s="99"/>
      <c r="AA1540" s="99"/>
      <c r="AB1540" s="99"/>
      <c r="AC1540" s="99"/>
      <c r="AD1540" s="103"/>
      <c r="AE1540" s="99"/>
      <c r="AF1540" s="99"/>
      <c r="AG1540" s="99"/>
      <c r="AH1540" s="99"/>
      <c r="AI1540" s="99"/>
      <c r="AJ1540" s="99"/>
      <c r="AK1540" s="99"/>
      <c r="AL1540" s="99"/>
      <c r="AM1540" s="99"/>
      <c r="AN1540" s="99"/>
      <c r="AO1540" s="99"/>
      <c r="AP1540" s="1"/>
      <c r="AQ1540" s="1"/>
    </row>
    <row r="1541" ht="15.75" customHeight="1">
      <c r="A1541" s="1"/>
      <c r="B1541" s="1"/>
      <c r="C1541" s="1"/>
      <c r="D1541" s="1"/>
      <c r="E1541" s="1"/>
      <c r="F1541" s="1"/>
      <c r="G1541" s="1"/>
      <c r="H1541" s="99"/>
      <c r="I1541" s="99"/>
      <c r="J1541" s="99"/>
      <c r="K1541" s="99"/>
      <c r="L1541" s="99"/>
      <c r="M1541" s="99"/>
      <c r="N1541" s="99"/>
      <c r="O1541" s="99"/>
      <c r="P1541" s="99"/>
      <c r="Q1541" s="99"/>
      <c r="R1541" s="99"/>
      <c r="S1541" s="103"/>
      <c r="T1541" s="99"/>
      <c r="U1541" s="103"/>
      <c r="V1541" s="99"/>
      <c r="W1541" s="99"/>
      <c r="X1541" s="99"/>
      <c r="Y1541" s="99"/>
      <c r="Z1541" s="99"/>
      <c r="AA1541" s="99"/>
      <c r="AB1541" s="99"/>
      <c r="AC1541" s="99"/>
      <c r="AD1541" s="103"/>
      <c r="AE1541" s="99"/>
      <c r="AF1541" s="99"/>
      <c r="AG1541" s="99"/>
      <c r="AH1541" s="99"/>
      <c r="AI1541" s="99"/>
      <c r="AJ1541" s="99"/>
      <c r="AK1541" s="99"/>
      <c r="AL1541" s="99"/>
      <c r="AM1541" s="99"/>
      <c r="AN1541" s="99"/>
      <c r="AO1541" s="99"/>
      <c r="AP1541" s="1"/>
      <c r="AQ1541" s="1"/>
    </row>
    <row r="1542" ht="15.75" customHeight="1">
      <c r="A1542" s="1"/>
      <c r="B1542" s="1"/>
      <c r="C1542" s="1"/>
      <c r="D1542" s="1"/>
      <c r="E1542" s="1"/>
      <c r="F1542" s="1"/>
      <c r="G1542" s="1"/>
      <c r="H1542" s="99"/>
      <c r="I1542" s="99"/>
      <c r="J1542" s="99"/>
      <c r="K1542" s="99"/>
      <c r="L1542" s="99"/>
      <c r="M1542" s="99"/>
      <c r="N1542" s="99"/>
      <c r="O1542" s="99"/>
      <c r="P1542" s="99"/>
      <c r="Q1542" s="99"/>
      <c r="R1542" s="99"/>
      <c r="S1542" s="103"/>
      <c r="T1542" s="99"/>
      <c r="U1542" s="103"/>
      <c r="V1542" s="99"/>
      <c r="W1542" s="99"/>
      <c r="X1542" s="99"/>
      <c r="Y1542" s="99"/>
      <c r="Z1542" s="99"/>
      <c r="AA1542" s="99"/>
      <c r="AB1542" s="99"/>
      <c r="AC1542" s="99"/>
      <c r="AD1542" s="103"/>
      <c r="AE1542" s="99"/>
      <c r="AF1542" s="99"/>
      <c r="AG1542" s="99"/>
      <c r="AH1542" s="99"/>
      <c r="AI1542" s="99"/>
      <c r="AJ1542" s="99"/>
      <c r="AK1542" s="99"/>
      <c r="AL1542" s="99"/>
      <c r="AM1542" s="99"/>
      <c r="AN1542" s="99"/>
      <c r="AO1542" s="99"/>
      <c r="AP1542" s="1"/>
      <c r="AQ1542" s="1"/>
    </row>
    <row r="1543" ht="15.75" customHeight="1">
      <c r="A1543" s="1"/>
      <c r="B1543" s="1"/>
      <c r="C1543" s="1"/>
      <c r="D1543" s="1"/>
      <c r="E1543" s="1"/>
      <c r="F1543" s="1"/>
      <c r="G1543" s="1"/>
      <c r="H1543" s="99"/>
      <c r="I1543" s="99"/>
      <c r="J1543" s="99"/>
      <c r="K1543" s="99"/>
      <c r="L1543" s="99"/>
      <c r="M1543" s="99"/>
      <c r="N1543" s="99"/>
      <c r="O1543" s="99"/>
      <c r="P1543" s="99"/>
      <c r="Q1543" s="99"/>
      <c r="R1543" s="99"/>
      <c r="S1543" s="103"/>
      <c r="T1543" s="99"/>
      <c r="U1543" s="103"/>
      <c r="V1543" s="99"/>
      <c r="W1543" s="99"/>
      <c r="X1543" s="99"/>
      <c r="Y1543" s="99"/>
      <c r="Z1543" s="99"/>
      <c r="AA1543" s="99"/>
      <c r="AB1543" s="99"/>
      <c r="AC1543" s="99"/>
      <c r="AD1543" s="103"/>
      <c r="AE1543" s="99"/>
      <c r="AF1543" s="99"/>
      <c r="AG1543" s="99"/>
      <c r="AH1543" s="99"/>
      <c r="AI1543" s="99"/>
      <c r="AJ1543" s="99"/>
      <c r="AK1543" s="99"/>
      <c r="AL1543" s="99"/>
      <c r="AM1543" s="99"/>
      <c r="AN1543" s="99"/>
      <c r="AO1543" s="99"/>
      <c r="AP1543" s="1"/>
      <c r="AQ1543" s="1"/>
    </row>
    <row r="1544" ht="15.75" customHeight="1">
      <c r="A1544" s="1"/>
      <c r="B1544" s="1"/>
      <c r="C1544" s="1"/>
      <c r="D1544" s="1"/>
      <c r="E1544" s="1"/>
      <c r="F1544" s="1"/>
      <c r="G1544" s="1"/>
      <c r="H1544" s="99"/>
      <c r="I1544" s="99"/>
      <c r="J1544" s="99"/>
      <c r="K1544" s="99"/>
      <c r="L1544" s="99"/>
      <c r="M1544" s="99"/>
      <c r="N1544" s="99"/>
      <c r="O1544" s="99"/>
      <c r="P1544" s="99"/>
      <c r="Q1544" s="99"/>
      <c r="R1544" s="99"/>
      <c r="S1544" s="103"/>
      <c r="T1544" s="99"/>
      <c r="U1544" s="103"/>
      <c r="V1544" s="99"/>
      <c r="W1544" s="99"/>
      <c r="X1544" s="99"/>
      <c r="Y1544" s="99"/>
      <c r="Z1544" s="99"/>
      <c r="AA1544" s="99"/>
      <c r="AB1544" s="99"/>
      <c r="AC1544" s="99"/>
      <c r="AD1544" s="103"/>
      <c r="AE1544" s="99"/>
      <c r="AF1544" s="99"/>
      <c r="AG1544" s="99"/>
      <c r="AH1544" s="99"/>
      <c r="AI1544" s="99"/>
      <c r="AJ1544" s="99"/>
      <c r="AK1544" s="99"/>
      <c r="AL1544" s="99"/>
      <c r="AM1544" s="99"/>
      <c r="AN1544" s="99"/>
      <c r="AO1544" s="99"/>
      <c r="AP1544" s="1"/>
      <c r="AQ1544" s="1"/>
    </row>
    <row r="1545" ht="15.75" customHeight="1">
      <c r="A1545" s="1"/>
      <c r="B1545" s="1"/>
      <c r="C1545" s="1"/>
      <c r="D1545" s="1"/>
      <c r="E1545" s="1"/>
      <c r="F1545" s="1"/>
      <c r="G1545" s="1"/>
      <c r="H1545" s="99"/>
      <c r="I1545" s="99"/>
      <c r="J1545" s="99"/>
      <c r="K1545" s="99"/>
      <c r="L1545" s="99"/>
      <c r="M1545" s="99"/>
      <c r="N1545" s="99"/>
      <c r="O1545" s="99"/>
      <c r="P1545" s="99"/>
      <c r="Q1545" s="99"/>
      <c r="R1545" s="99"/>
      <c r="S1545" s="103"/>
      <c r="T1545" s="99"/>
      <c r="U1545" s="103"/>
      <c r="V1545" s="99"/>
      <c r="W1545" s="99"/>
      <c r="X1545" s="99"/>
      <c r="Y1545" s="99"/>
      <c r="Z1545" s="99"/>
      <c r="AA1545" s="99"/>
      <c r="AB1545" s="99"/>
      <c r="AC1545" s="99"/>
      <c r="AD1545" s="103"/>
      <c r="AE1545" s="99"/>
      <c r="AF1545" s="99"/>
      <c r="AG1545" s="99"/>
      <c r="AH1545" s="99"/>
      <c r="AI1545" s="99"/>
      <c r="AJ1545" s="99"/>
      <c r="AK1545" s="99"/>
      <c r="AL1545" s="99"/>
      <c r="AM1545" s="99"/>
      <c r="AN1545" s="99"/>
      <c r="AO1545" s="99"/>
      <c r="AP1545" s="1"/>
      <c r="AQ1545" s="1"/>
    </row>
    <row r="1546" ht="15.75" customHeight="1">
      <c r="A1546" s="1"/>
      <c r="B1546" s="1"/>
      <c r="C1546" s="1"/>
      <c r="D1546" s="1"/>
      <c r="E1546" s="1"/>
      <c r="F1546" s="1"/>
      <c r="G1546" s="1"/>
      <c r="H1546" s="99"/>
      <c r="I1546" s="99"/>
      <c r="J1546" s="99"/>
      <c r="K1546" s="99"/>
      <c r="L1546" s="99"/>
      <c r="M1546" s="99"/>
      <c r="N1546" s="99"/>
      <c r="O1546" s="99"/>
      <c r="P1546" s="99"/>
      <c r="Q1546" s="99"/>
      <c r="R1546" s="99"/>
      <c r="S1546" s="103"/>
      <c r="T1546" s="99"/>
      <c r="U1546" s="103"/>
      <c r="V1546" s="99"/>
      <c r="W1546" s="99"/>
      <c r="X1546" s="99"/>
      <c r="Y1546" s="99"/>
      <c r="Z1546" s="99"/>
      <c r="AA1546" s="99"/>
      <c r="AB1546" s="99"/>
      <c r="AC1546" s="99"/>
      <c r="AD1546" s="103"/>
      <c r="AE1546" s="99"/>
      <c r="AF1546" s="99"/>
      <c r="AG1546" s="99"/>
      <c r="AH1546" s="99"/>
      <c r="AI1546" s="99"/>
      <c r="AJ1546" s="99"/>
      <c r="AK1546" s="99"/>
      <c r="AL1546" s="99"/>
      <c r="AM1546" s="99"/>
      <c r="AN1546" s="99"/>
      <c r="AO1546" s="99"/>
      <c r="AP1546" s="1"/>
      <c r="AQ1546" s="1"/>
    </row>
    <row r="1547" ht="15.75" customHeight="1">
      <c r="A1547" s="1"/>
      <c r="B1547" s="1"/>
      <c r="C1547" s="1"/>
      <c r="D1547" s="1"/>
      <c r="E1547" s="1"/>
      <c r="F1547" s="1"/>
      <c r="G1547" s="1"/>
      <c r="H1547" s="99"/>
      <c r="I1547" s="99"/>
      <c r="J1547" s="99"/>
      <c r="K1547" s="99"/>
      <c r="L1547" s="99"/>
      <c r="M1547" s="99"/>
      <c r="N1547" s="99"/>
      <c r="O1547" s="99"/>
      <c r="P1547" s="99"/>
      <c r="Q1547" s="99"/>
      <c r="R1547" s="99"/>
      <c r="S1547" s="103"/>
      <c r="T1547" s="99"/>
      <c r="U1547" s="103"/>
      <c r="V1547" s="99"/>
      <c r="W1547" s="99"/>
      <c r="X1547" s="99"/>
      <c r="Y1547" s="99"/>
      <c r="Z1547" s="99"/>
      <c r="AA1547" s="99"/>
      <c r="AB1547" s="99"/>
      <c r="AC1547" s="99"/>
      <c r="AD1547" s="103"/>
      <c r="AE1547" s="99"/>
      <c r="AF1547" s="99"/>
      <c r="AG1547" s="99"/>
      <c r="AH1547" s="99"/>
      <c r="AI1547" s="99"/>
      <c r="AJ1547" s="99"/>
      <c r="AK1547" s="99"/>
      <c r="AL1547" s="99"/>
      <c r="AM1547" s="99"/>
      <c r="AN1547" s="99"/>
      <c r="AO1547" s="99"/>
      <c r="AP1547" s="1"/>
      <c r="AQ1547" s="1"/>
    </row>
    <row r="1548" ht="15.75" customHeight="1">
      <c r="A1548" s="1"/>
      <c r="B1548" s="1"/>
      <c r="C1548" s="1"/>
      <c r="D1548" s="1"/>
      <c r="E1548" s="1"/>
      <c r="F1548" s="1"/>
      <c r="G1548" s="1"/>
      <c r="H1548" s="99"/>
      <c r="I1548" s="99"/>
      <c r="J1548" s="99"/>
      <c r="K1548" s="99"/>
      <c r="L1548" s="99"/>
      <c r="M1548" s="99"/>
      <c r="N1548" s="99"/>
      <c r="O1548" s="99"/>
      <c r="P1548" s="99"/>
      <c r="Q1548" s="99"/>
      <c r="R1548" s="99"/>
      <c r="S1548" s="103"/>
      <c r="T1548" s="99"/>
      <c r="U1548" s="103"/>
      <c r="V1548" s="99"/>
      <c r="W1548" s="99"/>
      <c r="X1548" s="99"/>
      <c r="Y1548" s="99"/>
      <c r="Z1548" s="99"/>
      <c r="AA1548" s="99"/>
      <c r="AB1548" s="99"/>
      <c r="AC1548" s="99"/>
      <c r="AD1548" s="103"/>
      <c r="AE1548" s="99"/>
      <c r="AF1548" s="99"/>
      <c r="AG1548" s="99"/>
      <c r="AH1548" s="99"/>
      <c r="AI1548" s="99"/>
      <c r="AJ1548" s="99"/>
      <c r="AK1548" s="99"/>
      <c r="AL1548" s="99"/>
      <c r="AM1548" s="99"/>
      <c r="AN1548" s="99"/>
      <c r="AO1548" s="99"/>
      <c r="AP1548" s="1"/>
      <c r="AQ1548" s="1"/>
    </row>
    <row r="1549" ht="15.75" customHeight="1">
      <c r="A1549" s="1"/>
      <c r="B1549" s="1"/>
      <c r="C1549" s="1"/>
      <c r="D1549" s="1"/>
      <c r="E1549" s="1"/>
      <c r="F1549" s="1"/>
      <c r="G1549" s="1"/>
      <c r="H1549" s="99"/>
      <c r="I1549" s="99"/>
      <c r="J1549" s="99"/>
      <c r="K1549" s="99"/>
      <c r="L1549" s="99"/>
      <c r="M1549" s="99"/>
      <c r="N1549" s="99"/>
      <c r="O1549" s="99"/>
      <c r="P1549" s="99"/>
      <c r="Q1549" s="99"/>
      <c r="R1549" s="99"/>
      <c r="S1549" s="103"/>
      <c r="T1549" s="99"/>
      <c r="U1549" s="103"/>
      <c r="V1549" s="99"/>
      <c r="W1549" s="99"/>
      <c r="X1549" s="99"/>
      <c r="Y1549" s="99"/>
      <c r="Z1549" s="99"/>
      <c r="AA1549" s="99"/>
      <c r="AB1549" s="99"/>
      <c r="AC1549" s="99"/>
      <c r="AD1549" s="103"/>
      <c r="AE1549" s="99"/>
      <c r="AF1549" s="99"/>
      <c r="AG1549" s="99"/>
      <c r="AH1549" s="99"/>
      <c r="AI1549" s="99"/>
      <c r="AJ1549" s="99"/>
      <c r="AK1549" s="99"/>
      <c r="AL1549" s="99"/>
      <c r="AM1549" s="99"/>
      <c r="AN1549" s="99"/>
      <c r="AO1549" s="99"/>
      <c r="AP1549" s="1"/>
      <c r="AQ1549" s="1"/>
    </row>
    <row r="1550" ht="15.75" customHeight="1">
      <c r="A1550" s="1"/>
      <c r="B1550" s="1"/>
      <c r="C1550" s="1"/>
      <c r="D1550" s="1"/>
      <c r="E1550" s="1"/>
      <c r="F1550" s="1"/>
      <c r="G1550" s="1"/>
      <c r="H1550" s="99"/>
      <c r="I1550" s="99"/>
      <c r="J1550" s="99"/>
      <c r="K1550" s="99"/>
      <c r="L1550" s="99"/>
      <c r="M1550" s="99"/>
      <c r="N1550" s="99"/>
      <c r="O1550" s="99"/>
      <c r="P1550" s="99"/>
      <c r="Q1550" s="99"/>
      <c r="R1550" s="99"/>
      <c r="S1550" s="103"/>
      <c r="T1550" s="99"/>
      <c r="U1550" s="103"/>
      <c r="V1550" s="99"/>
      <c r="W1550" s="99"/>
      <c r="X1550" s="99"/>
      <c r="Y1550" s="99"/>
      <c r="Z1550" s="99"/>
      <c r="AA1550" s="99"/>
      <c r="AB1550" s="99"/>
      <c r="AC1550" s="99"/>
      <c r="AD1550" s="103"/>
      <c r="AE1550" s="99"/>
      <c r="AF1550" s="99"/>
      <c r="AG1550" s="99"/>
      <c r="AH1550" s="99"/>
      <c r="AI1550" s="99"/>
      <c r="AJ1550" s="99"/>
      <c r="AK1550" s="99"/>
      <c r="AL1550" s="99"/>
      <c r="AM1550" s="99"/>
      <c r="AN1550" s="99"/>
      <c r="AO1550" s="99"/>
      <c r="AP1550" s="1"/>
      <c r="AQ1550" s="1"/>
    </row>
    <row r="1551" ht="15.75" customHeight="1">
      <c r="A1551" s="1"/>
      <c r="B1551" s="1"/>
      <c r="C1551" s="1"/>
      <c r="D1551" s="1"/>
      <c r="E1551" s="1"/>
      <c r="F1551" s="1"/>
      <c r="G1551" s="1"/>
      <c r="H1551" s="99"/>
      <c r="I1551" s="99"/>
      <c r="J1551" s="99"/>
      <c r="K1551" s="99"/>
      <c r="L1551" s="99"/>
      <c r="M1551" s="99"/>
      <c r="N1551" s="99"/>
      <c r="O1551" s="99"/>
      <c r="P1551" s="99"/>
      <c r="Q1551" s="99"/>
      <c r="R1551" s="99"/>
      <c r="S1551" s="103"/>
      <c r="T1551" s="99"/>
      <c r="U1551" s="103"/>
      <c r="V1551" s="99"/>
      <c r="W1551" s="99"/>
      <c r="X1551" s="99"/>
      <c r="Y1551" s="99"/>
      <c r="Z1551" s="99"/>
      <c r="AA1551" s="99"/>
      <c r="AB1551" s="99"/>
      <c r="AC1551" s="99"/>
      <c r="AD1551" s="103"/>
      <c r="AE1551" s="99"/>
      <c r="AF1551" s="99"/>
      <c r="AG1551" s="99"/>
      <c r="AH1551" s="99"/>
      <c r="AI1551" s="99"/>
      <c r="AJ1551" s="99"/>
      <c r="AK1551" s="99"/>
      <c r="AL1551" s="99"/>
      <c r="AM1551" s="99"/>
      <c r="AN1551" s="99"/>
      <c r="AO1551" s="99"/>
      <c r="AP1551" s="1"/>
      <c r="AQ1551" s="1"/>
    </row>
    <row r="1552" ht="15.75" customHeight="1">
      <c r="A1552" s="1"/>
      <c r="B1552" s="1"/>
      <c r="C1552" s="1"/>
      <c r="D1552" s="1"/>
      <c r="E1552" s="1"/>
      <c r="F1552" s="1"/>
      <c r="G1552" s="1"/>
      <c r="H1552" s="99"/>
      <c r="I1552" s="99"/>
      <c r="J1552" s="99"/>
      <c r="K1552" s="99"/>
      <c r="L1552" s="99"/>
      <c r="M1552" s="99"/>
      <c r="N1552" s="99"/>
      <c r="O1552" s="99"/>
      <c r="P1552" s="99"/>
      <c r="Q1552" s="99"/>
      <c r="R1552" s="99"/>
      <c r="S1552" s="103"/>
      <c r="T1552" s="99"/>
      <c r="U1552" s="103"/>
      <c r="V1552" s="99"/>
      <c r="W1552" s="99"/>
      <c r="X1552" s="99"/>
      <c r="Y1552" s="99"/>
      <c r="Z1552" s="99"/>
      <c r="AA1552" s="99"/>
      <c r="AB1552" s="99"/>
      <c r="AC1552" s="99"/>
      <c r="AD1552" s="103"/>
      <c r="AE1552" s="99"/>
      <c r="AF1552" s="99"/>
      <c r="AG1552" s="99"/>
      <c r="AH1552" s="99"/>
      <c r="AI1552" s="99"/>
      <c r="AJ1552" s="99"/>
      <c r="AK1552" s="99"/>
      <c r="AL1552" s="99"/>
      <c r="AM1552" s="99"/>
      <c r="AN1552" s="99"/>
      <c r="AO1552" s="99"/>
      <c r="AP1552" s="1"/>
      <c r="AQ1552" s="1"/>
    </row>
    <row r="1553" ht="15.75" customHeight="1">
      <c r="A1553" s="1"/>
      <c r="B1553" s="1"/>
      <c r="C1553" s="1"/>
      <c r="D1553" s="1"/>
      <c r="E1553" s="1"/>
      <c r="F1553" s="1"/>
      <c r="G1553" s="1"/>
      <c r="H1553" s="99"/>
      <c r="I1553" s="99"/>
      <c r="J1553" s="99"/>
      <c r="K1553" s="99"/>
      <c r="L1553" s="99"/>
      <c r="M1553" s="99"/>
      <c r="N1553" s="99"/>
      <c r="O1553" s="99"/>
      <c r="P1553" s="99"/>
      <c r="Q1553" s="99"/>
      <c r="R1553" s="99"/>
      <c r="S1553" s="103"/>
      <c r="T1553" s="99"/>
      <c r="U1553" s="103"/>
      <c r="V1553" s="99"/>
      <c r="W1553" s="99"/>
      <c r="X1553" s="99"/>
      <c r="Y1553" s="99"/>
      <c r="Z1553" s="99"/>
      <c r="AA1553" s="99"/>
      <c r="AB1553" s="99"/>
      <c r="AC1553" s="99"/>
      <c r="AD1553" s="103"/>
      <c r="AE1553" s="99"/>
      <c r="AF1553" s="99"/>
      <c r="AG1553" s="99"/>
      <c r="AH1553" s="99"/>
      <c r="AI1553" s="99"/>
      <c r="AJ1553" s="99"/>
      <c r="AK1553" s="99"/>
      <c r="AL1553" s="99"/>
      <c r="AM1553" s="99"/>
      <c r="AN1553" s="99"/>
      <c r="AO1553" s="99"/>
      <c r="AP1553" s="1"/>
      <c r="AQ1553" s="1"/>
    </row>
    <row r="1554" ht="15.75" customHeight="1">
      <c r="A1554" s="1"/>
      <c r="B1554" s="1"/>
      <c r="C1554" s="1"/>
      <c r="D1554" s="1"/>
      <c r="E1554" s="1"/>
      <c r="F1554" s="1"/>
      <c r="G1554" s="1"/>
      <c r="H1554" s="99"/>
      <c r="I1554" s="99"/>
      <c r="J1554" s="99"/>
      <c r="K1554" s="99"/>
      <c r="L1554" s="99"/>
      <c r="M1554" s="99"/>
      <c r="N1554" s="99"/>
      <c r="O1554" s="99"/>
      <c r="P1554" s="99"/>
      <c r="Q1554" s="99"/>
      <c r="R1554" s="99"/>
      <c r="S1554" s="103"/>
      <c r="T1554" s="99"/>
      <c r="U1554" s="103"/>
      <c r="V1554" s="99"/>
      <c r="W1554" s="99"/>
      <c r="X1554" s="99"/>
      <c r="Y1554" s="99"/>
      <c r="Z1554" s="99"/>
      <c r="AA1554" s="99"/>
      <c r="AB1554" s="99"/>
      <c r="AC1554" s="99"/>
      <c r="AD1554" s="103"/>
      <c r="AE1554" s="99"/>
      <c r="AF1554" s="99"/>
      <c r="AG1554" s="99"/>
      <c r="AH1554" s="99"/>
      <c r="AI1554" s="99"/>
      <c r="AJ1554" s="99"/>
      <c r="AK1554" s="99"/>
      <c r="AL1554" s="99"/>
      <c r="AM1554" s="99"/>
      <c r="AN1554" s="99"/>
      <c r="AO1554" s="99"/>
      <c r="AP1554" s="1"/>
      <c r="AQ1554" s="1"/>
    </row>
    <row r="1555" ht="15.75" customHeight="1">
      <c r="A1555" s="1"/>
      <c r="B1555" s="1"/>
      <c r="C1555" s="1"/>
      <c r="D1555" s="1"/>
      <c r="E1555" s="1"/>
      <c r="F1555" s="1"/>
      <c r="G1555" s="1"/>
      <c r="H1555" s="99"/>
      <c r="I1555" s="99"/>
      <c r="J1555" s="99"/>
      <c r="K1555" s="99"/>
      <c r="L1555" s="99"/>
      <c r="M1555" s="99"/>
      <c r="N1555" s="99"/>
      <c r="O1555" s="99"/>
      <c r="P1555" s="99"/>
      <c r="Q1555" s="99"/>
      <c r="R1555" s="99"/>
      <c r="S1555" s="103"/>
      <c r="T1555" s="99"/>
      <c r="U1555" s="103"/>
      <c r="V1555" s="99"/>
      <c r="W1555" s="99"/>
      <c r="X1555" s="99"/>
      <c r="Y1555" s="99"/>
      <c r="Z1555" s="99"/>
      <c r="AA1555" s="99"/>
      <c r="AB1555" s="99"/>
      <c r="AC1555" s="99"/>
      <c r="AD1555" s="103"/>
      <c r="AE1555" s="99"/>
      <c r="AF1555" s="99"/>
      <c r="AG1555" s="99"/>
      <c r="AH1555" s="99"/>
      <c r="AI1555" s="99"/>
      <c r="AJ1555" s="99"/>
      <c r="AK1555" s="99"/>
      <c r="AL1555" s="99"/>
      <c r="AM1555" s="99"/>
      <c r="AN1555" s="99"/>
      <c r="AO1555" s="99"/>
      <c r="AP1555" s="1"/>
      <c r="AQ1555" s="1"/>
    </row>
    <row r="1556" ht="15.75" customHeight="1">
      <c r="A1556" s="1"/>
      <c r="B1556" s="1"/>
      <c r="C1556" s="1"/>
      <c r="D1556" s="1"/>
      <c r="E1556" s="1"/>
      <c r="F1556" s="1"/>
      <c r="G1556" s="1"/>
      <c r="H1556" s="99"/>
      <c r="I1556" s="99"/>
      <c r="J1556" s="99"/>
      <c r="K1556" s="99"/>
      <c r="L1556" s="99"/>
      <c r="M1556" s="99"/>
      <c r="N1556" s="99"/>
      <c r="O1556" s="99"/>
      <c r="P1556" s="99"/>
      <c r="Q1556" s="99"/>
      <c r="R1556" s="99"/>
      <c r="S1556" s="103"/>
      <c r="T1556" s="99"/>
      <c r="U1556" s="103"/>
      <c r="V1556" s="99"/>
      <c r="W1556" s="99"/>
      <c r="X1556" s="99"/>
      <c r="Y1556" s="99"/>
      <c r="Z1556" s="99"/>
      <c r="AA1556" s="99"/>
      <c r="AB1556" s="99"/>
      <c r="AC1556" s="99"/>
      <c r="AD1556" s="103"/>
      <c r="AE1556" s="99"/>
      <c r="AF1556" s="99"/>
      <c r="AG1556" s="99"/>
      <c r="AH1556" s="99"/>
      <c r="AI1556" s="99"/>
      <c r="AJ1556" s="99"/>
      <c r="AK1556" s="99"/>
      <c r="AL1556" s="99"/>
      <c r="AM1556" s="99"/>
      <c r="AN1556" s="99"/>
      <c r="AO1556" s="99"/>
      <c r="AP1556" s="1"/>
      <c r="AQ1556" s="1"/>
    </row>
    <row r="1557" ht="15.75" customHeight="1">
      <c r="A1557" s="1"/>
      <c r="B1557" s="1"/>
      <c r="C1557" s="1"/>
      <c r="D1557" s="1"/>
      <c r="E1557" s="1"/>
      <c r="F1557" s="1"/>
      <c r="G1557" s="1"/>
      <c r="H1557" s="99"/>
      <c r="I1557" s="99"/>
      <c r="J1557" s="99"/>
      <c r="K1557" s="99"/>
      <c r="L1557" s="99"/>
      <c r="M1557" s="99"/>
      <c r="N1557" s="99"/>
      <c r="O1557" s="99"/>
      <c r="P1557" s="99"/>
      <c r="Q1557" s="99"/>
      <c r="R1557" s="99"/>
      <c r="S1557" s="103"/>
      <c r="T1557" s="99"/>
      <c r="U1557" s="103"/>
      <c r="V1557" s="99"/>
      <c r="W1557" s="99"/>
      <c r="X1557" s="99"/>
      <c r="Y1557" s="99"/>
      <c r="Z1557" s="99"/>
      <c r="AA1557" s="99"/>
      <c r="AB1557" s="99"/>
      <c r="AC1557" s="99"/>
      <c r="AD1557" s="103"/>
      <c r="AE1557" s="99"/>
      <c r="AF1557" s="99"/>
      <c r="AG1557" s="99"/>
      <c r="AH1557" s="99"/>
      <c r="AI1557" s="99"/>
      <c r="AJ1557" s="99"/>
      <c r="AK1557" s="99"/>
      <c r="AL1557" s="99"/>
      <c r="AM1557" s="99"/>
      <c r="AN1557" s="99"/>
      <c r="AO1557" s="99"/>
      <c r="AP1557" s="1"/>
      <c r="AQ1557" s="1"/>
    </row>
    <row r="1558" ht="15.75" customHeight="1">
      <c r="A1558" s="1"/>
      <c r="B1558" s="1"/>
      <c r="C1558" s="1"/>
      <c r="D1558" s="1"/>
      <c r="E1558" s="1"/>
      <c r="F1558" s="1"/>
      <c r="G1558" s="1"/>
      <c r="H1558" s="99"/>
      <c r="I1558" s="99"/>
      <c r="J1558" s="99"/>
      <c r="K1558" s="99"/>
      <c r="L1558" s="99"/>
      <c r="M1558" s="99"/>
      <c r="N1558" s="99"/>
      <c r="O1558" s="99"/>
      <c r="P1558" s="99"/>
      <c r="Q1558" s="99"/>
      <c r="R1558" s="99"/>
      <c r="S1558" s="103"/>
      <c r="T1558" s="99"/>
      <c r="U1558" s="103"/>
      <c r="V1558" s="99"/>
      <c r="W1558" s="99"/>
      <c r="X1558" s="99"/>
      <c r="Y1558" s="99"/>
      <c r="Z1558" s="99"/>
      <c r="AA1558" s="99"/>
      <c r="AB1558" s="99"/>
      <c r="AC1558" s="99"/>
      <c r="AD1558" s="103"/>
      <c r="AE1558" s="99"/>
      <c r="AF1558" s="99"/>
      <c r="AG1558" s="99"/>
      <c r="AH1558" s="99"/>
      <c r="AI1558" s="99"/>
      <c r="AJ1558" s="99"/>
      <c r="AK1558" s="99"/>
      <c r="AL1558" s="99"/>
      <c r="AM1558" s="99"/>
      <c r="AN1558" s="99"/>
      <c r="AO1558" s="99"/>
      <c r="AP1558" s="1"/>
      <c r="AQ1558" s="1"/>
    </row>
    <row r="1559" ht="15.75" customHeight="1">
      <c r="A1559" s="1"/>
      <c r="B1559" s="1"/>
      <c r="C1559" s="1"/>
      <c r="D1559" s="1"/>
      <c r="E1559" s="1"/>
      <c r="F1559" s="1"/>
      <c r="G1559" s="1"/>
      <c r="H1559" s="99"/>
      <c r="I1559" s="99"/>
      <c r="J1559" s="99"/>
      <c r="K1559" s="99"/>
      <c r="L1559" s="99"/>
      <c r="M1559" s="99"/>
      <c r="N1559" s="99"/>
      <c r="O1559" s="99"/>
      <c r="P1559" s="99"/>
      <c r="Q1559" s="99"/>
      <c r="R1559" s="99"/>
      <c r="S1559" s="103"/>
      <c r="T1559" s="99"/>
      <c r="U1559" s="103"/>
      <c r="V1559" s="99"/>
      <c r="W1559" s="99"/>
      <c r="X1559" s="99"/>
      <c r="Y1559" s="99"/>
      <c r="Z1559" s="99"/>
      <c r="AA1559" s="99"/>
      <c r="AB1559" s="99"/>
      <c r="AC1559" s="99"/>
      <c r="AD1559" s="103"/>
      <c r="AE1559" s="99"/>
      <c r="AF1559" s="99"/>
      <c r="AG1559" s="99"/>
      <c r="AH1559" s="99"/>
      <c r="AI1559" s="99"/>
      <c r="AJ1559" s="99"/>
      <c r="AK1559" s="99"/>
      <c r="AL1559" s="99"/>
      <c r="AM1559" s="99"/>
      <c r="AN1559" s="99"/>
      <c r="AO1559" s="99"/>
      <c r="AP1559" s="1"/>
      <c r="AQ1559" s="1"/>
    </row>
    <row r="1560" ht="15.75" customHeight="1">
      <c r="A1560" s="1"/>
      <c r="B1560" s="1"/>
      <c r="C1560" s="1"/>
      <c r="D1560" s="1"/>
      <c r="E1560" s="1"/>
      <c r="F1560" s="1"/>
      <c r="G1560" s="1"/>
      <c r="H1560" s="99"/>
      <c r="I1560" s="99"/>
      <c r="J1560" s="99"/>
      <c r="K1560" s="99"/>
      <c r="L1560" s="99"/>
      <c r="M1560" s="99"/>
      <c r="N1560" s="99"/>
      <c r="O1560" s="99"/>
      <c r="P1560" s="99"/>
      <c r="Q1560" s="99"/>
      <c r="R1560" s="99"/>
      <c r="S1560" s="103"/>
      <c r="T1560" s="99"/>
      <c r="U1560" s="103"/>
      <c r="V1560" s="99"/>
      <c r="W1560" s="99"/>
      <c r="X1560" s="99"/>
      <c r="Y1560" s="99"/>
      <c r="Z1560" s="99"/>
      <c r="AA1560" s="99"/>
      <c r="AB1560" s="99"/>
      <c r="AC1560" s="99"/>
      <c r="AD1560" s="103"/>
      <c r="AE1560" s="99"/>
      <c r="AF1560" s="99"/>
      <c r="AG1560" s="99"/>
      <c r="AH1560" s="99"/>
      <c r="AI1560" s="99"/>
      <c r="AJ1560" s="99"/>
      <c r="AK1560" s="99"/>
      <c r="AL1560" s="99"/>
      <c r="AM1560" s="99"/>
      <c r="AN1560" s="99"/>
      <c r="AO1560" s="99"/>
      <c r="AP1560" s="1"/>
      <c r="AQ1560" s="1"/>
    </row>
    <row r="1561" ht="15.75" customHeight="1">
      <c r="A1561" s="1"/>
      <c r="B1561" s="1"/>
      <c r="C1561" s="1"/>
      <c r="D1561" s="1"/>
      <c r="E1561" s="1"/>
      <c r="F1561" s="1"/>
      <c r="G1561" s="1"/>
      <c r="H1561" s="99"/>
      <c r="I1561" s="99"/>
      <c r="J1561" s="99"/>
      <c r="K1561" s="99"/>
      <c r="L1561" s="99"/>
      <c r="M1561" s="99"/>
      <c r="N1561" s="99"/>
      <c r="O1561" s="99"/>
      <c r="P1561" s="99"/>
      <c r="Q1561" s="99"/>
      <c r="R1561" s="99"/>
      <c r="S1561" s="103"/>
      <c r="T1561" s="99"/>
      <c r="U1561" s="103"/>
      <c r="V1561" s="99"/>
      <c r="W1561" s="99"/>
      <c r="X1561" s="99"/>
      <c r="Y1561" s="99"/>
      <c r="Z1561" s="99"/>
      <c r="AA1561" s="99"/>
      <c r="AB1561" s="99"/>
      <c r="AC1561" s="99"/>
      <c r="AD1561" s="103"/>
      <c r="AE1561" s="99"/>
      <c r="AF1561" s="99"/>
      <c r="AG1561" s="99"/>
      <c r="AH1561" s="99"/>
      <c r="AI1561" s="99"/>
      <c r="AJ1561" s="99"/>
      <c r="AK1561" s="99"/>
      <c r="AL1561" s="99"/>
      <c r="AM1561" s="99"/>
      <c r="AN1561" s="99"/>
      <c r="AO1561" s="99"/>
      <c r="AP1561" s="1"/>
      <c r="AQ1561" s="1"/>
    </row>
    <row r="1562" ht="15.75" customHeight="1">
      <c r="A1562" s="1"/>
      <c r="B1562" s="1"/>
      <c r="C1562" s="1"/>
      <c r="D1562" s="1"/>
      <c r="E1562" s="1"/>
      <c r="F1562" s="1"/>
      <c r="G1562" s="1"/>
      <c r="H1562" s="99"/>
      <c r="I1562" s="99"/>
      <c r="J1562" s="99"/>
      <c r="K1562" s="99"/>
      <c r="L1562" s="99"/>
      <c r="M1562" s="99"/>
      <c r="N1562" s="99"/>
      <c r="O1562" s="99"/>
      <c r="P1562" s="99"/>
      <c r="Q1562" s="99"/>
      <c r="R1562" s="99"/>
      <c r="S1562" s="103"/>
      <c r="T1562" s="99"/>
      <c r="U1562" s="103"/>
      <c r="V1562" s="99"/>
      <c r="W1562" s="99"/>
      <c r="X1562" s="99"/>
      <c r="Y1562" s="99"/>
      <c r="Z1562" s="99"/>
      <c r="AA1562" s="99"/>
      <c r="AB1562" s="99"/>
      <c r="AC1562" s="99"/>
      <c r="AD1562" s="103"/>
      <c r="AE1562" s="99"/>
      <c r="AF1562" s="99"/>
      <c r="AG1562" s="99"/>
      <c r="AH1562" s="99"/>
      <c r="AI1562" s="99"/>
      <c r="AJ1562" s="99"/>
      <c r="AK1562" s="99"/>
      <c r="AL1562" s="99"/>
      <c r="AM1562" s="99"/>
      <c r="AN1562" s="99"/>
      <c r="AO1562" s="99"/>
      <c r="AP1562" s="1"/>
      <c r="AQ1562" s="1"/>
    </row>
    <row r="1563" ht="15.75" customHeight="1">
      <c r="A1563" s="1"/>
      <c r="B1563" s="1"/>
      <c r="C1563" s="1"/>
      <c r="D1563" s="1"/>
      <c r="E1563" s="1"/>
      <c r="F1563" s="1"/>
      <c r="G1563" s="1"/>
      <c r="H1563" s="99"/>
      <c r="I1563" s="99"/>
      <c r="J1563" s="99"/>
      <c r="K1563" s="99"/>
      <c r="L1563" s="99"/>
      <c r="M1563" s="99"/>
      <c r="N1563" s="99"/>
      <c r="O1563" s="99"/>
      <c r="P1563" s="99"/>
      <c r="Q1563" s="99"/>
      <c r="R1563" s="99"/>
      <c r="S1563" s="103"/>
      <c r="T1563" s="99"/>
      <c r="U1563" s="103"/>
      <c r="V1563" s="99"/>
      <c r="W1563" s="99"/>
      <c r="X1563" s="99"/>
      <c r="Y1563" s="99"/>
      <c r="Z1563" s="99"/>
      <c r="AA1563" s="99"/>
      <c r="AB1563" s="99"/>
      <c r="AC1563" s="99"/>
      <c r="AD1563" s="103"/>
      <c r="AE1563" s="99"/>
      <c r="AF1563" s="99"/>
      <c r="AG1563" s="99"/>
      <c r="AH1563" s="99"/>
      <c r="AI1563" s="99"/>
      <c r="AJ1563" s="99"/>
      <c r="AK1563" s="99"/>
      <c r="AL1563" s="99"/>
      <c r="AM1563" s="99"/>
      <c r="AN1563" s="99"/>
      <c r="AO1563" s="99"/>
      <c r="AP1563" s="1"/>
      <c r="AQ1563" s="1"/>
    </row>
    <row r="1564" ht="15.75" customHeight="1">
      <c r="A1564" s="1"/>
      <c r="B1564" s="1"/>
      <c r="C1564" s="1"/>
      <c r="D1564" s="1"/>
      <c r="E1564" s="1"/>
      <c r="F1564" s="1"/>
      <c r="G1564" s="1"/>
      <c r="H1564" s="99"/>
      <c r="I1564" s="99"/>
      <c r="J1564" s="99"/>
      <c r="K1564" s="99"/>
      <c r="L1564" s="99"/>
      <c r="M1564" s="99"/>
      <c r="N1564" s="99"/>
      <c r="O1564" s="99"/>
      <c r="P1564" s="99"/>
      <c r="Q1564" s="99"/>
      <c r="R1564" s="99"/>
      <c r="S1564" s="103"/>
      <c r="T1564" s="99"/>
      <c r="U1564" s="103"/>
      <c r="V1564" s="99"/>
      <c r="W1564" s="99"/>
      <c r="X1564" s="99"/>
      <c r="Y1564" s="99"/>
      <c r="Z1564" s="99"/>
      <c r="AA1564" s="99"/>
      <c r="AB1564" s="99"/>
      <c r="AC1564" s="99"/>
      <c r="AD1564" s="103"/>
      <c r="AE1564" s="99"/>
      <c r="AF1564" s="99"/>
      <c r="AG1564" s="99"/>
      <c r="AH1564" s="99"/>
      <c r="AI1564" s="99"/>
      <c r="AJ1564" s="99"/>
      <c r="AK1564" s="99"/>
      <c r="AL1564" s="99"/>
      <c r="AM1564" s="99"/>
      <c r="AN1564" s="99"/>
      <c r="AO1564" s="99"/>
      <c r="AP1564" s="1"/>
      <c r="AQ1564" s="1"/>
    </row>
    <row r="1565" ht="15.75" customHeight="1">
      <c r="A1565" s="1"/>
      <c r="B1565" s="1"/>
      <c r="C1565" s="1"/>
      <c r="D1565" s="1"/>
      <c r="E1565" s="1"/>
      <c r="F1565" s="1"/>
      <c r="G1565" s="1"/>
      <c r="H1565" s="99"/>
      <c r="I1565" s="99"/>
      <c r="J1565" s="99"/>
      <c r="K1565" s="99"/>
      <c r="L1565" s="99"/>
      <c r="M1565" s="99"/>
      <c r="N1565" s="99"/>
      <c r="O1565" s="99"/>
      <c r="P1565" s="99"/>
      <c r="Q1565" s="99"/>
      <c r="R1565" s="99"/>
      <c r="S1565" s="103"/>
      <c r="T1565" s="99"/>
      <c r="U1565" s="103"/>
      <c r="V1565" s="99"/>
      <c r="W1565" s="99"/>
      <c r="X1565" s="99"/>
      <c r="Y1565" s="99"/>
      <c r="Z1565" s="99"/>
      <c r="AA1565" s="99"/>
      <c r="AB1565" s="99"/>
      <c r="AC1565" s="99"/>
      <c r="AD1565" s="103"/>
      <c r="AE1565" s="99"/>
      <c r="AF1565" s="99"/>
      <c r="AG1565" s="99"/>
      <c r="AH1565" s="99"/>
      <c r="AI1565" s="99"/>
      <c r="AJ1565" s="99"/>
      <c r="AK1565" s="99"/>
      <c r="AL1565" s="99"/>
      <c r="AM1565" s="99"/>
      <c r="AN1565" s="99"/>
      <c r="AO1565" s="99"/>
      <c r="AP1565" s="1"/>
      <c r="AQ1565" s="1"/>
    </row>
    <row r="1566" ht="15.75" customHeight="1">
      <c r="A1566" s="1"/>
      <c r="B1566" s="1"/>
      <c r="C1566" s="1"/>
      <c r="D1566" s="1"/>
      <c r="E1566" s="1"/>
      <c r="F1566" s="1"/>
      <c r="G1566" s="1"/>
      <c r="H1566" s="99"/>
      <c r="I1566" s="99"/>
      <c r="J1566" s="99"/>
      <c r="K1566" s="99"/>
      <c r="L1566" s="99"/>
      <c r="M1566" s="99"/>
      <c r="N1566" s="99"/>
      <c r="O1566" s="99"/>
      <c r="P1566" s="99"/>
      <c r="Q1566" s="99"/>
      <c r="R1566" s="99"/>
      <c r="S1566" s="103"/>
      <c r="T1566" s="99"/>
      <c r="U1566" s="103"/>
      <c r="V1566" s="99"/>
      <c r="W1566" s="99"/>
      <c r="X1566" s="99"/>
      <c r="Y1566" s="99"/>
      <c r="Z1566" s="99"/>
      <c r="AA1566" s="99"/>
      <c r="AB1566" s="99"/>
      <c r="AC1566" s="99"/>
      <c r="AD1566" s="103"/>
      <c r="AE1566" s="99"/>
      <c r="AF1566" s="99"/>
      <c r="AG1566" s="99"/>
      <c r="AH1566" s="99"/>
      <c r="AI1566" s="99"/>
      <c r="AJ1566" s="99"/>
      <c r="AK1566" s="99"/>
      <c r="AL1566" s="99"/>
      <c r="AM1566" s="99"/>
      <c r="AN1566" s="99"/>
      <c r="AO1566" s="99"/>
      <c r="AP1566" s="1"/>
      <c r="AQ1566" s="1"/>
    </row>
    <row r="1567" ht="15.75" customHeight="1">
      <c r="A1567" s="1"/>
      <c r="B1567" s="1"/>
      <c r="C1567" s="1"/>
      <c r="D1567" s="1"/>
      <c r="E1567" s="1"/>
      <c r="F1567" s="1"/>
      <c r="G1567" s="1"/>
      <c r="H1567" s="99"/>
      <c r="I1567" s="99"/>
      <c r="J1567" s="99"/>
      <c r="K1567" s="99"/>
      <c r="L1567" s="99"/>
      <c r="M1567" s="99"/>
      <c r="N1567" s="99"/>
      <c r="O1567" s="99"/>
      <c r="P1567" s="99"/>
      <c r="Q1567" s="99"/>
      <c r="R1567" s="99"/>
      <c r="S1567" s="103"/>
      <c r="T1567" s="99"/>
      <c r="U1567" s="103"/>
      <c r="V1567" s="99"/>
      <c r="W1567" s="99"/>
      <c r="X1567" s="99"/>
      <c r="Y1567" s="99"/>
      <c r="Z1567" s="99"/>
      <c r="AA1567" s="99"/>
      <c r="AB1567" s="99"/>
      <c r="AC1567" s="99"/>
      <c r="AD1567" s="103"/>
      <c r="AE1567" s="99"/>
      <c r="AF1567" s="99"/>
      <c r="AG1567" s="99"/>
      <c r="AH1567" s="99"/>
      <c r="AI1567" s="99"/>
      <c r="AJ1567" s="99"/>
      <c r="AK1567" s="99"/>
      <c r="AL1567" s="99"/>
      <c r="AM1567" s="99"/>
      <c r="AN1567" s="99"/>
      <c r="AO1567" s="99"/>
      <c r="AP1567" s="1"/>
      <c r="AQ1567" s="1"/>
    </row>
    <row r="1568" ht="15.75" customHeight="1">
      <c r="A1568" s="1"/>
      <c r="B1568" s="1"/>
      <c r="C1568" s="1"/>
      <c r="D1568" s="1"/>
      <c r="E1568" s="1"/>
      <c r="F1568" s="1"/>
      <c r="G1568" s="1"/>
      <c r="H1568" s="99"/>
      <c r="I1568" s="99"/>
      <c r="J1568" s="99"/>
      <c r="K1568" s="99"/>
      <c r="L1568" s="99"/>
      <c r="M1568" s="99"/>
      <c r="N1568" s="99"/>
      <c r="O1568" s="99"/>
      <c r="P1568" s="99"/>
      <c r="Q1568" s="99"/>
      <c r="R1568" s="99"/>
      <c r="S1568" s="103"/>
      <c r="T1568" s="99"/>
      <c r="U1568" s="103"/>
      <c r="V1568" s="99"/>
      <c r="W1568" s="99"/>
      <c r="X1568" s="99"/>
      <c r="Y1568" s="99"/>
      <c r="Z1568" s="99"/>
      <c r="AA1568" s="99"/>
      <c r="AB1568" s="99"/>
      <c r="AC1568" s="99"/>
      <c r="AD1568" s="103"/>
      <c r="AE1568" s="99"/>
      <c r="AF1568" s="99"/>
      <c r="AG1568" s="99"/>
      <c r="AH1568" s="99"/>
      <c r="AI1568" s="99"/>
      <c r="AJ1568" s="99"/>
      <c r="AK1568" s="99"/>
      <c r="AL1568" s="99"/>
      <c r="AM1568" s="99"/>
      <c r="AN1568" s="99"/>
      <c r="AO1568" s="99"/>
      <c r="AP1568" s="1"/>
      <c r="AQ1568" s="1"/>
    </row>
    <row r="1569" ht="15.75" customHeight="1">
      <c r="A1569" s="1"/>
      <c r="B1569" s="1"/>
      <c r="C1569" s="1"/>
      <c r="D1569" s="1"/>
      <c r="E1569" s="1"/>
      <c r="F1569" s="1"/>
      <c r="G1569" s="1"/>
      <c r="H1569" s="99"/>
      <c r="I1569" s="99"/>
      <c r="J1569" s="99"/>
      <c r="K1569" s="99"/>
      <c r="L1569" s="99"/>
      <c r="M1569" s="99"/>
      <c r="N1569" s="99"/>
      <c r="O1569" s="99"/>
      <c r="P1569" s="99"/>
      <c r="Q1569" s="99"/>
      <c r="R1569" s="99"/>
      <c r="S1569" s="103"/>
      <c r="T1569" s="99"/>
      <c r="U1569" s="103"/>
      <c r="V1569" s="99"/>
      <c r="W1569" s="99"/>
      <c r="X1569" s="99"/>
      <c r="Y1569" s="99"/>
      <c r="Z1569" s="99"/>
      <c r="AA1569" s="99"/>
      <c r="AB1569" s="99"/>
      <c r="AC1569" s="99"/>
      <c r="AD1569" s="103"/>
      <c r="AE1569" s="99"/>
      <c r="AF1569" s="99"/>
      <c r="AG1569" s="99"/>
      <c r="AH1569" s="99"/>
      <c r="AI1569" s="99"/>
      <c r="AJ1569" s="99"/>
      <c r="AK1569" s="99"/>
      <c r="AL1569" s="99"/>
      <c r="AM1569" s="99"/>
      <c r="AN1569" s="99"/>
      <c r="AO1569" s="99"/>
      <c r="AP1569" s="1"/>
      <c r="AQ1569" s="1"/>
    </row>
    <row r="1570" ht="15.75" customHeight="1">
      <c r="A1570" s="1"/>
      <c r="B1570" s="1"/>
      <c r="C1570" s="1"/>
      <c r="D1570" s="1"/>
      <c r="E1570" s="1"/>
      <c r="F1570" s="1"/>
      <c r="G1570" s="1"/>
      <c r="H1570" s="99"/>
      <c r="I1570" s="99"/>
      <c r="J1570" s="99"/>
      <c r="K1570" s="99"/>
      <c r="L1570" s="99"/>
      <c r="M1570" s="99"/>
      <c r="N1570" s="99"/>
      <c r="O1570" s="99"/>
      <c r="P1570" s="99"/>
      <c r="Q1570" s="99"/>
      <c r="R1570" s="99"/>
      <c r="S1570" s="103"/>
      <c r="T1570" s="99"/>
      <c r="U1570" s="103"/>
      <c r="V1570" s="99"/>
      <c r="W1570" s="99"/>
      <c r="X1570" s="99"/>
      <c r="Y1570" s="99"/>
      <c r="Z1570" s="99"/>
      <c r="AA1570" s="99"/>
      <c r="AB1570" s="99"/>
      <c r="AC1570" s="99"/>
      <c r="AD1570" s="103"/>
      <c r="AE1570" s="99"/>
      <c r="AF1570" s="99"/>
      <c r="AG1570" s="99"/>
      <c r="AH1570" s="99"/>
      <c r="AI1570" s="99"/>
      <c r="AJ1570" s="99"/>
      <c r="AK1570" s="99"/>
      <c r="AL1570" s="99"/>
      <c r="AM1570" s="99"/>
      <c r="AN1570" s="99"/>
      <c r="AO1570" s="99"/>
      <c r="AP1570" s="1"/>
      <c r="AQ1570" s="1"/>
    </row>
    <row r="1571" ht="15.75" customHeight="1">
      <c r="A1571" s="1"/>
      <c r="B1571" s="1"/>
      <c r="C1571" s="1"/>
      <c r="D1571" s="1"/>
      <c r="E1571" s="1"/>
      <c r="F1571" s="1"/>
      <c r="G1571" s="1"/>
      <c r="H1571" s="99"/>
      <c r="I1571" s="99"/>
      <c r="J1571" s="99"/>
      <c r="K1571" s="99"/>
      <c r="L1571" s="99"/>
      <c r="M1571" s="99"/>
      <c r="N1571" s="99"/>
      <c r="O1571" s="99"/>
      <c r="P1571" s="99"/>
      <c r="Q1571" s="99"/>
      <c r="R1571" s="99"/>
      <c r="S1571" s="103"/>
      <c r="T1571" s="99"/>
      <c r="U1571" s="103"/>
      <c r="V1571" s="99"/>
      <c r="W1571" s="99"/>
      <c r="X1571" s="99"/>
      <c r="Y1571" s="99"/>
      <c r="Z1571" s="99"/>
      <c r="AA1571" s="99"/>
      <c r="AB1571" s="99"/>
      <c r="AC1571" s="99"/>
      <c r="AD1571" s="103"/>
      <c r="AE1571" s="99"/>
      <c r="AF1571" s="99"/>
      <c r="AG1571" s="99"/>
      <c r="AH1571" s="99"/>
      <c r="AI1571" s="99"/>
      <c r="AJ1571" s="99"/>
      <c r="AK1571" s="99"/>
      <c r="AL1571" s="99"/>
      <c r="AM1571" s="99"/>
      <c r="AN1571" s="99"/>
      <c r="AO1571" s="99"/>
      <c r="AP1571" s="1"/>
      <c r="AQ1571" s="1"/>
    </row>
    <row r="1572" ht="15.75" customHeight="1">
      <c r="A1572" s="1"/>
      <c r="B1572" s="1"/>
      <c r="C1572" s="1"/>
      <c r="D1572" s="1"/>
      <c r="E1572" s="1"/>
      <c r="F1572" s="1"/>
      <c r="G1572" s="1"/>
      <c r="H1572" s="99"/>
      <c r="I1572" s="99"/>
      <c r="J1572" s="99"/>
      <c r="K1572" s="99"/>
      <c r="L1572" s="99"/>
      <c r="M1572" s="99"/>
      <c r="N1572" s="99"/>
      <c r="O1572" s="99"/>
      <c r="P1572" s="99"/>
      <c r="Q1572" s="99"/>
      <c r="R1572" s="99"/>
      <c r="S1572" s="103"/>
      <c r="T1572" s="99"/>
      <c r="U1572" s="103"/>
      <c r="V1572" s="99"/>
      <c r="W1572" s="99"/>
      <c r="X1572" s="99"/>
      <c r="Y1572" s="99"/>
      <c r="Z1572" s="99"/>
      <c r="AA1572" s="99"/>
      <c r="AB1572" s="99"/>
      <c r="AC1572" s="99"/>
      <c r="AD1572" s="103"/>
      <c r="AE1572" s="99"/>
      <c r="AF1572" s="99"/>
      <c r="AG1572" s="99"/>
      <c r="AH1572" s="99"/>
      <c r="AI1572" s="99"/>
      <c r="AJ1572" s="99"/>
      <c r="AK1572" s="99"/>
      <c r="AL1572" s="99"/>
      <c r="AM1572" s="99"/>
      <c r="AN1572" s="99"/>
      <c r="AO1572" s="99"/>
      <c r="AP1572" s="1"/>
      <c r="AQ1572" s="1"/>
    </row>
  </sheetData>
  <mergeCells count="664">
    <mergeCell ref="B6:B7"/>
    <mergeCell ref="E6:E7"/>
    <mergeCell ref="F6:F7"/>
    <mergeCell ref="G6:AO6"/>
    <mergeCell ref="B9:B14"/>
    <mergeCell ref="C9:C14"/>
    <mergeCell ref="D9:D14"/>
    <mergeCell ref="C27:C32"/>
    <mergeCell ref="D27:D32"/>
    <mergeCell ref="B15:B20"/>
    <mergeCell ref="C15:C20"/>
    <mergeCell ref="D15:D20"/>
    <mergeCell ref="B21:B26"/>
    <mergeCell ref="C21:C26"/>
    <mergeCell ref="D21:D26"/>
    <mergeCell ref="B27:B32"/>
    <mergeCell ref="C48:C53"/>
    <mergeCell ref="D48:D53"/>
    <mergeCell ref="B33:B41"/>
    <mergeCell ref="C33:C41"/>
    <mergeCell ref="D33:D41"/>
    <mergeCell ref="B42:B47"/>
    <mergeCell ref="C42:C47"/>
    <mergeCell ref="D42:D47"/>
    <mergeCell ref="B48:B53"/>
    <mergeCell ref="C66:C71"/>
    <mergeCell ref="D66:D71"/>
    <mergeCell ref="B54:B59"/>
    <mergeCell ref="C54:C59"/>
    <mergeCell ref="D54:D59"/>
    <mergeCell ref="B60:B65"/>
    <mergeCell ref="C60:C65"/>
    <mergeCell ref="D60:D65"/>
    <mergeCell ref="B66:B71"/>
    <mergeCell ref="C144:C149"/>
    <mergeCell ref="D144:D149"/>
    <mergeCell ref="B132:B137"/>
    <mergeCell ref="C132:C137"/>
    <mergeCell ref="D132:D137"/>
    <mergeCell ref="B138:B143"/>
    <mergeCell ref="C138:C143"/>
    <mergeCell ref="D138:D143"/>
    <mergeCell ref="B144:B149"/>
    <mergeCell ref="C162:C167"/>
    <mergeCell ref="D162:D167"/>
    <mergeCell ref="B150:B155"/>
    <mergeCell ref="C150:C155"/>
    <mergeCell ref="D150:D155"/>
    <mergeCell ref="B156:B161"/>
    <mergeCell ref="C156:C161"/>
    <mergeCell ref="D156:D161"/>
    <mergeCell ref="B162:B167"/>
    <mergeCell ref="C182:C189"/>
    <mergeCell ref="D182:D189"/>
    <mergeCell ref="B168:B173"/>
    <mergeCell ref="C168:C173"/>
    <mergeCell ref="D168:D173"/>
    <mergeCell ref="B174:B181"/>
    <mergeCell ref="C174:C181"/>
    <mergeCell ref="D174:D181"/>
    <mergeCell ref="B182:B189"/>
    <mergeCell ref="C204:C210"/>
    <mergeCell ref="D204:D210"/>
    <mergeCell ref="B190:B196"/>
    <mergeCell ref="C190:C196"/>
    <mergeCell ref="D190:D196"/>
    <mergeCell ref="B197:B203"/>
    <mergeCell ref="C197:C203"/>
    <mergeCell ref="D197:D203"/>
    <mergeCell ref="B204:B210"/>
    <mergeCell ref="C225:C231"/>
    <mergeCell ref="D225:D231"/>
    <mergeCell ref="B211:B217"/>
    <mergeCell ref="C211:C217"/>
    <mergeCell ref="D211:D217"/>
    <mergeCell ref="B218:B224"/>
    <mergeCell ref="C218:C224"/>
    <mergeCell ref="D218:D224"/>
    <mergeCell ref="B225:B231"/>
    <mergeCell ref="C246:C252"/>
    <mergeCell ref="D246:D252"/>
    <mergeCell ref="B232:B238"/>
    <mergeCell ref="C232:C238"/>
    <mergeCell ref="D232:D238"/>
    <mergeCell ref="B239:B245"/>
    <mergeCell ref="C239:C245"/>
    <mergeCell ref="D239:D245"/>
    <mergeCell ref="B246:B252"/>
    <mergeCell ref="B260:B266"/>
    <mergeCell ref="B274:B280"/>
    <mergeCell ref="B253:B259"/>
    <mergeCell ref="C253:C259"/>
    <mergeCell ref="D253:D259"/>
    <mergeCell ref="C260:C266"/>
    <mergeCell ref="D260:D266"/>
    <mergeCell ref="C267:C273"/>
    <mergeCell ref="D267:D273"/>
    <mergeCell ref="C324:C329"/>
    <mergeCell ref="D324:D329"/>
    <mergeCell ref="B312:B317"/>
    <mergeCell ref="C312:C317"/>
    <mergeCell ref="D312:D317"/>
    <mergeCell ref="B318:B323"/>
    <mergeCell ref="C318:C323"/>
    <mergeCell ref="D318:D323"/>
    <mergeCell ref="B324:B329"/>
    <mergeCell ref="C342:C347"/>
    <mergeCell ref="D342:D347"/>
    <mergeCell ref="B330:B335"/>
    <mergeCell ref="C330:C335"/>
    <mergeCell ref="D330:D335"/>
    <mergeCell ref="B336:B341"/>
    <mergeCell ref="C336:C341"/>
    <mergeCell ref="D336:D341"/>
    <mergeCell ref="B342:B347"/>
    <mergeCell ref="C367:C373"/>
    <mergeCell ref="D367:D373"/>
    <mergeCell ref="B348:B359"/>
    <mergeCell ref="C348:C359"/>
    <mergeCell ref="D348:D359"/>
    <mergeCell ref="B360:B366"/>
    <mergeCell ref="C360:C366"/>
    <mergeCell ref="D360:D366"/>
    <mergeCell ref="B367:B373"/>
    <mergeCell ref="C388:C397"/>
    <mergeCell ref="D388:D397"/>
    <mergeCell ref="B374:B380"/>
    <mergeCell ref="C374:C380"/>
    <mergeCell ref="D374:D380"/>
    <mergeCell ref="B381:B387"/>
    <mergeCell ref="C381:C387"/>
    <mergeCell ref="D381:D387"/>
    <mergeCell ref="B388:B397"/>
    <mergeCell ref="B398:B403"/>
    <mergeCell ref="C398:C403"/>
    <mergeCell ref="D398:D403"/>
    <mergeCell ref="B404:B409"/>
    <mergeCell ref="C404:C409"/>
    <mergeCell ref="D404:D409"/>
    <mergeCell ref="B410:B415"/>
    <mergeCell ref="C410:C415"/>
    <mergeCell ref="D410:D415"/>
    <mergeCell ref="C416:C421"/>
    <mergeCell ref="D416:D421"/>
    <mergeCell ref="B422:B427"/>
    <mergeCell ref="C422:C427"/>
    <mergeCell ref="D422:D427"/>
    <mergeCell ref="C440:C446"/>
    <mergeCell ref="D440:D446"/>
    <mergeCell ref="B428:B433"/>
    <mergeCell ref="C428:C433"/>
    <mergeCell ref="D428:D433"/>
    <mergeCell ref="B434:B439"/>
    <mergeCell ref="C434:C439"/>
    <mergeCell ref="D434:D439"/>
    <mergeCell ref="B440:B446"/>
    <mergeCell ref="C459:C464"/>
    <mergeCell ref="D459:D464"/>
    <mergeCell ref="B447:B452"/>
    <mergeCell ref="C447:C452"/>
    <mergeCell ref="D447:D452"/>
    <mergeCell ref="B453:B458"/>
    <mergeCell ref="C453:C458"/>
    <mergeCell ref="D453:D458"/>
    <mergeCell ref="B459:B464"/>
    <mergeCell ref="C479:C485"/>
    <mergeCell ref="D479:D485"/>
    <mergeCell ref="B465:B470"/>
    <mergeCell ref="C465:C470"/>
    <mergeCell ref="D465:D470"/>
    <mergeCell ref="B471:B478"/>
    <mergeCell ref="C471:C478"/>
    <mergeCell ref="D471:D478"/>
    <mergeCell ref="B479:B485"/>
    <mergeCell ref="C499:C504"/>
    <mergeCell ref="D499:D504"/>
    <mergeCell ref="B486:B492"/>
    <mergeCell ref="C486:C492"/>
    <mergeCell ref="D486:D492"/>
    <mergeCell ref="B493:B498"/>
    <mergeCell ref="C493:C498"/>
    <mergeCell ref="D493:D498"/>
    <mergeCell ref="B499:B504"/>
    <mergeCell ref="C517:C522"/>
    <mergeCell ref="D517:D522"/>
    <mergeCell ref="B505:B510"/>
    <mergeCell ref="C505:C510"/>
    <mergeCell ref="D505:D510"/>
    <mergeCell ref="B511:B516"/>
    <mergeCell ref="C511:C516"/>
    <mergeCell ref="D511:D516"/>
    <mergeCell ref="B517:B522"/>
    <mergeCell ref="C535:C540"/>
    <mergeCell ref="D535:D540"/>
    <mergeCell ref="B523:B528"/>
    <mergeCell ref="C523:C528"/>
    <mergeCell ref="D523:D528"/>
    <mergeCell ref="B529:B534"/>
    <mergeCell ref="C529:C534"/>
    <mergeCell ref="D529:D534"/>
    <mergeCell ref="B535:B540"/>
    <mergeCell ref="C553:C558"/>
    <mergeCell ref="D553:D558"/>
    <mergeCell ref="B541:B546"/>
    <mergeCell ref="C541:C546"/>
    <mergeCell ref="D541:D546"/>
    <mergeCell ref="B547:B552"/>
    <mergeCell ref="C547:C552"/>
    <mergeCell ref="D547:D552"/>
    <mergeCell ref="B553:B558"/>
    <mergeCell ref="C573:C578"/>
    <mergeCell ref="D573:D578"/>
    <mergeCell ref="B559:B564"/>
    <mergeCell ref="C559:C564"/>
    <mergeCell ref="D559:D564"/>
    <mergeCell ref="B565:B572"/>
    <mergeCell ref="C565:C572"/>
    <mergeCell ref="D565:D572"/>
    <mergeCell ref="B573:B578"/>
    <mergeCell ref="C591:C596"/>
    <mergeCell ref="D591:D596"/>
    <mergeCell ref="B579:B584"/>
    <mergeCell ref="C579:C584"/>
    <mergeCell ref="D579:D584"/>
    <mergeCell ref="B585:B590"/>
    <mergeCell ref="C585:C590"/>
    <mergeCell ref="D585:D590"/>
    <mergeCell ref="B591:B596"/>
    <mergeCell ref="C609:C614"/>
    <mergeCell ref="D609:D614"/>
    <mergeCell ref="B597:B602"/>
    <mergeCell ref="C597:C602"/>
    <mergeCell ref="D597:D602"/>
    <mergeCell ref="B603:B608"/>
    <mergeCell ref="C603:C608"/>
    <mergeCell ref="D603:D608"/>
    <mergeCell ref="B609:B614"/>
    <mergeCell ref="C634:C641"/>
    <mergeCell ref="D634:D641"/>
    <mergeCell ref="B615:B622"/>
    <mergeCell ref="C615:C622"/>
    <mergeCell ref="D615:D622"/>
    <mergeCell ref="B623:B633"/>
    <mergeCell ref="C623:C633"/>
    <mergeCell ref="D623:D633"/>
    <mergeCell ref="B634:B641"/>
    <mergeCell ref="C658:C665"/>
    <mergeCell ref="D658:D665"/>
    <mergeCell ref="B642:B649"/>
    <mergeCell ref="C642:C649"/>
    <mergeCell ref="D642:D649"/>
    <mergeCell ref="B650:B657"/>
    <mergeCell ref="C650:C657"/>
    <mergeCell ref="D650:D657"/>
    <mergeCell ref="B658:B665"/>
    <mergeCell ref="C683:C690"/>
    <mergeCell ref="D683:D690"/>
    <mergeCell ref="B666:B673"/>
    <mergeCell ref="C666:C673"/>
    <mergeCell ref="D666:D673"/>
    <mergeCell ref="B674:B682"/>
    <mergeCell ref="C674:C682"/>
    <mergeCell ref="D674:D682"/>
    <mergeCell ref="B683:B690"/>
    <mergeCell ref="C707:C713"/>
    <mergeCell ref="D707:D713"/>
    <mergeCell ref="B691:B698"/>
    <mergeCell ref="C691:C698"/>
    <mergeCell ref="D691:D698"/>
    <mergeCell ref="B699:B706"/>
    <mergeCell ref="C699:C706"/>
    <mergeCell ref="D699:D706"/>
    <mergeCell ref="B707:B713"/>
    <mergeCell ref="C726:C731"/>
    <mergeCell ref="D726:D731"/>
    <mergeCell ref="E800:E801"/>
    <mergeCell ref="E803:E804"/>
    <mergeCell ref="B714:B719"/>
    <mergeCell ref="C714:C719"/>
    <mergeCell ref="D714:D719"/>
    <mergeCell ref="B720:B725"/>
    <mergeCell ref="C720:C725"/>
    <mergeCell ref="D720:D725"/>
    <mergeCell ref="B726:B731"/>
    <mergeCell ref="C744:C749"/>
    <mergeCell ref="D744:D749"/>
    <mergeCell ref="B732:B737"/>
    <mergeCell ref="C732:C737"/>
    <mergeCell ref="D732:D737"/>
    <mergeCell ref="B738:B743"/>
    <mergeCell ref="C738:C743"/>
    <mergeCell ref="D738:D743"/>
    <mergeCell ref="B744:B749"/>
    <mergeCell ref="C762:C767"/>
    <mergeCell ref="D762:D767"/>
    <mergeCell ref="B750:B755"/>
    <mergeCell ref="C750:C755"/>
    <mergeCell ref="D750:D755"/>
    <mergeCell ref="B756:B761"/>
    <mergeCell ref="C756:C761"/>
    <mergeCell ref="D756:D761"/>
    <mergeCell ref="B762:B767"/>
    <mergeCell ref="C780:C785"/>
    <mergeCell ref="D780:D785"/>
    <mergeCell ref="B768:B773"/>
    <mergeCell ref="C768:C773"/>
    <mergeCell ref="D768:D773"/>
    <mergeCell ref="B774:B779"/>
    <mergeCell ref="C774:C779"/>
    <mergeCell ref="D774:D779"/>
    <mergeCell ref="B780:B785"/>
    <mergeCell ref="B786:B791"/>
    <mergeCell ref="C786:C791"/>
    <mergeCell ref="D786:D791"/>
    <mergeCell ref="C792:C797"/>
    <mergeCell ref="D792:D797"/>
    <mergeCell ref="C798:C804"/>
    <mergeCell ref="D798:D804"/>
    <mergeCell ref="B792:B797"/>
    <mergeCell ref="B805:B811"/>
    <mergeCell ref="C805:C811"/>
    <mergeCell ref="D805:D811"/>
    <mergeCell ref="B812:B818"/>
    <mergeCell ref="C812:C818"/>
    <mergeCell ref="D812:D818"/>
    <mergeCell ref="C831:C836"/>
    <mergeCell ref="D831:D836"/>
    <mergeCell ref="B819:B824"/>
    <mergeCell ref="C819:C824"/>
    <mergeCell ref="D819:D824"/>
    <mergeCell ref="B825:B830"/>
    <mergeCell ref="C825:C830"/>
    <mergeCell ref="D825:D830"/>
    <mergeCell ref="B831:B836"/>
    <mergeCell ref="C849:C854"/>
    <mergeCell ref="D849:D854"/>
    <mergeCell ref="B837:B842"/>
    <mergeCell ref="C837:C842"/>
    <mergeCell ref="D837:D842"/>
    <mergeCell ref="B843:B848"/>
    <mergeCell ref="C843:C848"/>
    <mergeCell ref="D843:D848"/>
    <mergeCell ref="B849:B854"/>
    <mergeCell ref="C867:C872"/>
    <mergeCell ref="D867:D872"/>
    <mergeCell ref="B855:B860"/>
    <mergeCell ref="C855:C860"/>
    <mergeCell ref="D855:D860"/>
    <mergeCell ref="B861:B866"/>
    <mergeCell ref="C861:C866"/>
    <mergeCell ref="D861:D866"/>
    <mergeCell ref="B867:B872"/>
    <mergeCell ref="C885:C890"/>
    <mergeCell ref="D885:D890"/>
    <mergeCell ref="B873:B878"/>
    <mergeCell ref="C873:C878"/>
    <mergeCell ref="D873:D878"/>
    <mergeCell ref="B879:B884"/>
    <mergeCell ref="C879:C884"/>
    <mergeCell ref="D879:D884"/>
    <mergeCell ref="B885:B890"/>
    <mergeCell ref="C909:C914"/>
    <mergeCell ref="D909:D914"/>
    <mergeCell ref="B891:B896"/>
    <mergeCell ref="C891:C896"/>
    <mergeCell ref="D891:D896"/>
    <mergeCell ref="B897:B902"/>
    <mergeCell ref="C897:C902"/>
    <mergeCell ref="D897:D902"/>
    <mergeCell ref="B909:B914"/>
    <mergeCell ref="C927:C932"/>
    <mergeCell ref="D927:D932"/>
    <mergeCell ref="B915:B920"/>
    <mergeCell ref="C915:C920"/>
    <mergeCell ref="D915:D920"/>
    <mergeCell ref="B921:B926"/>
    <mergeCell ref="C921:C926"/>
    <mergeCell ref="D921:D926"/>
    <mergeCell ref="B927:B932"/>
    <mergeCell ref="C945:C950"/>
    <mergeCell ref="D945:D950"/>
    <mergeCell ref="B933:B938"/>
    <mergeCell ref="C933:C938"/>
    <mergeCell ref="D933:D938"/>
    <mergeCell ref="B939:B944"/>
    <mergeCell ref="C939:C944"/>
    <mergeCell ref="D939:D944"/>
    <mergeCell ref="B945:B950"/>
    <mergeCell ref="C963:C968"/>
    <mergeCell ref="D963:D968"/>
    <mergeCell ref="B951:B956"/>
    <mergeCell ref="C951:C956"/>
    <mergeCell ref="D951:D956"/>
    <mergeCell ref="B957:B962"/>
    <mergeCell ref="C957:C962"/>
    <mergeCell ref="D957:D962"/>
    <mergeCell ref="B963:B968"/>
    <mergeCell ref="C983:C990"/>
    <mergeCell ref="D983:D990"/>
    <mergeCell ref="B969:B974"/>
    <mergeCell ref="C969:C974"/>
    <mergeCell ref="D969:D974"/>
    <mergeCell ref="B975:B982"/>
    <mergeCell ref="C975:C982"/>
    <mergeCell ref="D975:D982"/>
    <mergeCell ref="B983:B990"/>
    <mergeCell ref="B991:B998"/>
    <mergeCell ref="C991:C998"/>
    <mergeCell ref="D991:D998"/>
    <mergeCell ref="B999:B1004"/>
    <mergeCell ref="C999:C1004"/>
    <mergeCell ref="D999:D1004"/>
    <mergeCell ref="B1005:B1010"/>
    <mergeCell ref="C1005:C1010"/>
    <mergeCell ref="D1005:D1010"/>
    <mergeCell ref="E1209:E1210"/>
    <mergeCell ref="F1209:F1210"/>
    <mergeCell ref="E1212:E1216"/>
    <mergeCell ref="E1217:E1221"/>
    <mergeCell ref="E1222:E1226"/>
    <mergeCell ref="E1227:E1231"/>
    <mergeCell ref="E1232:E1236"/>
    <mergeCell ref="E1237:E1241"/>
    <mergeCell ref="E1242:E1246"/>
    <mergeCell ref="E1247:E1251"/>
    <mergeCell ref="E1252:E1256"/>
    <mergeCell ref="E1257:E1261"/>
    <mergeCell ref="E1262:E1266"/>
    <mergeCell ref="E1267:E1271"/>
    <mergeCell ref="E1272:E1276"/>
    <mergeCell ref="E1277:E1281"/>
    <mergeCell ref="E1282:E1286"/>
    <mergeCell ref="E1287:E1291"/>
    <mergeCell ref="E1292:E1296"/>
    <mergeCell ref="E1332:E1336"/>
    <mergeCell ref="E1337:E1341"/>
    <mergeCell ref="E1342:E1346"/>
    <mergeCell ref="E1355:E1356"/>
    <mergeCell ref="F1355:F1356"/>
    <mergeCell ref="E1297:E1301"/>
    <mergeCell ref="E1302:E1306"/>
    <mergeCell ref="E1307:E1311"/>
    <mergeCell ref="E1312:E1316"/>
    <mergeCell ref="E1317:E1321"/>
    <mergeCell ref="E1322:E1326"/>
    <mergeCell ref="E1327:E1331"/>
    <mergeCell ref="C274:C280"/>
    <mergeCell ref="D274:D280"/>
    <mergeCell ref="B281:B287"/>
    <mergeCell ref="C281:C287"/>
    <mergeCell ref="D281:D287"/>
    <mergeCell ref="C288:C293"/>
    <mergeCell ref="D288:D293"/>
    <mergeCell ref="C294:C299"/>
    <mergeCell ref="D294:D299"/>
    <mergeCell ref="C300:C305"/>
    <mergeCell ref="D300:D305"/>
    <mergeCell ref="B306:B311"/>
    <mergeCell ref="C306:C311"/>
    <mergeCell ref="D306:D311"/>
    <mergeCell ref="C85:C90"/>
    <mergeCell ref="D85:D90"/>
    <mergeCell ref="B72:B78"/>
    <mergeCell ref="C72:C78"/>
    <mergeCell ref="D72:D78"/>
    <mergeCell ref="B79:B84"/>
    <mergeCell ref="C79:C84"/>
    <mergeCell ref="D79:D84"/>
    <mergeCell ref="B85:B90"/>
    <mergeCell ref="C103:C113"/>
    <mergeCell ref="D103:D113"/>
    <mergeCell ref="B91:B96"/>
    <mergeCell ref="C91:C96"/>
    <mergeCell ref="D91:D96"/>
    <mergeCell ref="B97:B102"/>
    <mergeCell ref="C97:C102"/>
    <mergeCell ref="D97:D102"/>
    <mergeCell ref="B103:B113"/>
    <mergeCell ref="C126:C131"/>
    <mergeCell ref="D126:D131"/>
    <mergeCell ref="B114:B119"/>
    <mergeCell ref="C114:C119"/>
    <mergeCell ref="D114:D119"/>
    <mergeCell ref="B120:B125"/>
    <mergeCell ref="C120:C125"/>
    <mergeCell ref="D120:D125"/>
    <mergeCell ref="B126:B131"/>
    <mergeCell ref="B1140:B1145"/>
    <mergeCell ref="C1140:C1145"/>
    <mergeCell ref="D1140:D1145"/>
    <mergeCell ref="B1168:B1169"/>
    <mergeCell ref="B1171:B1177"/>
    <mergeCell ref="C1171:C1177"/>
    <mergeCell ref="D1171:D1177"/>
    <mergeCell ref="C1193:C1199"/>
    <mergeCell ref="D1193:D1199"/>
    <mergeCell ref="B1178:B1185"/>
    <mergeCell ref="C1178:C1185"/>
    <mergeCell ref="D1178:D1185"/>
    <mergeCell ref="B1186:B1192"/>
    <mergeCell ref="C1186:C1192"/>
    <mergeCell ref="D1186:D1192"/>
    <mergeCell ref="B1193:B1199"/>
    <mergeCell ref="B1200:B1205"/>
    <mergeCell ref="C1200:C1205"/>
    <mergeCell ref="D1200:D1205"/>
    <mergeCell ref="B1209:B1210"/>
    <mergeCell ref="B1212:B1216"/>
    <mergeCell ref="C1212:C1216"/>
    <mergeCell ref="D1212:D1216"/>
    <mergeCell ref="C1227:C1231"/>
    <mergeCell ref="D1227:D1231"/>
    <mergeCell ref="B1217:B1221"/>
    <mergeCell ref="C1217:C1221"/>
    <mergeCell ref="D1217:D1221"/>
    <mergeCell ref="B1222:B1226"/>
    <mergeCell ref="C1222:C1226"/>
    <mergeCell ref="D1222:D1226"/>
    <mergeCell ref="B1227:B1231"/>
    <mergeCell ref="C1242:C1246"/>
    <mergeCell ref="D1242:D1246"/>
    <mergeCell ref="B1232:B1236"/>
    <mergeCell ref="C1232:C1236"/>
    <mergeCell ref="D1232:D1236"/>
    <mergeCell ref="B1237:B1241"/>
    <mergeCell ref="C1237:C1241"/>
    <mergeCell ref="D1237:D1241"/>
    <mergeCell ref="B1242:B1246"/>
    <mergeCell ref="C1302:C1306"/>
    <mergeCell ref="D1302:D1306"/>
    <mergeCell ref="B1292:B1296"/>
    <mergeCell ref="C1292:C1296"/>
    <mergeCell ref="D1292:D1296"/>
    <mergeCell ref="B1297:B1301"/>
    <mergeCell ref="C1297:C1301"/>
    <mergeCell ref="D1297:D1301"/>
    <mergeCell ref="B1302:B1306"/>
    <mergeCell ref="C1317:C1321"/>
    <mergeCell ref="D1317:D1321"/>
    <mergeCell ref="B1307:B1311"/>
    <mergeCell ref="C1307:C1311"/>
    <mergeCell ref="D1307:D1311"/>
    <mergeCell ref="B1312:B1316"/>
    <mergeCell ref="C1312:C1316"/>
    <mergeCell ref="D1312:D1316"/>
    <mergeCell ref="B1317:B1321"/>
    <mergeCell ref="C1332:C1336"/>
    <mergeCell ref="D1332:D1336"/>
    <mergeCell ref="B1322:B1326"/>
    <mergeCell ref="C1322:C1326"/>
    <mergeCell ref="D1322:D1326"/>
    <mergeCell ref="B1327:B1331"/>
    <mergeCell ref="C1327:C1331"/>
    <mergeCell ref="D1327:D1331"/>
    <mergeCell ref="B1332:B1336"/>
    <mergeCell ref="C1257:C1261"/>
    <mergeCell ref="D1257:D1261"/>
    <mergeCell ref="B1247:B1251"/>
    <mergeCell ref="C1247:C1251"/>
    <mergeCell ref="D1247:D1251"/>
    <mergeCell ref="B1252:B1256"/>
    <mergeCell ref="C1252:C1256"/>
    <mergeCell ref="D1252:D1256"/>
    <mergeCell ref="B1257:B1261"/>
    <mergeCell ref="C1272:C1276"/>
    <mergeCell ref="D1272:D1276"/>
    <mergeCell ref="B1262:B1266"/>
    <mergeCell ref="C1262:C1266"/>
    <mergeCell ref="D1262:D1266"/>
    <mergeCell ref="B1267:B1271"/>
    <mergeCell ref="C1267:C1271"/>
    <mergeCell ref="D1267:D1271"/>
    <mergeCell ref="B1272:B1276"/>
    <mergeCell ref="C1287:C1291"/>
    <mergeCell ref="D1287:D1291"/>
    <mergeCell ref="B1277:B1281"/>
    <mergeCell ref="C1277:C1281"/>
    <mergeCell ref="D1277:D1281"/>
    <mergeCell ref="B1282:B1286"/>
    <mergeCell ref="C1282:C1286"/>
    <mergeCell ref="D1282:D1286"/>
    <mergeCell ref="B1287:B1291"/>
    <mergeCell ref="B1355:B1356"/>
    <mergeCell ref="B1358:B1364"/>
    <mergeCell ref="C1358:C1364"/>
    <mergeCell ref="D1358:D1364"/>
    <mergeCell ref="B1365:B1372"/>
    <mergeCell ref="C1365:C1372"/>
    <mergeCell ref="D1365:D1372"/>
    <mergeCell ref="B1337:B1341"/>
    <mergeCell ref="C1337:C1341"/>
    <mergeCell ref="D1337:D1341"/>
    <mergeCell ref="B1342:B1346"/>
    <mergeCell ref="C1342:C1346"/>
    <mergeCell ref="D1342:D1346"/>
    <mergeCell ref="B1353:C1353"/>
    <mergeCell ref="C1023:C1028"/>
    <mergeCell ref="D1023:D1028"/>
    <mergeCell ref="B1011:B1016"/>
    <mergeCell ref="C1011:C1016"/>
    <mergeCell ref="D1011:D1016"/>
    <mergeCell ref="B1017:B1022"/>
    <mergeCell ref="C1017:C1022"/>
    <mergeCell ref="D1017:D1022"/>
    <mergeCell ref="B1023:B1028"/>
    <mergeCell ref="C1041:C1046"/>
    <mergeCell ref="D1041:D1046"/>
    <mergeCell ref="B1029:B1034"/>
    <mergeCell ref="C1029:C1034"/>
    <mergeCell ref="D1029:D1034"/>
    <mergeCell ref="B1035:B1040"/>
    <mergeCell ref="C1035:C1040"/>
    <mergeCell ref="D1035:D1040"/>
    <mergeCell ref="B1041:B1046"/>
    <mergeCell ref="C1059:C1064"/>
    <mergeCell ref="D1059:D1064"/>
    <mergeCell ref="B1047:B1052"/>
    <mergeCell ref="C1047:C1052"/>
    <mergeCell ref="D1047:D1052"/>
    <mergeCell ref="B1053:B1058"/>
    <mergeCell ref="C1053:C1058"/>
    <mergeCell ref="D1053:D1058"/>
    <mergeCell ref="B1059:B1064"/>
    <mergeCell ref="C1077:C1082"/>
    <mergeCell ref="D1077:D1082"/>
    <mergeCell ref="B1065:B1070"/>
    <mergeCell ref="C1065:C1070"/>
    <mergeCell ref="D1065:D1070"/>
    <mergeCell ref="B1071:B1076"/>
    <mergeCell ref="C1071:C1076"/>
    <mergeCell ref="D1071:D1076"/>
    <mergeCell ref="B1077:B1082"/>
    <mergeCell ref="C1098:C1103"/>
    <mergeCell ref="D1098:D1103"/>
    <mergeCell ref="B1083:B1088"/>
    <mergeCell ref="C1083:C1088"/>
    <mergeCell ref="D1083:D1088"/>
    <mergeCell ref="B1089:B1097"/>
    <mergeCell ref="C1089:C1097"/>
    <mergeCell ref="D1089:D1097"/>
    <mergeCell ref="B1098:B1103"/>
    <mergeCell ref="C1116:C1121"/>
    <mergeCell ref="D1116:D1121"/>
    <mergeCell ref="B1104:B1109"/>
    <mergeCell ref="C1104:C1109"/>
    <mergeCell ref="D1104:D1109"/>
    <mergeCell ref="B1110:B1115"/>
    <mergeCell ref="C1110:C1115"/>
    <mergeCell ref="D1110:D1115"/>
    <mergeCell ref="B1116:B1121"/>
    <mergeCell ref="C1134:C1139"/>
    <mergeCell ref="D1134:D1139"/>
    <mergeCell ref="E1168:E1169"/>
    <mergeCell ref="F1168:F1169"/>
    <mergeCell ref="G1168:AO1168"/>
    <mergeCell ref="G1209:AO1209"/>
    <mergeCell ref="G1355:AO1355"/>
    <mergeCell ref="B1122:B1127"/>
    <mergeCell ref="C1122:C1127"/>
    <mergeCell ref="D1122:D1127"/>
    <mergeCell ref="B1128:B1133"/>
    <mergeCell ref="C1128:C1133"/>
    <mergeCell ref="D1128:D1133"/>
    <mergeCell ref="B1134:B1139"/>
  </mergeCells>
  <printOptions/>
  <pageMargins bottom="0.75" footer="0.0" header="0.0" left="0.7" right="0.7" top="0.75"/>
  <pageSetup orientation="landscape"/>
  <drawing r:id="rId2"/>
  <legacyDrawing r:id="rId3"/>
</worksheet>
</file>